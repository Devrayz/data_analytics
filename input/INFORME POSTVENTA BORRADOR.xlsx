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ergroup-my.sharepoint.com/personal/sistemas_jaergroup_com/Documents/autoguardados/"/>
    </mc:Choice>
  </mc:AlternateContent>
  <xr:revisionPtr revIDLastSave="585" documentId="13_ncr:1_{1786A974-9FD0-4D3A-AC16-3F5A3B9D6003}" xr6:coauthVersionLast="47" xr6:coauthVersionMax="47" xr10:uidLastSave="{FD886250-2C5C-4D9F-A421-B19D98F65357}"/>
  <bookViews>
    <workbookView xWindow="-105" yWindow="0" windowWidth="12210" windowHeight="12885" firstSheet="4" activeTab="4" xr2:uid="{EDD9F0C9-EC22-4C02-B771-D4B0CDAD800A}"/>
  </bookViews>
  <sheets>
    <sheet name="GENERAL" sheetId="3" r:id="rId1"/>
    <sheet name="OBSERVACIONES" sheetId="4" r:id="rId2"/>
    <sheet name="|" sheetId="5" state="hidden" r:id="rId3"/>
    <sheet name="CODICIONALES" sheetId="9" state="hidden" r:id="rId4"/>
    <sheet name="RESUMEN" sheetId="6" r:id="rId5"/>
    <sheet name="INFORMES POR CASA" sheetId="7" state="hidden" r:id="rId6"/>
    <sheet name="DETALLES POR AREA EN CASA" sheetId="8" r:id="rId7"/>
  </sheets>
  <definedNames>
    <definedName name="_xlnm._FilterDatabase" localSheetId="1" hidden="1">OBSERVACIONES!$A$4:$AH$4</definedName>
    <definedName name="_xlnm._FilterDatabase" localSheetId="4" hidden="1">RESUMEN!$C$4:$AS$4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" i="6" l="1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5" i="6"/>
  <c r="X6" i="6" l="1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5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49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5" i="6"/>
  <c r="AK6" i="6"/>
  <c r="AL6" i="6"/>
  <c r="AK7" i="6"/>
  <c r="AL7" i="6"/>
  <c r="AK8" i="6"/>
  <c r="AL8" i="6"/>
  <c r="AK9" i="6"/>
  <c r="AL9" i="6"/>
  <c r="AK10" i="6"/>
  <c r="AL10" i="6"/>
  <c r="AK11" i="6"/>
  <c r="AL11" i="6"/>
  <c r="AK12" i="6"/>
  <c r="AL12" i="6"/>
  <c r="AK13" i="6"/>
  <c r="AL13" i="6"/>
  <c r="AK14" i="6"/>
  <c r="AL14" i="6"/>
  <c r="AK15" i="6"/>
  <c r="AL15" i="6"/>
  <c r="AK16" i="6"/>
  <c r="AL16" i="6"/>
  <c r="AK17" i="6"/>
  <c r="AL17" i="6"/>
  <c r="AK18" i="6"/>
  <c r="AL18" i="6"/>
  <c r="AK19" i="6"/>
  <c r="AL19" i="6"/>
  <c r="AK20" i="6"/>
  <c r="AL20" i="6"/>
  <c r="AK21" i="6"/>
  <c r="AL21" i="6"/>
  <c r="AK22" i="6"/>
  <c r="AL22" i="6"/>
  <c r="AK23" i="6"/>
  <c r="AL23" i="6"/>
  <c r="AK24" i="6"/>
  <c r="AL24" i="6"/>
  <c r="AK25" i="6"/>
  <c r="AL25" i="6"/>
  <c r="AK26" i="6"/>
  <c r="AL26" i="6"/>
  <c r="AK27" i="6"/>
  <c r="AL27" i="6"/>
  <c r="AK28" i="6"/>
  <c r="AL28" i="6"/>
  <c r="AK29" i="6"/>
  <c r="AL29" i="6"/>
  <c r="AK30" i="6"/>
  <c r="AL30" i="6"/>
  <c r="AK31" i="6"/>
  <c r="AL31" i="6"/>
  <c r="AK32" i="6"/>
  <c r="AL32" i="6"/>
  <c r="AK33" i="6"/>
  <c r="AL33" i="6"/>
  <c r="AK34" i="6"/>
  <c r="AL34" i="6"/>
  <c r="AK35" i="6"/>
  <c r="AL35" i="6"/>
  <c r="AK36" i="6"/>
  <c r="AL36" i="6"/>
  <c r="AK37" i="6"/>
  <c r="AL37" i="6"/>
  <c r="AK38" i="6"/>
  <c r="AL38" i="6"/>
  <c r="AK39" i="6"/>
  <c r="AL39" i="6"/>
  <c r="AK40" i="6"/>
  <c r="AL40" i="6"/>
  <c r="AK41" i="6"/>
  <c r="AL41" i="6"/>
  <c r="AK42" i="6"/>
  <c r="AL42" i="6"/>
  <c r="AK43" i="6"/>
  <c r="AL43" i="6"/>
  <c r="AK44" i="6"/>
  <c r="AL44" i="6"/>
  <c r="AK45" i="6"/>
  <c r="AL45" i="6"/>
  <c r="AK46" i="6"/>
  <c r="AL46" i="6"/>
  <c r="AK47" i="6"/>
  <c r="AL47" i="6"/>
  <c r="AK48" i="6"/>
  <c r="AL48" i="6"/>
  <c r="AK49" i="6"/>
  <c r="AL49" i="6"/>
  <c r="AK50" i="6"/>
  <c r="AL50" i="6"/>
  <c r="AK51" i="6"/>
  <c r="AL51" i="6"/>
  <c r="AK52" i="6"/>
  <c r="AL52" i="6"/>
  <c r="AK53" i="6"/>
  <c r="AL53" i="6"/>
  <c r="AK54" i="6"/>
  <c r="AL54" i="6"/>
  <c r="AK55" i="6"/>
  <c r="AL55" i="6"/>
  <c r="AK56" i="6"/>
  <c r="AL56" i="6"/>
  <c r="AK57" i="6"/>
  <c r="AL57" i="6"/>
  <c r="AK58" i="6"/>
  <c r="AL58" i="6"/>
  <c r="AK59" i="6"/>
  <c r="AL59" i="6"/>
  <c r="AK60" i="6"/>
  <c r="AL60" i="6"/>
  <c r="AK61" i="6"/>
  <c r="AL61" i="6"/>
  <c r="AK62" i="6"/>
  <c r="AL62" i="6"/>
  <c r="AK63" i="6"/>
  <c r="AL63" i="6"/>
  <c r="AK64" i="6"/>
  <c r="AL64" i="6"/>
  <c r="AK65" i="6"/>
  <c r="AL65" i="6"/>
  <c r="AK66" i="6"/>
  <c r="AL66" i="6"/>
  <c r="AK67" i="6"/>
  <c r="AL67" i="6"/>
  <c r="AK68" i="6"/>
  <c r="AL68" i="6"/>
  <c r="AK69" i="6"/>
  <c r="AL69" i="6"/>
  <c r="AK70" i="6"/>
  <c r="AL70" i="6"/>
  <c r="AK71" i="6"/>
  <c r="AL71" i="6"/>
  <c r="AK72" i="6"/>
  <c r="AL72" i="6"/>
  <c r="AK73" i="6"/>
  <c r="AL73" i="6"/>
  <c r="AK74" i="6"/>
  <c r="AL74" i="6"/>
  <c r="AK75" i="6"/>
  <c r="AL75" i="6"/>
  <c r="AK76" i="6"/>
  <c r="AL76" i="6"/>
  <c r="AK77" i="6"/>
  <c r="AL77" i="6"/>
  <c r="AK78" i="6"/>
  <c r="AL78" i="6"/>
  <c r="AK79" i="6"/>
  <c r="AL79" i="6"/>
  <c r="AK80" i="6"/>
  <c r="AL80" i="6"/>
  <c r="AK81" i="6"/>
  <c r="AL81" i="6"/>
  <c r="AK82" i="6"/>
  <c r="AL82" i="6"/>
  <c r="AK83" i="6"/>
  <c r="AL83" i="6"/>
  <c r="AK84" i="6"/>
  <c r="AL84" i="6"/>
  <c r="AK85" i="6"/>
  <c r="AL85" i="6"/>
  <c r="AK86" i="6"/>
  <c r="AL86" i="6"/>
  <c r="AK87" i="6"/>
  <c r="AL87" i="6"/>
  <c r="AK88" i="6"/>
  <c r="AL88" i="6"/>
  <c r="AK89" i="6"/>
  <c r="AL89" i="6"/>
  <c r="AK90" i="6"/>
  <c r="AL90" i="6"/>
  <c r="AK91" i="6"/>
  <c r="AL91" i="6"/>
  <c r="AK92" i="6"/>
  <c r="AL92" i="6"/>
  <c r="AK93" i="6"/>
  <c r="AL93" i="6"/>
  <c r="AK94" i="6"/>
  <c r="AL94" i="6"/>
  <c r="AK95" i="6"/>
  <c r="AL95" i="6"/>
  <c r="AK96" i="6"/>
  <c r="AL96" i="6"/>
  <c r="AK97" i="6"/>
  <c r="AL97" i="6"/>
  <c r="AK98" i="6"/>
  <c r="AL98" i="6"/>
  <c r="AK99" i="6"/>
  <c r="AL99" i="6"/>
  <c r="AK100" i="6"/>
  <c r="AL100" i="6"/>
  <c r="AK101" i="6"/>
  <c r="AL101" i="6"/>
  <c r="AK102" i="6"/>
  <c r="AL102" i="6"/>
  <c r="AK103" i="6"/>
  <c r="AL103" i="6"/>
  <c r="AK104" i="6"/>
  <c r="AL104" i="6"/>
  <c r="AK105" i="6"/>
  <c r="AL105" i="6"/>
  <c r="AK106" i="6"/>
  <c r="AL106" i="6"/>
  <c r="AK107" i="6"/>
  <c r="AL107" i="6"/>
  <c r="AK108" i="6"/>
  <c r="AL108" i="6"/>
  <c r="AK109" i="6"/>
  <c r="AL109" i="6"/>
  <c r="AK110" i="6"/>
  <c r="AL110" i="6"/>
  <c r="AK111" i="6"/>
  <c r="AL111" i="6"/>
  <c r="AK112" i="6"/>
  <c r="AL112" i="6"/>
  <c r="AK113" i="6"/>
  <c r="AL113" i="6"/>
  <c r="AK114" i="6"/>
  <c r="AL114" i="6"/>
  <c r="AK115" i="6"/>
  <c r="AL115" i="6"/>
  <c r="AK116" i="6"/>
  <c r="AL116" i="6"/>
  <c r="AK117" i="6"/>
  <c r="AL117" i="6"/>
  <c r="AK118" i="6"/>
  <c r="AL118" i="6"/>
  <c r="AK119" i="6"/>
  <c r="AL119" i="6"/>
  <c r="AK120" i="6"/>
  <c r="AL120" i="6"/>
  <c r="AK121" i="6"/>
  <c r="AL121" i="6"/>
  <c r="AK122" i="6"/>
  <c r="AL122" i="6"/>
  <c r="AK123" i="6"/>
  <c r="AL123" i="6"/>
  <c r="AK124" i="6"/>
  <c r="AL124" i="6"/>
  <c r="AK125" i="6"/>
  <c r="AL125" i="6"/>
  <c r="AK126" i="6"/>
  <c r="AL126" i="6"/>
  <c r="AK127" i="6"/>
  <c r="AL127" i="6"/>
  <c r="AK128" i="6"/>
  <c r="AL128" i="6"/>
  <c r="AK129" i="6"/>
  <c r="AL129" i="6"/>
  <c r="AK130" i="6"/>
  <c r="AL130" i="6"/>
  <c r="AK131" i="6"/>
  <c r="AL131" i="6"/>
  <c r="AK132" i="6"/>
  <c r="AL132" i="6"/>
  <c r="AK133" i="6"/>
  <c r="AL133" i="6"/>
  <c r="AK134" i="6"/>
  <c r="AL134" i="6"/>
  <c r="AK135" i="6"/>
  <c r="AL135" i="6"/>
  <c r="AK136" i="6"/>
  <c r="AL136" i="6"/>
  <c r="AK137" i="6"/>
  <c r="AL137" i="6"/>
  <c r="AK138" i="6"/>
  <c r="AL138" i="6"/>
  <c r="AK139" i="6"/>
  <c r="AL139" i="6"/>
  <c r="AK140" i="6"/>
  <c r="AL140" i="6"/>
  <c r="AK141" i="6"/>
  <c r="AL141" i="6"/>
  <c r="AK142" i="6"/>
  <c r="AL142" i="6"/>
  <c r="AK143" i="6"/>
  <c r="AL143" i="6"/>
  <c r="AK144" i="6"/>
  <c r="AL144" i="6"/>
  <c r="AK145" i="6"/>
  <c r="AL145" i="6"/>
  <c r="AK146" i="6"/>
  <c r="AL146" i="6"/>
  <c r="AK147" i="6"/>
  <c r="AL147" i="6"/>
  <c r="AK148" i="6"/>
  <c r="AL148" i="6"/>
  <c r="AK149" i="6"/>
  <c r="AL149" i="6"/>
  <c r="AK150" i="6"/>
  <c r="AL150" i="6"/>
  <c r="AK151" i="6"/>
  <c r="AL151" i="6"/>
  <c r="AK152" i="6"/>
  <c r="AL152" i="6"/>
  <c r="AK153" i="6"/>
  <c r="AL153" i="6"/>
  <c r="AK154" i="6"/>
  <c r="AL154" i="6"/>
  <c r="AK155" i="6"/>
  <c r="AL155" i="6"/>
  <c r="AK156" i="6"/>
  <c r="AL156" i="6"/>
  <c r="AK157" i="6"/>
  <c r="AL157" i="6"/>
  <c r="AK158" i="6"/>
  <c r="AL158" i="6"/>
  <c r="AK159" i="6"/>
  <c r="AL159" i="6"/>
  <c r="AK160" i="6"/>
  <c r="AL160" i="6"/>
  <c r="AK161" i="6"/>
  <c r="AL161" i="6"/>
  <c r="AK162" i="6"/>
  <c r="AL162" i="6"/>
  <c r="AK163" i="6"/>
  <c r="AL163" i="6"/>
  <c r="AK164" i="6"/>
  <c r="AL164" i="6"/>
  <c r="AK165" i="6"/>
  <c r="AL165" i="6"/>
  <c r="AK166" i="6"/>
  <c r="AL166" i="6"/>
  <c r="AK167" i="6"/>
  <c r="AL167" i="6"/>
  <c r="AK168" i="6"/>
  <c r="AL168" i="6"/>
  <c r="AK169" i="6"/>
  <c r="AL169" i="6"/>
  <c r="AK170" i="6"/>
  <c r="AL170" i="6"/>
  <c r="AK171" i="6"/>
  <c r="AL171" i="6"/>
  <c r="AK172" i="6"/>
  <c r="AL172" i="6"/>
  <c r="AK173" i="6"/>
  <c r="AL173" i="6"/>
  <c r="AK174" i="6"/>
  <c r="AL174" i="6"/>
  <c r="AK175" i="6"/>
  <c r="AL175" i="6"/>
  <c r="AK5" i="6"/>
  <c r="AL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5" i="6"/>
  <c r="F179" i="3"/>
  <c r="F180" i="3"/>
  <c r="AQ9" i="8"/>
  <c r="AQ16" i="8" s="1"/>
  <c r="O150" i="6"/>
  <c r="K5" i="6"/>
  <c r="N5" i="6"/>
  <c r="O5" i="6"/>
  <c r="R5" i="6"/>
  <c r="S5" i="6"/>
  <c r="T5" i="6"/>
  <c r="U5" i="6"/>
  <c r="V5" i="6"/>
  <c r="W5" i="6"/>
  <c r="Y5" i="6"/>
  <c r="Z5" i="6"/>
  <c r="AA5" i="6"/>
  <c r="AB5" i="6"/>
  <c r="AC5" i="6"/>
  <c r="AE5" i="6"/>
  <c r="AF5" i="6"/>
  <c r="AH5" i="6"/>
  <c r="AI5" i="6"/>
  <c r="AJ5" i="6"/>
  <c r="AM5" i="6"/>
  <c r="K6" i="6"/>
  <c r="N6" i="6"/>
  <c r="O6" i="6"/>
  <c r="R6" i="6"/>
  <c r="S6" i="6"/>
  <c r="T6" i="6"/>
  <c r="U6" i="6"/>
  <c r="V6" i="6"/>
  <c r="W6" i="6"/>
  <c r="Y6" i="6"/>
  <c r="Z6" i="6"/>
  <c r="AA6" i="6"/>
  <c r="AB6" i="6"/>
  <c r="AC6" i="6"/>
  <c r="AE6" i="6"/>
  <c r="AF6" i="6"/>
  <c r="AH6" i="6"/>
  <c r="AI6" i="6"/>
  <c r="AJ6" i="6"/>
  <c r="AM6" i="6"/>
  <c r="K7" i="6"/>
  <c r="N7" i="6"/>
  <c r="O7" i="6"/>
  <c r="R7" i="6"/>
  <c r="S7" i="6"/>
  <c r="T7" i="6"/>
  <c r="U7" i="6"/>
  <c r="V7" i="6"/>
  <c r="W7" i="6"/>
  <c r="Y7" i="6"/>
  <c r="Z7" i="6"/>
  <c r="AA7" i="6"/>
  <c r="AB7" i="6"/>
  <c r="AC7" i="6"/>
  <c r="AE7" i="6"/>
  <c r="AF7" i="6"/>
  <c r="AH7" i="6"/>
  <c r="AI7" i="6"/>
  <c r="AJ7" i="6"/>
  <c r="AM7" i="6"/>
  <c r="K8" i="6"/>
  <c r="N8" i="6"/>
  <c r="O8" i="6"/>
  <c r="R8" i="6"/>
  <c r="S8" i="6"/>
  <c r="T8" i="6"/>
  <c r="U8" i="6"/>
  <c r="V8" i="6"/>
  <c r="W8" i="6"/>
  <c r="Y8" i="6"/>
  <c r="Z8" i="6"/>
  <c r="AA8" i="6"/>
  <c r="AB8" i="6"/>
  <c r="AC8" i="6"/>
  <c r="AE8" i="6"/>
  <c r="AF8" i="6"/>
  <c r="AH8" i="6"/>
  <c r="AI8" i="6"/>
  <c r="AJ8" i="6"/>
  <c r="AM8" i="6"/>
  <c r="K9" i="6"/>
  <c r="N9" i="6"/>
  <c r="O9" i="6"/>
  <c r="R9" i="6"/>
  <c r="S9" i="6"/>
  <c r="T9" i="6"/>
  <c r="U9" i="6"/>
  <c r="V9" i="6"/>
  <c r="W9" i="6"/>
  <c r="Y9" i="6"/>
  <c r="Z9" i="6"/>
  <c r="AA9" i="6"/>
  <c r="AB9" i="6"/>
  <c r="AC9" i="6"/>
  <c r="AE9" i="6"/>
  <c r="AF9" i="6"/>
  <c r="AH9" i="6"/>
  <c r="AI9" i="6"/>
  <c r="AJ9" i="6"/>
  <c r="AM9" i="6"/>
  <c r="K10" i="6"/>
  <c r="N10" i="6"/>
  <c r="O10" i="6"/>
  <c r="R10" i="6"/>
  <c r="S10" i="6"/>
  <c r="T10" i="6"/>
  <c r="U10" i="6"/>
  <c r="V10" i="6"/>
  <c r="W10" i="6"/>
  <c r="Y10" i="6"/>
  <c r="Z10" i="6"/>
  <c r="AA10" i="6"/>
  <c r="AB10" i="6"/>
  <c r="AC10" i="6"/>
  <c r="AE10" i="6"/>
  <c r="AF10" i="6"/>
  <c r="AH10" i="6"/>
  <c r="AI10" i="6"/>
  <c r="AJ10" i="6"/>
  <c r="AM10" i="6"/>
  <c r="K11" i="6"/>
  <c r="N11" i="6"/>
  <c r="O11" i="6"/>
  <c r="R11" i="6"/>
  <c r="S11" i="6"/>
  <c r="T11" i="6"/>
  <c r="U11" i="6"/>
  <c r="V11" i="6"/>
  <c r="W11" i="6"/>
  <c r="Y11" i="6"/>
  <c r="Z11" i="6"/>
  <c r="AA11" i="6"/>
  <c r="AB11" i="6"/>
  <c r="AC11" i="6"/>
  <c r="AE11" i="6"/>
  <c r="AF11" i="6"/>
  <c r="AH11" i="6"/>
  <c r="AI11" i="6"/>
  <c r="AJ11" i="6"/>
  <c r="AM11" i="6"/>
  <c r="K12" i="6"/>
  <c r="N12" i="6"/>
  <c r="O12" i="6"/>
  <c r="R12" i="6"/>
  <c r="S12" i="6"/>
  <c r="T12" i="6"/>
  <c r="U12" i="6"/>
  <c r="V12" i="6"/>
  <c r="W12" i="6"/>
  <c r="Y12" i="6"/>
  <c r="Z12" i="6"/>
  <c r="AA12" i="6"/>
  <c r="AB12" i="6"/>
  <c r="AC12" i="6"/>
  <c r="AE12" i="6"/>
  <c r="AF12" i="6"/>
  <c r="AH12" i="6"/>
  <c r="AI12" i="6"/>
  <c r="AJ12" i="6"/>
  <c r="AM12" i="6"/>
  <c r="K13" i="6"/>
  <c r="N13" i="6"/>
  <c r="O13" i="6"/>
  <c r="R13" i="6"/>
  <c r="S13" i="6"/>
  <c r="T13" i="6"/>
  <c r="U13" i="6"/>
  <c r="V13" i="6"/>
  <c r="W13" i="6"/>
  <c r="Y13" i="6"/>
  <c r="Z13" i="6"/>
  <c r="AA13" i="6"/>
  <c r="AB13" i="6"/>
  <c r="AC13" i="6"/>
  <c r="AE13" i="6"/>
  <c r="AF13" i="6"/>
  <c r="AH13" i="6"/>
  <c r="AI13" i="6"/>
  <c r="AJ13" i="6"/>
  <c r="AM13" i="6"/>
  <c r="K14" i="6"/>
  <c r="N14" i="6"/>
  <c r="O14" i="6"/>
  <c r="R14" i="6"/>
  <c r="S14" i="6"/>
  <c r="T14" i="6"/>
  <c r="U14" i="6"/>
  <c r="V14" i="6"/>
  <c r="W14" i="6"/>
  <c r="Y14" i="6"/>
  <c r="Z14" i="6"/>
  <c r="AA14" i="6"/>
  <c r="AB14" i="6"/>
  <c r="AC14" i="6"/>
  <c r="AE14" i="6"/>
  <c r="AF14" i="6"/>
  <c r="AH14" i="6"/>
  <c r="AI14" i="6"/>
  <c r="AJ14" i="6"/>
  <c r="AM14" i="6"/>
  <c r="K15" i="6"/>
  <c r="N15" i="6"/>
  <c r="O15" i="6"/>
  <c r="R15" i="6"/>
  <c r="S15" i="6"/>
  <c r="T15" i="6"/>
  <c r="U15" i="6"/>
  <c r="V15" i="6"/>
  <c r="W15" i="6"/>
  <c r="Y15" i="6"/>
  <c r="Z15" i="6"/>
  <c r="AA15" i="6"/>
  <c r="AB15" i="6"/>
  <c r="AC15" i="6"/>
  <c r="AE15" i="6"/>
  <c r="AF15" i="6"/>
  <c r="AH15" i="6"/>
  <c r="AI15" i="6"/>
  <c r="AJ15" i="6"/>
  <c r="AM15" i="6"/>
  <c r="K16" i="6"/>
  <c r="N16" i="6"/>
  <c r="O16" i="6"/>
  <c r="R16" i="6"/>
  <c r="S16" i="6"/>
  <c r="T16" i="6"/>
  <c r="U16" i="6"/>
  <c r="V16" i="6"/>
  <c r="W16" i="6"/>
  <c r="Y16" i="6"/>
  <c r="Z16" i="6"/>
  <c r="AA16" i="6"/>
  <c r="AB16" i="6"/>
  <c r="AC16" i="6"/>
  <c r="AE16" i="6"/>
  <c r="AF16" i="6"/>
  <c r="AH16" i="6"/>
  <c r="AI16" i="6"/>
  <c r="AJ16" i="6"/>
  <c r="AM16" i="6"/>
  <c r="K17" i="6"/>
  <c r="N17" i="6"/>
  <c r="O17" i="6"/>
  <c r="R17" i="6"/>
  <c r="S17" i="6"/>
  <c r="T17" i="6"/>
  <c r="U17" i="6"/>
  <c r="V17" i="6"/>
  <c r="W17" i="6"/>
  <c r="Y17" i="6"/>
  <c r="Z17" i="6"/>
  <c r="AA17" i="6"/>
  <c r="AB17" i="6"/>
  <c r="AC17" i="6"/>
  <c r="AE17" i="6"/>
  <c r="AF17" i="6"/>
  <c r="AH17" i="6"/>
  <c r="AI17" i="6"/>
  <c r="AJ17" i="6"/>
  <c r="AM17" i="6"/>
  <c r="K18" i="6"/>
  <c r="N18" i="6"/>
  <c r="O18" i="6"/>
  <c r="R18" i="6"/>
  <c r="S18" i="6"/>
  <c r="T18" i="6"/>
  <c r="U18" i="6"/>
  <c r="V18" i="6"/>
  <c r="W18" i="6"/>
  <c r="Y18" i="6"/>
  <c r="Z18" i="6"/>
  <c r="AA18" i="6"/>
  <c r="AB18" i="6"/>
  <c r="AC18" i="6"/>
  <c r="AE18" i="6"/>
  <c r="AF18" i="6"/>
  <c r="AH18" i="6"/>
  <c r="AI18" i="6"/>
  <c r="AJ18" i="6"/>
  <c r="AM18" i="6"/>
  <c r="K19" i="6"/>
  <c r="N19" i="6"/>
  <c r="O19" i="6"/>
  <c r="R19" i="6"/>
  <c r="S19" i="6"/>
  <c r="T19" i="6"/>
  <c r="U19" i="6"/>
  <c r="V19" i="6"/>
  <c r="W19" i="6"/>
  <c r="Y19" i="6"/>
  <c r="Z19" i="6"/>
  <c r="AA19" i="6"/>
  <c r="AB19" i="6"/>
  <c r="AC19" i="6"/>
  <c r="AE19" i="6"/>
  <c r="AF19" i="6"/>
  <c r="AH19" i="6"/>
  <c r="AI19" i="6"/>
  <c r="AJ19" i="6"/>
  <c r="AM19" i="6"/>
  <c r="K20" i="6"/>
  <c r="N20" i="6"/>
  <c r="O20" i="6"/>
  <c r="R20" i="6"/>
  <c r="S20" i="6"/>
  <c r="T20" i="6"/>
  <c r="U20" i="6"/>
  <c r="V20" i="6"/>
  <c r="W20" i="6"/>
  <c r="Y20" i="6"/>
  <c r="Z20" i="6"/>
  <c r="AA20" i="6"/>
  <c r="AB20" i="6"/>
  <c r="AC20" i="6"/>
  <c r="AE20" i="6"/>
  <c r="AF20" i="6"/>
  <c r="AH20" i="6"/>
  <c r="AI20" i="6"/>
  <c r="AJ20" i="6"/>
  <c r="AM20" i="6"/>
  <c r="K21" i="6"/>
  <c r="N21" i="6"/>
  <c r="O21" i="6"/>
  <c r="R21" i="6"/>
  <c r="S21" i="6"/>
  <c r="T21" i="6"/>
  <c r="U21" i="6"/>
  <c r="V21" i="6"/>
  <c r="W21" i="6"/>
  <c r="Y21" i="6"/>
  <c r="Z21" i="6"/>
  <c r="AA21" i="6"/>
  <c r="AB21" i="6"/>
  <c r="AC21" i="6"/>
  <c r="AE21" i="6"/>
  <c r="AF21" i="6"/>
  <c r="AH21" i="6"/>
  <c r="AI21" i="6"/>
  <c r="AJ21" i="6"/>
  <c r="AM21" i="6"/>
  <c r="K22" i="6"/>
  <c r="N22" i="6"/>
  <c r="O22" i="6"/>
  <c r="R22" i="6"/>
  <c r="S22" i="6"/>
  <c r="T22" i="6"/>
  <c r="U22" i="6"/>
  <c r="V22" i="6"/>
  <c r="W22" i="6"/>
  <c r="Y22" i="6"/>
  <c r="Z22" i="6"/>
  <c r="AA22" i="6"/>
  <c r="AB22" i="6"/>
  <c r="AC22" i="6"/>
  <c r="AE22" i="6"/>
  <c r="AF22" i="6"/>
  <c r="AH22" i="6"/>
  <c r="AI22" i="6"/>
  <c r="AJ22" i="6"/>
  <c r="AM22" i="6"/>
  <c r="K23" i="6"/>
  <c r="N23" i="6"/>
  <c r="O23" i="6"/>
  <c r="R23" i="6"/>
  <c r="S23" i="6"/>
  <c r="T23" i="6"/>
  <c r="U23" i="6"/>
  <c r="V23" i="6"/>
  <c r="W23" i="6"/>
  <c r="Y23" i="6"/>
  <c r="Z23" i="6"/>
  <c r="AA23" i="6"/>
  <c r="AB23" i="6"/>
  <c r="AC23" i="6"/>
  <c r="AE23" i="6"/>
  <c r="AF23" i="6"/>
  <c r="AH23" i="6"/>
  <c r="AI23" i="6"/>
  <c r="AJ23" i="6"/>
  <c r="AM23" i="6"/>
  <c r="K24" i="6"/>
  <c r="N24" i="6"/>
  <c r="O24" i="6"/>
  <c r="R24" i="6"/>
  <c r="S24" i="6"/>
  <c r="T24" i="6"/>
  <c r="U24" i="6"/>
  <c r="V24" i="6"/>
  <c r="W24" i="6"/>
  <c r="Y24" i="6"/>
  <c r="Z24" i="6"/>
  <c r="AA24" i="6"/>
  <c r="AB24" i="6"/>
  <c r="AC24" i="6"/>
  <c r="AE24" i="6"/>
  <c r="AF24" i="6"/>
  <c r="AH24" i="6"/>
  <c r="AI24" i="6"/>
  <c r="AJ24" i="6"/>
  <c r="AM24" i="6"/>
  <c r="K25" i="6"/>
  <c r="N25" i="6"/>
  <c r="O25" i="6"/>
  <c r="R25" i="6"/>
  <c r="S25" i="6"/>
  <c r="T25" i="6"/>
  <c r="U25" i="6"/>
  <c r="V25" i="6"/>
  <c r="W25" i="6"/>
  <c r="Y25" i="6"/>
  <c r="Z25" i="6"/>
  <c r="AA25" i="6"/>
  <c r="AB25" i="6"/>
  <c r="AC25" i="6"/>
  <c r="AE25" i="6"/>
  <c r="AF25" i="6"/>
  <c r="AH25" i="6"/>
  <c r="AI25" i="6"/>
  <c r="AJ25" i="6"/>
  <c r="AM25" i="6"/>
  <c r="K26" i="6"/>
  <c r="N26" i="6"/>
  <c r="O26" i="6"/>
  <c r="R26" i="6"/>
  <c r="S26" i="6"/>
  <c r="T26" i="6"/>
  <c r="U26" i="6"/>
  <c r="V26" i="6"/>
  <c r="W26" i="6"/>
  <c r="Y26" i="6"/>
  <c r="Z26" i="6"/>
  <c r="AA26" i="6"/>
  <c r="AB26" i="6"/>
  <c r="AC26" i="6"/>
  <c r="AE26" i="6"/>
  <c r="AF26" i="6"/>
  <c r="AH26" i="6"/>
  <c r="AI26" i="6"/>
  <c r="AJ26" i="6"/>
  <c r="AM26" i="6"/>
  <c r="K27" i="6"/>
  <c r="N27" i="6"/>
  <c r="O27" i="6"/>
  <c r="R27" i="6"/>
  <c r="S27" i="6"/>
  <c r="T27" i="6"/>
  <c r="U27" i="6"/>
  <c r="V27" i="6"/>
  <c r="W27" i="6"/>
  <c r="Y27" i="6"/>
  <c r="Z27" i="6"/>
  <c r="AA27" i="6"/>
  <c r="AB27" i="6"/>
  <c r="AC27" i="6"/>
  <c r="AE27" i="6"/>
  <c r="AF27" i="6"/>
  <c r="AH27" i="6"/>
  <c r="AI27" i="6"/>
  <c r="AJ27" i="6"/>
  <c r="AM27" i="6"/>
  <c r="K28" i="6"/>
  <c r="N28" i="6"/>
  <c r="O28" i="6"/>
  <c r="R28" i="6"/>
  <c r="S28" i="6"/>
  <c r="T28" i="6"/>
  <c r="U28" i="6"/>
  <c r="V28" i="6"/>
  <c r="W28" i="6"/>
  <c r="Y28" i="6"/>
  <c r="Z28" i="6"/>
  <c r="AA28" i="6"/>
  <c r="AB28" i="6"/>
  <c r="AC28" i="6"/>
  <c r="AE28" i="6"/>
  <c r="AF28" i="6"/>
  <c r="AH28" i="6"/>
  <c r="AI28" i="6"/>
  <c r="AJ28" i="6"/>
  <c r="AM28" i="6"/>
  <c r="K29" i="6"/>
  <c r="N29" i="6"/>
  <c r="O29" i="6"/>
  <c r="R29" i="6"/>
  <c r="S29" i="6"/>
  <c r="T29" i="6"/>
  <c r="U29" i="6"/>
  <c r="V29" i="6"/>
  <c r="W29" i="6"/>
  <c r="Y29" i="6"/>
  <c r="Z29" i="6"/>
  <c r="AA29" i="6"/>
  <c r="AB29" i="6"/>
  <c r="AC29" i="6"/>
  <c r="AE29" i="6"/>
  <c r="AF29" i="6"/>
  <c r="AH29" i="6"/>
  <c r="AI29" i="6"/>
  <c r="AJ29" i="6"/>
  <c r="AM29" i="6"/>
  <c r="K30" i="6"/>
  <c r="N30" i="6"/>
  <c r="O30" i="6"/>
  <c r="R30" i="6"/>
  <c r="S30" i="6"/>
  <c r="T30" i="6"/>
  <c r="U30" i="6"/>
  <c r="V30" i="6"/>
  <c r="W30" i="6"/>
  <c r="Y30" i="6"/>
  <c r="Z30" i="6"/>
  <c r="AA30" i="6"/>
  <c r="AB30" i="6"/>
  <c r="AC30" i="6"/>
  <c r="AE30" i="6"/>
  <c r="AF30" i="6"/>
  <c r="AH30" i="6"/>
  <c r="AI30" i="6"/>
  <c r="AJ30" i="6"/>
  <c r="AM30" i="6"/>
  <c r="K31" i="6"/>
  <c r="N31" i="6"/>
  <c r="O31" i="6"/>
  <c r="R31" i="6"/>
  <c r="S31" i="6"/>
  <c r="T31" i="6"/>
  <c r="U31" i="6"/>
  <c r="V31" i="6"/>
  <c r="W31" i="6"/>
  <c r="Y31" i="6"/>
  <c r="Z31" i="6"/>
  <c r="AA31" i="6"/>
  <c r="AB31" i="6"/>
  <c r="AC31" i="6"/>
  <c r="AE31" i="6"/>
  <c r="AF31" i="6"/>
  <c r="AH31" i="6"/>
  <c r="AI31" i="6"/>
  <c r="AJ31" i="6"/>
  <c r="AM31" i="6"/>
  <c r="K32" i="6"/>
  <c r="N32" i="6"/>
  <c r="O32" i="6"/>
  <c r="R32" i="6"/>
  <c r="S32" i="6"/>
  <c r="T32" i="6"/>
  <c r="U32" i="6"/>
  <c r="V32" i="6"/>
  <c r="W32" i="6"/>
  <c r="Y32" i="6"/>
  <c r="Z32" i="6"/>
  <c r="AA32" i="6"/>
  <c r="AB32" i="6"/>
  <c r="AC32" i="6"/>
  <c r="AE32" i="6"/>
  <c r="AF32" i="6"/>
  <c r="AH32" i="6"/>
  <c r="AI32" i="6"/>
  <c r="AJ32" i="6"/>
  <c r="AM32" i="6"/>
  <c r="K33" i="6"/>
  <c r="N33" i="6"/>
  <c r="O33" i="6"/>
  <c r="R33" i="6"/>
  <c r="S33" i="6"/>
  <c r="T33" i="6"/>
  <c r="U33" i="6"/>
  <c r="V33" i="6"/>
  <c r="W33" i="6"/>
  <c r="Y33" i="6"/>
  <c r="Z33" i="6"/>
  <c r="AA33" i="6"/>
  <c r="AB33" i="6"/>
  <c r="AC33" i="6"/>
  <c r="AE33" i="6"/>
  <c r="AF33" i="6"/>
  <c r="AH33" i="6"/>
  <c r="AI33" i="6"/>
  <c r="AJ33" i="6"/>
  <c r="AM33" i="6"/>
  <c r="K34" i="6"/>
  <c r="N34" i="6"/>
  <c r="O34" i="6"/>
  <c r="R34" i="6"/>
  <c r="S34" i="6"/>
  <c r="T34" i="6"/>
  <c r="U34" i="6"/>
  <c r="V34" i="6"/>
  <c r="W34" i="6"/>
  <c r="Y34" i="6"/>
  <c r="Z34" i="6"/>
  <c r="AA34" i="6"/>
  <c r="AB34" i="6"/>
  <c r="AC34" i="6"/>
  <c r="AE34" i="6"/>
  <c r="AF34" i="6"/>
  <c r="AH34" i="6"/>
  <c r="AI34" i="6"/>
  <c r="AJ34" i="6"/>
  <c r="AM34" i="6"/>
  <c r="K35" i="6"/>
  <c r="N35" i="6"/>
  <c r="O35" i="6"/>
  <c r="R35" i="6"/>
  <c r="S35" i="6"/>
  <c r="T35" i="6"/>
  <c r="U35" i="6"/>
  <c r="V35" i="6"/>
  <c r="W35" i="6"/>
  <c r="Y35" i="6"/>
  <c r="Z35" i="6"/>
  <c r="AA35" i="6"/>
  <c r="AB35" i="6"/>
  <c r="AC35" i="6"/>
  <c r="AE35" i="6"/>
  <c r="AF35" i="6"/>
  <c r="AH35" i="6"/>
  <c r="AI35" i="6"/>
  <c r="AJ35" i="6"/>
  <c r="AM35" i="6"/>
  <c r="K36" i="6"/>
  <c r="N36" i="6"/>
  <c r="O36" i="6"/>
  <c r="R36" i="6"/>
  <c r="S36" i="6"/>
  <c r="T36" i="6"/>
  <c r="U36" i="6"/>
  <c r="V36" i="6"/>
  <c r="W36" i="6"/>
  <c r="Y36" i="6"/>
  <c r="Z36" i="6"/>
  <c r="AA36" i="6"/>
  <c r="AB36" i="6"/>
  <c r="AC36" i="6"/>
  <c r="AE36" i="6"/>
  <c r="AF36" i="6"/>
  <c r="AH36" i="6"/>
  <c r="AI36" i="6"/>
  <c r="AJ36" i="6"/>
  <c r="AM36" i="6"/>
  <c r="K37" i="6"/>
  <c r="N37" i="6"/>
  <c r="O37" i="6"/>
  <c r="R37" i="6"/>
  <c r="S37" i="6"/>
  <c r="T37" i="6"/>
  <c r="U37" i="6"/>
  <c r="V37" i="6"/>
  <c r="W37" i="6"/>
  <c r="Y37" i="6"/>
  <c r="Z37" i="6"/>
  <c r="AA37" i="6"/>
  <c r="AB37" i="6"/>
  <c r="AC37" i="6"/>
  <c r="AE37" i="6"/>
  <c r="AF37" i="6"/>
  <c r="AH37" i="6"/>
  <c r="AI37" i="6"/>
  <c r="AJ37" i="6"/>
  <c r="AM37" i="6"/>
  <c r="K38" i="6"/>
  <c r="N38" i="6"/>
  <c r="O38" i="6"/>
  <c r="R38" i="6"/>
  <c r="S38" i="6"/>
  <c r="T38" i="6"/>
  <c r="U38" i="6"/>
  <c r="V38" i="6"/>
  <c r="W38" i="6"/>
  <c r="Y38" i="6"/>
  <c r="Z38" i="6"/>
  <c r="AA38" i="6"/>
  <c r="AB38" i="6"/>
  <c r="AC38" i="6"/>
  <c r="AE38" i="6"/>
  <c r="AF38" i="6"/>
  <c r="AH38" i="6"/>
  <c r="AI38" i="6"/>
  <c r="AJ38" i="6"/>
  <c r="AM38" i="6"/>
  <c r="K39" i="6"/>
  <c r="N39" i="6"/>
  <c r="O39" i="6"/>
  <c r="R39" i="6"/>
  <c r="S39" i="6"/>
  <c r="T39" i="6"/>
  <c r="U39" i="6"/>
  <c r="V39" i="6"/>
  <c r="W39" i="6"/>
  <c r="Y39" i="6"/>
  <c r="Z39" i="6"/>
  <c r="AA39" i="6"/>
  <c r="AB39" i="6"/>
  <c r="AC39" i="6"/>
  <c r="AE39" i="6"/>
  <c r="AF39" i="6"/>
  <c r="AH39" i="6"/>
  <c r="AI39" i="6"/>
  <c r="AJ39" i="6"/>
  <c r="AM39" i="6"/>
  <c r="K40" i="6"/>
  <c r="N40" i="6"/>
  <c r="O40" i="6"/>
  <c r="R40" i="6"/>
  <c r="S40" i="6"/>
  <c r="T40" i="6"/>
  <c r="U40" i="6"/>
  <c r="V40" i="6"/>
  <c r="W40" i="6"/>
  <c r="Y40" i="6"/>
  <c r="Z40" i="6"/>
  <c r="AA40" i="6"/>
  <c r="AB40" i="6"/>
  <c r="AC40" i="6"/>
  <c r="AE40" i="6"/>
  <c r="AF40" i="6"/>
  <c r="AH40" i="6"/>
  <c r="AI40" i="6"/>
  <c r="AJ40" i="6"/>
  <c r="AM40" i="6"/>
  <c r="K41" i="6"/>
  <c r="N41" i="6"/>
  <c r="O41" i="6"/>
  <c r="R41" i="6"/>
  <c r="S41" i="6"/>
  <c r="T41" i="6"/>
  <c r="U41" i="6"/>
  <c r="V41" i="6"/>
  <c r="W41" i="6"/>
  <c r="Y41" i="6"/>
  <c r="Z41" i="6"/>
  <c r="AA41" i="6"/>
  <c r="AB41" i="6"/>
  <c r="AC41" i="6"/>
  <c r="AE41" i="6"/>
  <c r="AF41" i="6"/>
  <c r="AH41" i="6"/>
  <c r="AI41" i="6"/>
  <c r="AJ41" i="6"/>
  <c r="AM41" i="6"/>
  <c r="K42" i="6"/>
  <c r="N42" i="6"/>
  <c r="O42" i="6"/>
  <c r="R42" i="6"/>
  <c r="S42" i="6"/>
  <c r="T42" i="6"/>
  <c r="U42" i="6"/>
  <c r="V42" i="6"/>
  <c r="W42" i="6"/>
  <c r="Y42" i="6"/>
  <c r="Z42" i="6"/>
  <c r="AA42" i="6"/>
  <c r="AB42" i="6"/>
  <c r="AC42" i="6"/>
  <c r="AE42" i="6"/>
  <c r="AF42" i="6"/>
  <c r="AH42" i="6"/>
  <c r="AI42" i="6"/>
  <c r="AJ42" i="6"/>
  <c r="AM42" i="6"/>
  <c r="K43" i="6"/>
  <c r="N43" i="6"/>
  <c r="O43" i="6"/>
  <c r="R43" i="6"/>
  <c r="S43" i="6"/>
  <c r="T43" i="6"/>
  <c r="U43" i="6"/>
  <c r="V43" i="6"/>
  <c r="W43" i="6"/>
  <c r="Y43" i="6"/>
  <c r="Z43" i="6"/>
  <c r="AA43" i="6"/>
  <c r="AB43" i="6"/>
  <c r="AC43" i="6"/>
  <c r="AE43" i="6"/>
  <c r="AF43" i="6"/>
  <c r="AH43" i="6"/>
  <c r="AI43" i="6"/>
  <c r="AJ43" i="6"/>
  <c r="AM43" i="6"/>
  <c r="K44" i="6"/>
  <c r="N44" i="6"/>
  <c r="O44" i="6"/>
  <c r="R44" i="6"/>
  <c r="S44" i="6"/>
  <c r="T44" i="6"/>
  <c r="U44" i="6"/>
  <c r="V44" i="6"/>
  <c r="W44" i="6"/>
  <c r="Y44" i="6"/>
  <c r="Z44" i="6"/>
  <c r="AA44" i="6"/>
  <c r="AB44" i="6"/>
  <c r="AC44" i="6"/>
  <c r="AE44" i="6"/>
  <c r="AF44" i="6"/>
  <c r="AH44" i="6"/>
  <c r="AI44" i="6"/>
  <c r="AJ44" i="6"/>
  <c r="AM44" i="6"/>
  <c r="K45" i="6"/>
  <c r="N45" i="6"/>
  <c r="O45" i="6"/>
  <c r="R45" i="6"/>
  <c r="S45" i="6"/>
  <c r="T45" i="6"/>
  <c r="U45" i="6"/>
  <c r="V45" i="6"/>
  <c r="W45" i="6"/>
  <c r="Y45" i="6"/>
  <c r="Z45" i="6"/>
  <c r="AA45" i="6"/>
  <c r="AB45" i="6"/>
  <c r="AC45" i="6"/>
  <c r="AE45" i="6"/>
  <c r="AF45" i="6"/>
  <c r="AH45" i="6"/>
  <c r="AI45" i="6"/>
  <c r="AJ45" i="6"/>
  <c r="AM45" i="6"/>
  <c r="K46" i="6"/>
  <c r="N46" i="6"/>
  <c r="O46" i="6"/>
  <c r="R46" i="6"/>
  <c r="S46" i="6"/>
  <c r="T46" i="6"/>
  <c r="U46" i="6"/>
  <c r="V46" i="6"/>
  <c r="W46" i="6"/>
  <c r="Y46" i="6"/>
  <c r="Z46" i="6"/>
  <c r="AA46" i="6"/>
  <c r="AB46" i="6"/>
  <c r="AC46" i="6"/>
  <c r="AE46" i="6"/>
  <c r="AF46" i="6"/>
  <c r="AH46" i="6"/>
  <c r="AI46" i="6"/>
  <c r="AJ46" i="6"/>
  <c r="AM46" i="6"/>
  <c r="K47" i="6"/>
  <c r="N47" i="6"/>
  <c r="O47" i="6"/>
  <c r="R47" i="6"/>
  <c r="S47" i="6"/>
  <c r="T47" i="6"/>
  <c r="U47" i="6"/>
  <c r="V47" i="6"/>
  <c r="W47" i="6"/>
  <c r="Y47" i="6"/>
  <c r="Z47" i="6"/>
  <c r="AA47" i="6"/>
  <c r="AB47" i="6"/>
  <c r="AC47" i="6"/>
  <c r="AE47" i="6"/>
  <c r="AF47" i="6"/>
  <c r="AH47" i="6"/>
  <c r="AI47" i="6"/>
  <c r="AJ47" i="6"/>
  <c r="AM47" i="6"/>
  <c r="K48" i="6"/>
  <c r="N48" i="6"/>
  <c r="O48" i="6"/>
  <c r="R48" i="6"/>
  <c r="S48" i="6"/>
  <c r="T48" i="6"/>
  <c r="U48" i="6"/>
  <c r="V48" i="6"/>
  <c r="W48" i="6"/>
  <c r="Y48" i="6"/>
  <c r="Z48" i="6"/>
  <c r="AA48" i="6"/>
  <c r="AB48" i="6"/>
  <c r="AC48" i="6"/>
  <c r="AE48" i="6"/>
  <c r="AF48" i="6"/>
  <c r="AH48" i="6"/>
  <c r="AI48" i="6"/>
  <c r="AJ48" i="6"/>
  <c r="AM48" i="6"/>
  <c r="K49" i="6"/>
  <c r="N49" i="6"/>
  <c r="O49" i="6"/>
  <c r="R49" i="6"/>
  <c r="S49" i="6"/>
  <c r="T49" i="6"/>
  <c r="U49" i="6"/>
  <c r="V49" i="6"/>
  <c r="W49" i="6"/>
  <c r="Y49" i="6"/>
  <c r="Z49" i="6"/>
  <c r="AA49" i="6"/>
  <c r="AB49" i="6"/>
  <c r="AC49" i="6"/>
  <c r="AE49" i="6"/>
  <c r="AF49" i="6"/>
  <c r="AH49" i="6"/>
  <c r="AI49" i="6"/>
  <c r="AJ49" i="6"/>
  <c r="AM49" i="6"/>
  <c r="K50" i="6"/>
  <c r="N50" i="6"/>
  <c r="O50" i="6"/>
  <c r="R50" i="6"/>
  <c r="S50" i="6"/>
  <c r="T50" i="6"/>
  <c r="U50" i="6"/>
  <c r="V50" i="6"/>
  <c r="W50" i="6"/>
  <c r="Y50" i="6"/>
  <c r="Z50" i="6"/>
  <c r="AA50" i="6"/>
  <c r="AB50" i="6"/>
  <c r="AC50" i="6"/>
  <c r="AE50" i="6"/>
  <c r="AF50" i="6"/>
  <c r="AH50" i="6"/>
  <c r="AI50" i="6"/>
  <c r="AJ50" i="6"/>
  <c r="AM50" i="6"/>
  <c r="K51" i="6"/>
  <c r="N51" i="6"/>
  <c r="O51" i="6"/>
  <c r="R51" i="6"/>
  <c r="S51" i="6"/>
  <c r="T51" i="6"/>
  <c r="U51" i="6"/>
  <c r="V51" i="6"/>
  <c r="W51" i="6"/>
  <c r="Y51" i="6"/>
  <c r="Z51" i="6"/>
  <c r="AA51" i="6"/>
  <c r="AB51" i="6"/>
  <c r="AC51" i="6"/>
  <c r="AE51" i="6"/>
  <c r="AF51" i="6"/>
  <c r="AH51" i="6"/>
  <c r="AI51" i="6"/>
  <c r="AJ51" i="6"/>
  <c r="AM51" i="6"/>
  <c r="K52" i="6"/>
  <c r="N52" i="6"/>
  <c r="O52" i="6"/>
  <c r="R52" i="6"/>
  <c r="S52" i="6"/>
  <c r="T52" i="6"/>
  <c r="U52" i="6"/>
  <c r="V52" i="6"/>
  <c r="W52" i="6"/>
  <c r="Y52" i="6"/>
  <c r="Z52" i="6"/>
  <c r="AA52" i="6"/>
  <c r="AB52" i="6"/>
  <c r="AC52" i="6"/>
  <c r="AE52" i="6"/>
  <c r="AF52" i="6"/>
  <c r="AH52" i="6"/>
  <c r="AI52" i="6"/>
  <c r="AJ52" i="6"/>
  <c r="AM52" i="6"/>
  <c r="K53" i="6"/>
  <c r="N53" i="6"/>
  <c r="O53" i="6"/>
  <c r="R53" i="6"/>
  <c r="S53" i="6"/>
  <c r="T53" i="6"/>
  <c r="U53" i="6"/>
  <c r="V53" i="6"/>
  <c r="W53" i="6"/>
  <c r="Y53" i="6"/>
  <c r="Z53" i="6"/>
  <c r="AA53" i="6"/>
  <c r="AB53" i="6"/>
  <c r="AC53" i="6"/>
  <c r="AE53" i="6"/>
  <c r="AF53" i="6"/>
  <c r="AH53" i="6"/>
  <c r="AI53" i="6"/>
  <c r="AJ53" i="6"/>
  <c r="AM53" i="6"/>
  <c r="K54" i="6"/>
  <c r="N54" i="6"/>
  <c r="O54" i="6"/>
  <c r="R54" i="6"/>
  <c r="S54" i="6"/>
  <c r="T54" i="6"/>
  <c r="U54" i="6"/>
  <c r="V54" i="6"/>
  <c r="W54" i="6"/>
  <c r="Y54" i="6"/>
  <c r="Z54" i="6"/>
  <c r="AA54" i="6"/>
  <c r="AB54" i="6"/>
  <c r="AC54" i="6"/>
  <c r="AE54" i="6"/>
  <c r="AF54" i="6"/>
  <c r="AH54" i="6"/>
  <c r="AI54" i="6"/>
  <c r="AJ54" i="6"/>
  <c r="AM54" i="6"/>
  <c r="K55" i="6"/>
  <c r="N55" i="6"/>
  <c r="O55" i="6"/>
  <c r="R55" i="6"/>
  <c r="S55" i="6"/>
  <c r="T55" i="6"/>
  <c r="U55" i="6"/>
  <c r="V55" i="6"/>
  <c r="W55" i="6"/>
  <c r="Y55" i="6"/>
  <c r="Z55" i="6"/>
  <c r="AA55" i="6"/>
  <c r="AB55" i="6"/>
  <c r="AC55" i="6"/>
  <c r="AE55" i="6"/>
  <c r="AF55" i="6"/>
  <c r="AH55" i="6"/>
  <c r="AI55" i="6"/>
  <c r="AJ55" i="6"/>
  <c r="AM55" i="6"/>
  <c r="K56" i="6"/>
  <c r="N56" i="6"/>
  <c r="O56" i="6"/>
  <c r="R56" i="6"/>
  <c r="S56" i="6"/>
  <c r="T56" i="6"/>
  <c r="U56" i="6"/>
  <c r="V56" i="6"/>
  <c r="W56" i="6"/>
  <c r="Y56" i="6"/>
  <c r="Z56" i="6"/>
  <c r="AA56" i="6"/>
  <c r="AB56" i="6"/>
  <c r="AC56" i="6"/>
  <c r="AE56" i="6"/>
  <c r="AF56" i="6"/>
  <c r="AH56" i="6"/>
  <c r="AI56" i="6"/>
  <c r="AJ56" i="6"/>
  <c r="AM56" i="6"/>
  <c r="K57" i="6"/>
  <c r="N57" i="6"/>
  <c r="O57" i="6"/>
  <c r="R57" i="6"/>
  <c r="S57" i="6"/>
  <c r="T57" i="6"/>
  <c r="U57" i="6"/>
  <c r="V57" i="6"/>
  <c r="W57" i="6"/>
  <c r="Y57" i="6"/>
  <c r="Z57" i="6"/>
  <c r="AA57" i="6"/>
  <c r="AB57" i="6"/>
  <c r="AC57" i="6"/>
  <c r="AE57" i="6"/>
  <c r="AF57" i="6"/>
  <c r="AH57" i="6"/>
  <c r="AI57" i="6"/>
  <c r="AJ57" i="6"/>
  <c r="AM57" i="6"/>
  <c r="K58" i="6"/>
  <c r="N58" i="6"/>
  <c r="O58" i="6"/>
  <c r="R58" i="6"/>
  <c r="S58" i="6"/>
  <c r="T58" i="6"/>
  <c r="U58" i="6"/>
  <c r="V58" i="6"/>
  <c r="W58" i="6"/>
  <c r="Y58" i="6"/>
  <c r="Z58" i="6"/>
  <c r="AA58" i="6"/>
  <c r="AB58" i="6"/>
  <c r="AC58" i="6"/>
  <c r="AE58" i="6"/>
  <c r="AF58" i="6"/>
  <c r="AH58" i="6"/>
  <c r="AI58" i="6"/>
  <c r="AJ58" i="6"/>
  <c r="AM58" i="6"/>
  <c r="K59" i="6"/>
  <c r="N59" i="6"/>
  <c r="O59" i="6"/>
  <c r="R59" i="6"/>
  <c r="S59" i="6"/>
  <c r="T59" i="6"/>
  <c r="U59" i="6"/>
  <c r="V59" i="6"/>
  <c r="W59" i="6"/>
  <c r="Y59" i="6"/>
  <c r="Z59" i="6"/>
  <c r="AA59" i="6"/>
  <c r="AB59" i="6"/>
  <c r="AC59" i="6"/>
  <c r="AE59" i="6"/>
  <c r="AF59" i="6"/>
  <c r="AH59" i="6"/>
  <c r="AI59" i="6"/>
  <c r="AJ59" i="6"/>
  <c r="AM59" i="6"/>
  <c r="K60" i="6"/>
  <c r="N60" i="6"/>
  <c r="O60" i="6"/>
  <c r="R60" i="6"/>
  <c r="S60" i="6"/>
  <c r="T60" i="6"/>
  <c r="U60" i="6"/>
  <c r="V60" i="6"/>
  <c r="W60" i="6"/>
  <c r="Y60" i="6"/>
  <c r="Z60" i="6"/>
  <c r="AA60" i="6"/>
  <c r="AB60" i="6"/>
  <c r="AC60" i="6"/>
  <c r="AE60" i="6"/>
  <c r="AF60" i="6"/>
  <c r="AH60" i="6"/>
  <c r="AI60" i="6"/>
  <c r="AJ60" i="6"/>
  <c r="AM60" i="6"/>
  <c r="K61" i="6"/>
  <c r="N61" i="6"/>
  <c r="O61" i="6"/>
  <c r="R61" i="6"/>
  <c r="S61" i="6"/>
  <c r="T61" i="6"/>
  <c r="U61" i="6"/>
  <c r="V61" i="6"/>
  <c r="W61" i="6"/>
  <c r="Y61" i="6"/>
  <c r="Z61" i="6"/>
  <c r="AA61" i="6"/>
  <c r="AB61" i="6"/>
  <c r="AC61" i="6"/>
  <c r="AE61" i="6"/>
  <c r="AF61" i="6"/>
  <c r="AH61" i="6"/>
  <c r="AI61" i="6"/>
  <c r="AJ61" i="6"/>
  <c r="AM61" i="6"/>
  <c r="K62" i="6"/>
  <c r="N62" i="6"/>
  <c r="O62" i="6"/>
  <c r="R62" i="6"/>
  <c r="S62" i="6"/>
  <c r="T62" i="6"/>
  <c r="U62" i="6"/>
  <c r="V62" i="6"/>
  <c r="W62" i="6"/>
  <c r="Y62" i="6"/>
  <c r="Z62" i="6"/>
  <c r="AA62" i="6"/>
  <c r="AB62" i="6"/>
  <c r="AC62" i="6"/>
  <c r="AE62" i="6"/>
  <c r="AF62" i="6"/>
  <c r="AH62" i="6"/>
  <c r="AI62" i="6"/>
  <c r="AJ62" i="6"/>
  <c r="AM62" i="6"/>
  <c r="K63" i="6"/>
  <c r="N63" i="6"/>
  <c r="O63" i="6"/>
  <c r="R63" i="6"/>
  <c r="S63" i="6"/>
  <c r="T63" i="6"/>
  <c r="U63" i="6"/>
  <c r="V63" i="6"/>
  <c r="W63" i="6"/>
  <c r="Y63" i="6"/>
  <c r="Z63" i="6"/>
  <c r="AA63" i="6"/>
  <c r="AB63" i="6"/>
  <c r="AC63" i="6"/>
  <c r="AE63" i="6"/>
  <c r="AF63" i="6"/>
  <c r="AH63" i="6"/>
  <c r="AI63" i="6"/>
  <c r="AJ63" i="6"/>
  <c r="AM63" i="6"/>
  <c r="K64" i="6"/>
  <c r="N64" i="6"/>
  <c r="O64" i="6"/>
  <c r="R64" i="6"/>
  <c r="S64" i="6"/>
  <c r="T64" i="6"/>
  <c r="U64" i="6"/>
  <c r="V64" i="6"/>
  <c r="W64" i="6"/>
  <c r="Y64" i="6"/>
  <c r="Z64" i="6"/>
  <c r="AA64" i="6"/>
  <c r="AB64" i="6"/>
  <c r="AC64" i="6"/>
  <c r="AE64" i="6"/>
  <c r="AF64" i="6"/>
  <c r="AH64" i="6"/>
  <c r="AI64" i="6"/>
  <c r="AJ64" i="6"/>
  <c r="AM64" i="6"/>
  <c r="K65" i="6"/>
  <c r="N65" i="6"/>
  <c r="O65" i="6"/>
  <c r="R65" i="6"/>
  <c r="S65" i="6"/>
  <c r="T65" i="6"/>
  <c r="U65" i="6"/>
  <c r="V65" i="6"/>
  <c r="W65" i="6"/>
  <c r="Y65" i="6"/>
  <c r="Z65" i="6"/>
  <c r="AA65" i="6"/>
  <c r="AB65" i="6"/>
  <c r="AC65" i="6"/>
  <c r="AE65" i="6"/>
  <c r="AF65" i="6"/>
  <c r="AH65" i="6"/>
  <c r="AI65" i="6"/>
  <c r="AJ65" i="6"/>
  <c r="AM65" i="6"/>
  <c r="K66" i="6"/>
  <c r="N66" i="6"/>
  <c r="O66" i="6"/>
  <c r="R66" i="6"/>
  <c r="S66" i="6"/>
  <c r="T66" i="6"/>
  <c r="U66" i="6"/>
  <c r="V66" i="6"/>
  <c r="W66" i="6"/>
  <c r="Y66" i="6"/>
  <c r="Z66" i="6"/>
  <c r="AA66" i="6"/>
  <c r="AB66" i="6"/>
  <c r="AC66" i="6"/>
  <c r="AE66" i="6"/>
  <c r="AF66" i="6"/>
  <c r="AH66" i="6"/>
  <c r="AI66" i="6"/>
  <c r="AJ66" i="6"/>
  <c r="AM66" i="6"/>
  <c r="K67" i="6"/>
  <c r="N67" i="6"/>
  <c r="O67" i="6"/>
  <c r="R67" i="6"/>
  <c r="S67" i="6"/>
  <c r="T67" i="6"/>
  <c r="U67" i="6"/>
  <c r="V67" i="6"/>
  <c r="W67" i="6"/>
  <c r="Y67" i="6"/>
  <c r="Z67" i="6"/>
  <c r="AA67" i="6"/>
  <c r="AB67" i="6"/>
  <c r="AC67" i="6"/>
  <c r="AE67" i="6"/>
  <c r="AF67" i="6"/>
  <c r="AH67" i="6"/>
  <c r="AI67" i="6"/>
  <c r="AJ67" i="6"/>
  <c r="AM67" i="6"/>
  <c r="K68" i="6"/>
  <c r="N68" i="6"/>
  <c r="O68" i="6"/>
  <c r="R68" i="6"/>
  <c r="S68" i="6"/>
  <c r="T68" i="6"/>
  <c r="U68" i="6"/>
  <c r="V68" i="6"/>
  <c r="W68" i="6"/>
  <c r="Y68" i="6"/>
  <c r="Z68" i="6"/>
  <c r="AA68" i="6"/>
  <c r="AB68" i="6"/>
  <c r="AC68" i="6"/>
  <c r="AE68" i="6"/>
  <c r="AF68" i="6"/>
  <c r="AH68" i="6"/>
  <c r="AI68" i="6"/>
  <c r="AJ68" i="6"/>
  <c r="AM68" i="6"/>
  <c r="K69" i="6"/>
  <c r="N69" i="6"/>
  <c r="O69" i="6"/>
  <c r="R69" i="6"/>
  <c r="S69" i="6"/>
  <c r="T69" i="6"/>
  <c r="U69" i="6"/>
  <c r="V69" i="6"/>
  <c r="W69" i="6"/>
  <c r="Y69" i="6"/>
  <c r="Z69" i="6"/>
  <c r="AA69" i="6"/>
  <c r="AB69" i="6"/>
  <c r="AC69" i="6"/>
  <c r="AE69" i="6"/>
  <c r="AF69" i="6"/>
  <c r="AH69" i="6"/>
  <c r="AI69" i="6"/>
  <c r="AJ69" i="6"/>
  <c r="AM69" i="6"/>
  <c r="K70" i="6"/>
  <c r="N70" i="6"/>
  <c r="O70" i="6"/>
  <c r="R70" i="6"/>
  <c r="S70" i="6"/>
  <c r="T70" i="6"/>
  <c r="U70" i="6"/>
  <c r="V70" i="6"/>
  <c r="W70" i="6"/>
  <c r="Y70" i="6"/>
  <c r="Z70" i="6"/>
  <c r="AA70" i="6"/>
  <c r="AB70" i="6"/>
  <c r="AC70" i="6"/>
  <c r="AE70" i="6"/>
  <c r="AF70" i="6"/>
  <c r="AH70" i="6"/>
  <c r="AI70" i="6"/>
  <c r="AJ70" i="6"/>
  <c r="AM70" i="6"/>
  <c r="K71" i="6"/>
  <c r="N71" i="6"/>
  <c r="O71" i="6"/>
  <c r="R71" i="6"/>
  <c r="S71" i="6"/>
  <c r="T71" i="6"/>
  <c r="U71" i="6"/>
  <c r="V71" i="6"/>
  <c r="W71" i="6"/>
  <c r="Y71" i="6"/>
  <c r="Z71" i="6"/>
  <c r="AA71" i="6"/>
  <c r="AB71" i="6"/>
  <c r="AC71" i="6"/>
  <c r="AE71" i="6"/>
  <c r="AF71" i="6"/>
  <c r="AH71" i="6"/>
  <c r="AI71" i="6"/>
  <c r="AJ71" i="6"/>
  <c r="AM71" i="6"/>
  <c r="K72" i="6"/>
  <c r="N72" i="6"/>
  <c r="O72" i="6"/>
  <c r="R72" i="6"/>
  <c r="S72" i="6"/>
  <c r="T72" i="6"/>
  <c r="U72" i="6"/>
  <c r="V72" i="6"/>
  <c r="W72" i="6"/>
  <c r="Y72" i="6"/>
  <c r="Z72" i="6"/>
  <c r="AA72" i="6"/>
  <c r="AB72" i="6"/>
  <c r="AC72" i="6"/>
  <c r="AE72" i="6"/>
  <c r="AF72" i="6"/>
  <c r="AH72" i="6"/>
  <c r="AI72" i="6"/>
  <c r="AJ72" i="6"/>
  <c r="AM72" i="6"/>
  <c r="K73" i="6"/>
  <c r="N73" i="6"/>
  <c r="O73" i="6"/>
  <c r="R73" i="6"/>
  <c r="S73" i="6"/>
  <c r="T73" i="6"/>
  <c r="U73" i="6"/>
  <c r="V73" i="6"/>
  <c r="W73" i="6"/>
  <c r="Y73" i="6"/>
  <c r="Z73" i="6"/>
  <c r="AA73" i="6"/>
  <c r="AB73" i="6"/>
  <c r="AC73" i="6"/>
  <c r="AE73" i="6"/>
  <c r="AF73" i="6"/>
  <c r="AH73" i="6"/>
  <c r="AI73" i="6"/>
  <c r="AJ73" i="6"/>
  <c r="AM73" i="6"/>
  <c r="K74" i="6"/>
  <c r="N74" i="6"/>
  <c r="O74" i="6"/>
  <c r="R74" i="6"/>
  <c r="S74" i="6"/>
  <c r="T74" i="6"/>
  <c r="U74" i="6"/>
  <c r="V74" i="6"/>
  <c r="W74" i="6"/>
  <c r="Y74" i="6"/>
  <c r="Z74" i="6"/>
  <c r="AA74" i="6"/>
  <c r="AB74" i="6"/>
  <c r="AC74" i="6"/>
  <c r="AE74" i="6"/>
  <c r="AF74" i="6"/>
  <c r="AH74" i="6"/>
  <c r="AI74" i="6"/>
  <c r="AJ74" i="6"/>
  <c r="AM74" i="6"/>
  <c r="K75" i="6"/>
  <c r="N75" i="6"/>
  <c r="O75" i="6"/>
  <c r="R75" i="6"/>
  <c r="S75" i="6"/>
  <c r="T75" i="6"/>
  <c r="U75" i="6"/>
  <c r="V75" i="6"/>
  <c r="W75" i="6"/>
  <c r="Y75" i="6"/>
  <c r="Z75" i="6"/>
  <c r="AA75" i="6"/>
  <c r="AB75" i="6"/>
  <c r="AC75" i="6"/>
  <c r="AE75" i="6"/>
  <c r="AF75" i="6"/>
  <c r="AH75" i="6"/>
  <c r="AI75" i="6"/>
  <c r="AJ75" i="6"/>
  <c r="AM75" i="6"/>
  <c r="K76" i="6"/>
  <c r="N76" i="6"/>
  <c r="O76" i="6"/>
  <c r="R76" i="6"/>
  <c r="S76" i="6"/>
  <c r="T76" i="6"/>
  <c r="U76" i="6"/>
  <c r="V76" i="6"/>
  <c r="W76" i="6"/>
  <c r="Y76" i="6"/>
  <c r="Z76" i="6"/>
  <c r="AA76" i="6"/>
  <c r="AB76" i="6"/>
  <c r="AC76" i="6"/>
  <c r="AE76" i="6"/>
  <c r="AF76" i="6"/>
  <c r="AH76" i="6"/>
  <c r="AI76" i="6"/>
  <c r="AJ76" i="6"/>
  <c r="AM76" i="6"/>
  <c r="K77" i="6"/>
  <c r="N77" i="6"/>
  <c r="O77" i="6"/>
  <c r="R77" i="6"/>
  <c r="S77" i="6"/>
  <c r="T77" i="6"/>
  <c r="U77" i="6"/>
  <c r="V77" i="6"/>
  <c r="W77" i="6"/>
  <c r="Y77" i="6"/>
  <c r="Z77" i="6"/>
  <c r="AA77" i="6"/>
  <c r="AB77" i="6"/>
  <c r="AC77" i="6"/>
  <c r="AE77" i="6"/>
  <c r="AF77" i="6"/>
  <c r="AH77" i="6"/>
  <c r="AI77" i="6"/>
  <c r="AJ77" i="6"/>
  <c r="AM77" i="6"/>
  <c r="K78" i="6"/>
  <c r="N78" i="6"/>
  <c r="O78" i="6"/>
  <c r="R78" i="6"/>
  <c r="S78" i="6"/>
  <c r="T78" i="6"/>
  <c r="U78" i="6"/>
  <c r="V78" i="6"/>
  <c r="W78" i="6"/>
  <c r="Y78" i="6"/>
  <c r="Z78" i="6"/>
  <c r="AA78" i="6"/>
  <c r="AB78" i="6"/>
  <c r="AC78" i="6"/>
  <c r="AE78" i="6"/>
  <c r="AF78" i="6"/>
  <c r="AH78" i="6"/>
  <c r="AI78" i="6"/>
  <c r="AJ78" i="6"/>
  <c r="AM78" i="6"/>
  <c r="K79" i="6"/>
  <c r="N79" i="6"/>
  <c r="O79" i="6"/>
  <c r="R79" i="6"/>
  <c r="S79" i="6"/>
  <c r="T79" i="6"/>
  <c r="U79" i="6"/>
  <c r="V79" i="6"/>
  <c r="W79" i="6"/>
  <c r="Y79" i="6"/>
  <c r="Z79" i="6"/>
  <c r="AA79" i="6"/>
  <c r="AB79" i="6"/>
  <c r="AC79" i="6"/>
  <c r="AE79" i="6"/>
  <c r="AF79" i="6"/>
  <c r="AH79" i="6"/>
  <c r="AI79" i="6"/>
  <c r="AJ79" i="6"/>
  <c r="AM79" i="6"/>
  <c r="K80" i="6"/>
  <c r="N80" i="6"/>
  <c r="O80" i="6"/>
  <c r="R80" i="6"/>
  <c r="S80" i="6"/>
  <c r="T80" i="6"/>
  <c r="U80" i="6"/>
  <c r="V80" i="6"/>
  <c r="W80" i="6"/>
  <c r="Y80" i="6"/>
  <c r="Z80" i="6"/>
  <c r="AA80" i="6"/>
  <c r="AB80" i="6"/>
  <c r="AC80" i="6"/>
  <c r="AE80" i="6"/>
  <c r="AF80" i="6"/>
  <c r="AH80" i="6"/>
  <c r="AI80" i="6"/>
  <c r="AJ80" i="6"/>
  <c r="AM80" i="6"/>
  <c r="K81" i="6"/>
  <c r="N81" i="6"/>
  <c r="O81" i="6"/>
  <c r="R81" i="6"/>
  <c r="S81" i="6"/>
  <c r="T81" i="6"/>
  <c r="U81" i="6"/>
  <c r="V81" i="6"/>
  <c r="W81" i="6"/>
  <c r="Y81" i="6"/>
  <c r="Z81" i="6"/>
  <c r="AA81" i="6"/>
  <c r="AB81" i="6"/>
  <c r="AC81" i="6"/>
  <c r="AE81" i="6"/>
  <c r="AF81" i="6"/>
  <c r="AH81" i="6"/>
  <c r="AI81" i="6"/>
  <c r="AJ81" i="6"/>
  <c r="AM81" i="6"/>
  <c r="K82" i="6"/>
  <c r="N82" i="6"/>
  <c r="O82" i="6"/>
  <c r="R82" i="6"/>
  <c r="S82" i="6"/>
  <c r="T82" i="6"/>
  <c r="U82" i="6"/>
  <c r="V82" i="6"/>
  <c r="W82" i="6"/>
  <c r="Y82" i="6"/>
  <c r="Z82" i="6"/>
  <c r="AA82" i="6"/>
  <c r="AB82" i="6"/>
  <c r="AC82" i="6"/>
  <c r="AE82" i="6"/>
  <c r="AF82" i="6"/>
  <c r="AH82" i="6"/>
  <c r="AI82" i="6"/>
  <c r="AJ82" i="6"/>
  <c r="AM82" i="6"/>
  <c r="K83" i="6"/>
  <c r="N83" i="6"/>
  <c r="O83" i="6"/>
  <c r="R83" i="6"/>
  <c r="S83" i="6"/>
  <c r="T83" i="6"/>
  <c r="U83" i="6"/>
  <c r="V83" i="6"/>
  <c r="W83" i="6"/>
  <c r="Y83" i="6"/>
  <c r="Z83" i="6"/>
  <c r="AA83" i="6"/>
  <c r="AB83" i="6"/>
  <c r="AC83" i="6"/>
  <c r="AE83" i="6"/>
  <c r="AF83" i="6"/>
  <c r="AH83" i="6"/>
  <c r="AI83" i="6"/>
  <c r="AJ83" i="6"/>
  <c r="AM83" i="6"/>
  <c r="K84" i="6"/>
  <c r="N84" i="6"/>
  <c r="O84" i="6"/>
  <c r="R84" i="6"/>
  <c r="S84" i="6"/>
  <c r="T84" i="6"/>
  <c r="U84" i="6"/>
  <c r="V84" i="6"/>
  <c r="W84" i="6"/>
  <c r="Y84" i="6"/>
  <c r="Z84" i="6"/>
  <c r="AA84" i="6"/>
  <c r="AB84" i="6"/>
  <c r="AC84" i="6"/>
  <c r="AE84" i="6"/>
  <c r="AF84" i="6"/>
  <c r="AH84" i="6"/>
  <c r="AI84" i="6"/>
  <c r="AJ84" i="6"/>
  <c r="AM84" i="6"/>
  <c r="K85" i="6"/>
  <c r="N85" i="6"/>
  <c r="O85" i="6"/>
  <c r="R85" i="6"/>
  <c r="S85" i="6"/>
  <c r="T85" i="6"/>
  <c r="U85" i="6"/>
  <c r="V85" i="6"/>
  <c r="W85" i="6"/>
  <c r="Y85" i="6"/>
  <c r="Z85" i="6"/>
  <c r="AA85" i="6"/>
  <c r="AB85" i="6"/>
  <c r="AC85" i="6"/>
  <c r="AE85" i="6"/>
  <c r="AF85" i="6"/>
  <c r="AH85" i="6"/>
  <c r="AI85" i="6"/>
  <c r="AJ85" i="6"/>
  <c r="AM85" i="6"/>
  <c r="K86" i="6"/>
  <c r="N86" i="6"/>
  <c r="O86" i="6"/>
  <c r="R86" i="6"/>
  <c r="S86" i="6"/>
  <c r="T86" i="6"/>
  <c r="U86" i="6"/>
  <c r="V86" i="6"/>
  <c r="W86" i="6"/>
  <c r="Y86" i="6"/>
  <c r="Z86" i="6"/>
  <c r="AA86" i="6"/>
  <c r="AB86" i="6"/>
  <c r="AC86" i="6"/>
  <c r="AE86" i="6"/>
  <c r="AF86" i="6"/>
  <c r="AH86" i="6"/>
  <c r="AI86" i="6"/>
  <c r="AJ86" i="6"/>
  <c r="AM86" i="6"/>
  <c r="K87" i="6"/>
  <c r="N87" i="6"/>
  <c r="O87" i="6"/>
  <c r="R87" i="6"/>
  <c r="S87" i="6"/>
  <c r="T87" i="6"/>
  <c r="U87" i="6"/>
  <c r="V87" i="6"/>
  <c r="W87" i="6"/>
  <c r="Y87" i="6"/>
  <c r="Z87" i="6"/>
  <c r="AA87" i="6"/>
  <c r="AB87" i="6"/>
  <c r="AC87" i="6"/>
  <c r="AE87" i="6"/>
  <c r="AF87" i="6"/>
  <c r="AH87" i="6"/>
  <c r="AI87" i="6"/>
  <c r="AJ87" i="6"/>
  <c r="AM87" i="6"/>
  <c r="K88" i="6"/>
  <c r="N88" i="6"/>
  <c r="O88" i="6"/>
  <c r="R88" i="6"/>
  <c r="S88" i="6"/>
  <c r="T88" i="6"/>
  <c r="U88" i="6"/>
  <c r="V88" i="6"/>
  <c r="W88" i="6"/>
  <c r="Y88" i="6"/>
  <c r="Z88" i="6"/>
  <c r="AA88" i="6"/>
  <c r="AB88" i="6"/>
  <c r="AC88" i="6"/>
  <c r="AE88" i="6"/>
  <c r="AF88" i="6"/>
  <c r="AH88" i="6"/>
  <c r="AI88" i="6"/>
  <c r="AJ88" i="6"/>
  <c r="AM88" i="6"/>
  <c r="K89" i="6"/>
  <c r="N89" i="6"/>
  <c r="O89" i="6"/>
  <c r="R89" i="6"/>
  <c r="S89" i="6"/>
  <c r="T89" i="6"/>
  <c r="U89" i="6"/>
  <c r="V89" i="6"/>
  <c r="W89" i="6"/>
  <c r="Y89" i="6"/>
  <c r="Z89" i="6"/>
  <c r="AA89" i="6"/>
  <c r="AB89" i="6"/>
  <c r="AC89" i="6"/>
  <c r="AE89" i="6"/>
  <c r="AF89" i="6"/>
  <c r="AH89" i="6"/>
  <c r="AI89" i="6"/>
  <c r="AJ89" i="6"/>
  <c r="AM89" i="6"/>
  <c r="K90" i="6"/>
  <c r="N90" i="6"/>
  <c r="O90" i="6"/>
  <c r="R90" i="6"/>
  <c r="S90" i="6"/>
  <c r="T90" i="6"/>
  <c r="U90" i="6"/>
  <c r="V90" i="6"/>
  <c r="W90" i="6"/>
  <c r="Y90" i="6"/>
  <c r="Z90" i="6"/>
  <c r="AA90" i="6"/>
  <c r="AB90" i="6"/>
  <c r="AC90" i="6"/>
  <c r="AE90" i="6"/>
  <c r="AF90" i="6"/>
  <c r="AH90" i="6"/>
  <c r="AI90" i="6"/>
  <c r="AJ90" i="6"/>
  <c r="AM90" i="6"/>
  <c r="K91" i="6"/>
  <c r="N91" i="6"/>
  <c r="O91" i="6"/>
  <c r="R91" i="6"/>
  <c r="S91" i="6"/>
  <c r="T91" i="6"/>
  <c r="U91" i="6"/>
  <c r="V91" i="6"/>
  <c r="W91" i="6"/>
  <c r="Y91" i="6"/>
  <c r="Z91" i="6"/>
  <c r="AA91" i="6"/>
  <c r="AB91" i="6"/>
  <c r="AC91" i="6"/>
  <c r="AE91" i="6"/>
  <c r="AF91" i="6"/>
  <c r="AH91" i="6"/>
  <c r="AI91" i="6"/>
  <c r="AJ91" i="6"/>
  <c r="AM91" i="6"/>
  <c r="K92" i="6"/>
  <c r="N92" i="6"/>
  <c r="O92" i="6"/>
  <c r="R92" i="6"/>
  <c r="S92" i="6"/>
  <c r="T92" i="6"/>
  <c r="U92" i="6"/>
  <c r="V92" i="6"/>
  <c r="W92" i="6"/>
  <c r="Y92" i="6"/>
  <c r="Z92" i="6"/>
  <c r="AA92" i="6"/>
  <c r="AB92" i="6"/>
  <c r="AC92" i="6"/>
  <c r="AE92" i="6"/>
  <c r="AF92" i="6"/>
  <c r="AH92" i="6"/>
  <c r="AI92" i="6"/>
  <c r="AJ92" i="6"/>
  <c r="AM92" i="6"/>
  <c r="K93" i="6"/>
  <c r="N93" i="6"/>
  <c r="O93" i="6"/>
  <c r="R93" i="6"/>
  <c r="S93" i="6"/>
  <c r="T93" i="6"/>
  <c r="U93" i="6"/>
  <c r="V93" i="6"/>
  <c r="W93" i="6"/>
  <c r="Y93" i="6"/>
  <c r="Z93" i="6"/>
  <c r="AA93" i="6"/>
  <c r="AB93" i="6"/>
  <c r="AC93" i="6"/>
  <c r="AE93" i="6"/>
  <c r="AF93" i="6"/>
  <c r="AH93" i="6"/>
  <c r="AI93" i="6"/>
  <c r="AJ93" i="6"/>
  <c r="AM93" i="6"/>
  <c r="K94" i="6"/>
  <c r="N94" i="6"/>
  <c r="O94" i="6"/>
  <c r="R94" i="6"/>
  <c r="S94" i="6"/>
  <c r="T94" i="6"/>
  <c r="U94" i="6"/>
  <c r="V94" i="6"/>
  <c r="W94" i="6"/>
  <c r="Y94" i="6"/>
  <c r="Z94" i="6"/>
  <c r="AA94" i="6"/>
  <c r="AB94" i="6"/>
  <c r="AC94" i="6"/>
  <c r="AE94" i="6"/>
  <c r="AF94" i="6"/>
  <c r="AH94" i="6"/>
  <c r="AI94" i="6"/>
  <c r="AJ94" i="6"/>
  <c r="AM94" i="6"/>
  <c r="K95" i="6"/>
  <c r="N95" i="6"/>
  <c r="O95" i="6"/>
  <c r="R95" i="6"/>
  <c r="S95" i="6"/>
  <c r="T95" i="6"/>
  <c r="U95" i="6"/>
  <c r="V95" i="6"/>
  <c r="W95" i="6"/>
  <c r="Y95" i="6"/>
  <c r="Z95" i="6"/>
  <c r="AA95" i="6"/>
  <c r="AB95" i="6"/>
  <c r="AC95" i="6"/>
  <c r="AE95" i="6"/>
  <c r="AF95" i="6"/>
  <c r="AH95" i="6"/>
  <c r="AI95" i="6"/>
  <c r="AJ95" i="6"/>
  <c r="AM95" i="6"/>
  <c r="K96" i="6"/>
  <c r="N96" i="6"/>
  <c r="O96" i="6"/>
  <c r="R96" i="6"/>
  <c r="S96" i="6"/>
  <c r="T96" i="6"/>
  <c r="U96" i="6"/>
  <c r="V96" i="6"/>
  <c r="W96" i="6"/>
  <c r="Y96" i="6"/>
  <c r="Z96" i="6"/>
  <c r="AA96" i="6"/>
  <c r="AB96" i="6"/>
  <c r="AC96" i="6"/>
  <c r="AE96" i="6"/>
  <c r="AF96" i="6"/>
  <c r="AH96" i="6"/>
  <c r="AI96" i="6"/>
  <c r="AJ96" i="6"/>
  <c r="AM96" i="6"/>
  <c r="K97" i="6"/>
  <c r="N97" i="6"/>
  <c r="O97" i="6"/>
  <c r="R97" i="6"/>
  <c r="S97" i="6"/>
  <c r="T97" i="6"/>
  <c r="U97" i="6"/>
  <c r="V97" i="6"/>
  <c r="W97" i="6"/>
  <c r="Y97" i="6"/>
  <c r="Z97" i="6"/>
  <c r="AA97" i="6"/>
  <c r="AB97" i="6"/>
  <c r="AC97" i="6"/>
  <c r="AE97" i="6"/>
  <c r="AF97" i="6"/>
  <c r="AH97" i="6"/>
  <c r="AI97" i="6"/>
  <c r="AJ97" i="6"/>
  <c r="AM97" i="6"/>
  <c r="K98" i="6"/>
  <c r="N98" i="6"/>
  <c r="O98" i="6"/>
  <c r="R98" i="6"/>
  <c r="S98" i="6"/>
  <c r="T98" i="6"/>
  <c r="U98" i="6"/>
  <c r="V98" i="6"/>
  <c r="W98" i="6"/>
  <c r="Y98" i="6"/>
  <c r="Z98" i="6"/>
  <c r="AA98" i="6"/>
  <c r="AB98" i="6"/>
  <c r="AC98" i="6"/>
  <c r="AE98" i="6"/>
  <c r="AF98" i="6"/>
  <c r="AH98" i="6"/>
  <c r="AI98" i="6"/>
  <c r="AJ98" i="6"/>
  <c r="AM98" i="6"/>
  <c r="K99" i="6"/>
  <c r="N99" i="6"/>
  <c r="O99" i="6"/>
  <c r="R99" i="6"/>
  <c r="S99" i="6"/>
  <c r="T99" i="6"/>
  <c r="U99" i="6"/>
  <c r="V99" i="6"/>
  <c r="W99" i="6"/>
  <c r="Y99" i="6"/>
  <c r="Z99" i="6"/>
  <c r="AA99" i="6"/>
  <c r="AB99" i="6"/>
  <c r="AC99" i="6"/>
  <c r="AE99" i="6"/>
  <c r="AF99" i="6"/>
  <c r="AH99" i="6"/>
  <c r="AI99" i="6"/>
  <c r="AJ99" i="6"/>
  <c r="AM99" i="6"/>
  <c r="K100" i="6"/>
  <c r="N100" i="6"/>
  <c r="O100" i="6"/>
  <c r="R100" i="6"/>
  <c r="S100" i="6"/>
  <c r="T100" i="6"/>
  <c r="U100" i="6"/>
  <c r="V100" i="6"/>
  <c r="W100" i="6"/>
  <c r="Y100" i="6"/>
  <c r="Z100" i="6"/>
  <c r="AA100" i="6"/>
  <c r="AB100" i="6"/>
  <c r="AC100" i="6"/>
  <c r="AE100" i="6"/>
  <c r="AF100" i="6"/>
  <c r="AH100" i="6"/>
  <c r="AI100" i="6"/>
  <c r="AJ100" i="6"/>
  <c r="AM100" i="6"/>
  <c r="K101" i="6"/>
  <c r="N101" i="6"/>
  <c r="O101" i="6"/>
  <c r="R101" i="6"/>
  <c r="S101" i="6"/>
  <c r="T101" i="6"/>
  <c r="U101" i="6"/>
  <c r="V101" i="6"/>
  <c r="W101" i="6"/>
  <c r="Y101" i="6"/>
  <c r="Z101" i="6"/>
  <c r="AA101" i="6"/>
  <c r="AB101" i="6"/>
  <c r="AC101" i="6"/>
  <c r="AE101" i="6"/>
  <c r="AF101" i="6"/>
  <c r="AH101" i="6"/>
  <c r="AI101" i="6"/>
  <c r="AJ101" i="6"/>
  <c r="AM101" i="6"/>
  <c r="K102" i="6"/>
  <c r="N102" i="6"/>
  <c r="O102" i="6"/>
  <c r="R102" i="6"/>
  <c r="S102" i="6"/>
  <c r="T102" i="6"/>
  <c r="U102" i="6"/>
  <c r="V102" i="6"/>
  <c r="W102" i="6"/>
  <c r="Y102" i="6"/>
  <c r="Z102" i="6"/>
  <c r="AA102" i="6"/>
  <c r="AB102" i="6"/>
  <c r="AC102" i="6"/>
  <c r="AE102" i="6"/>
  <c r="AF102" i="6"/>
  <c r="AH102" i="6"/>
  <c r="AI102" i="6"/>
  <c r="AJ102" i="6"/>
  <c r="AM102" i="6"/>
  <c r="K103" i="6"/>
  <c r="N103" i="6"/>
  <c r="O103" i="6"/>
  <c r="R103" i="6"/>
  <c r="S103" i="6"/>
  <c r="T103" i="6"/>
  <c r="U103" i="6"/>
  <c r="V103" i="6"/>
  <c r="W103" i="6"/>
  <c r="Y103" i="6"/>
  <c r="Z103" i="6"/>
  <c r="AA103" i="6"/>
  <c r="AB103" i="6"/>
  <c r="AC103" i="6"/>
  <c r="AE103" i="6"/>
  <c r="AF103" i="6"/>
  <c r="AH103" i="6"/>
  <c r="AI103" i="6"/>
  <c r="AJ103" i="6"/>
  <c r="AM103" i="6"/>
  <c r="K104" i="6"/>
  <c r="N104" i="6"/>
  <c r="O104" i="6"/>
  <c r="R104" i="6"/>
  <c r="S104" i="6"/>
  <c r="T104" i="6"/>
  <c r="U104" i="6"/>
  <c r="V104" i="6"/>
  <c r="W104" i="6"/>
  <c r="Y104" i="6"/>
  <c r="Z104" i="6"/>
  <c r="AA104" i="6"/>
  <c r="AB104" i="6"/>
  <c r="AC104" i="6"/>
  <c r="AE104" i="6"/>
  <c r="AF104" i="6"/>
  <c r="AH104" i="6"/>
  <c r="AI104" i="6"/>
  <c r="AJ104" i="6"/>
  <c r="AM104" i="6"/>
  <c r="K105" i="6"/>
  <c r="N105" i="6"/>
  <c r="O105" i="6"/>
  <c r="R105" i="6"/>
  <c r="S105" i="6"/>
  <c r="T105" i="6"/>
  <c r="U105" i="6"/>
  <c r="V105" i="6"/>
  <c r="W105" i="6"/>
  <c r="Y105" i="6"/>
  <c r="Z105" i="6"/>
  <c r="AA105" i="6"/>
  <c r="AB105" i="6"/>
  <c r="AC105" i="6"/>
  <c r="AE105" i="6"/>
  <c r="AF105" i="6"/>
  <c r="AH105" i="6"/>
  <c r="AI105" i="6"/>
  <c r="AJ105" i="6"/>
  <c r="AM105" i="6"/>
  <c r="K106" i="6"/>
  <c r="N106" i="6"/>
  <c r="O106" i="6"/>
  <c r="R106" i="6"/>
  <c r="S106" i="6"/>
  <c r="T106" i="6"/>
  <c r="U106" i="6"/>
  <c r="V106" i="6"/>
  <c r="W106" i="6"/>
  <c r="Y106" i="6"/>
  <c r="Z106" i="6"/>
  <c r="AA106" i="6"/>
  <c r="AB106" i="6"/>
  <c r="AC106" i="6"/>
  <c r="AE106" i="6"/>
  <c r="AF106" i="6"/>
  <c r="AH106" i="6"/>
  <c r="AI106" i="6"/>
  <c r="AJ106" i="6"/>
  <c r="AM106" i="6"/>
  <c r="K107" i="6"/>
  <c r="N107" i="6"/>
  <c r="O107" i="6"/>
  <c r="R107" i="6"/>
  <c r="S107" i="6"/>
  <c r="T107" i="6"/>
  <c r="U107" i="6"/>
  <c r="V107" i="6"/>
  <c r="W107" i="6"/>
  <c r="Y107" i="6"/>
  <c r="Z107" i="6"/>
  <c r="AA107" i="6"/>
  <c r="AB107" i="6"/>
  <c r="AC107" i="6"/>
  <c r="AE107" i="6"/>
  <c r="AF107" i="6"/>
  <c r="AH107" i="6"/>
  <c r="AI107" i="6"/>
  <c r="AJ107" i="6"/>
  <c r="AM107" i="6"/>
  <c r="K108" i="6"/>
  <c r="N108" i="6"/>
  <c r="O108" i="6"/>
  <c r="R108" i="6"/>
  <c r="S108" i="6"/>
  <c r="T108" i="6"/>
  <c r="U108" i="6"/>
  <c r="V108" i="6"/>
  <c r="W108" i="6"/>
  <c r="Y108" i="6"/>
  <c r="Z108" i="6"/>
  <c r="AA108" i="6"/>
  <c r="AB108" i="6"/>
  <c r="AC108" i="6"/>
  <c r="AE108" i="6"/>
  <c r="AF108" i="6"/>
  <c r="AH108" i="6"/>
  <c r="AI108" i="6"/>
  <c r="AJ108" i="6"/>
  <c r="AM108" i="6"/>
  <c r="K109" i="6"/>
  <c r="N109" i="6"/>
  <c r="O109" i="6"/>
  <c r="R109" i="6"/>
  <c r="S109" i="6"/>
  <c r="T109" i="6"/>
  <c r="U109" i="6"/>
  <c r="V109" i="6"/>
  <c r="W109" i="6"/>
  <c r="Y109" i="6"/>
  <c r="Z109" i="6"/>
  <c r="AA109" i="6"/>
  <c r="AB109" i="6"/>
  <c r="AC109" i="6"/>
  <c r="AE109" i="6"/>
  <c r="AF109" i="6"/>
  <c r="AH109" i="6"/>
  <c r="AI109" i="6"/>
  <c r="AJ109" i="6"/>
  <c r="AM109" i="6"/>
  <c r="K110" i="6"/>
  <c r="N110" i="6"/>
  <c r="O110" i="6"/>
  <c r="R110" i="6"/>
  <c r="S110" i="6"/>
  <c r="T110" i="6"/>
  <c r="U110" i="6"/>
  <c r="V110" i="6"/>
  <c r="W110" i="6"/>
  <c r="Y110" i="6"/>
  <c r="Z110" i="6"/>
  <c r="AA110" i="6"/>
  <c r="AB110" i="6"/>
  <c r="AC110" i="6"/>
  <c r="AE110" i="6"/>
  <c r="AF110" i="6"/>
  <c r="AH110" i="6"/>
  <c r="AI110" i="6"/>
  <c r="AJ110" i="6"/>
  <c r="AM110" i="6"/>
  <c r="K111" i="6"/>
  <c r="N111" i="6"/>
  <c r="O111" i="6"/>
  <c r="R111" i="6"/>
  <c r="S111" i="6"/>
  <c r="T111" i="6"/>
  <c r="U111" i="6"/>
  <c r="V111" i="6"/>
  <c r="W111" i="6"/>
  <c r="Y111" i="6"/>
  <c r="Z111" i="6"/>
  <c r="AA111" i="6"/>
  <c r="AB111" i="6"/>
  <c r="AC111" i="6"/>
  <c r="AE111" i="6"/>
  <c r="AF111" i="6"/>
  <c r="AH111" i="6"/>
  <c r="AI111" i="6"/>
  <c r="AJ111" i="6"/>
  <c r="AM111" i="6"/>
  <c r="K112" i="6"/>
  <c r="N112" i="6"/>
  <c r="O112" i="6"/>
  <c r="R112" i="6"/>
  <c r="S112" i="6"/>
  <c r="T112" i="6"/>
  <c r="U112" i="6"/>
  <c r="V112" i="6"/>
  <c r="W112" i="6"/>
  <c r="Y112" i="6"/>
  <c r="Z112" i="6"/>
  <c r="AA112" i="6"/>
  <c r="AB112" i="6"/>
  <c r="AC112" i="6"/>
  <c r="AE112" i="6"/>
  <c r="AF112" i="6"/>
  <c r="AH112" i="6"/>
  <c r="AI112" i="6"/>
  <c r="AJ112" i="6"/>
  <c r="AM112" i="6"/>
  <c r="K113" i="6"/>
  <c r="N113" i="6"/>
  <c r="O113" i="6"/>
  <c r="R113" i="6"/>
  <c r="S113" i="6"/>
  <c r="T113" i="6"/>
  <c r="U113" i="6"/>
  <c r="V113" i="6"/>
  <c r="W113" i="6"/>
  <c r="Y113" i="6"/>
  <c r="Z113" i="6"/>
  <c r="AA113" i="6"/>
  <c r="AB113" i="6"/>
  <c r="AC113" i="6"/>
  <c r="AE113" i="6"/>
  <c r="AF113" i="6"/>
  <c r="AH113" i="6"/>
  <c r="AI113" i="6"/>
  <c r="AJ113" i="6"/>
  <c r="AM113" i="6"/>
  <c r="K114" i="6"/>
  <c r="N114" i="6"/>
  <c r="O114" i="6"/>
  <c r="R114" i="6"/>
  <c r="S114" i="6"/>
  <c r="T114" i="6"/>
  <c r="U114" i="6"/>
  <c r="V114" i="6"/>
  <c r="W114" i="6"/>
  <c r="Y114" i="6"/>
  <c r="Z114" i="6"/>
  <c r="AA114" i="6"/>
  <c r="AB114" i="6"/>
  <c r="AC114" i="6"/>
  <c r="AE114" i="6"/>
  <c r="AF114" i="6"/>
  <c r="AH114" i="6"/>
  <c r="AI114" i="6"/>
  <c r="AJ114" i="6"/>
  <c r="AM114" i="6"/>
  <c r="K115" i="6"/>
  <c r="N115" i="6"/>
  <c r="O115" i="6"/>
  <c r="R115" i="6"/>
  <c r="S115" i="6"/>
  <c r="T115" i="6"/>
  <c r="U115" i="6"/>
  <c r="V115" i="6"/>
  <c r="W115" i="6"/>
  <c r="Y115" i="6"/>
  <c r="Z115" i="6"/>
  <c r="AA115" i="6"/>
  <c r="AB115" i="6"/>
  <c r="AC115" i="6"/>
  <c r="AE115" i="6"/>
  <c r="AF115" i="6"/>
  <c r="AH115" i="6"/>
  <c r="AI115" i="6"/>
  <c r="AJ115" i="6"/>
  <c r="AM115" i="6"/>
  <c r="K116" i="6"/>
  <c r="N116" i="6"/>
  <c r="O116" i="6"/>
  <c r="R116" i="6"/>
  <c r="S116" i="6"/>
  <c r="T116" i="6"/>
  <c r="U116" i="6"/>
  <c r="V116" i="6"/>
  <c r="W116" i="6"/>
  <c r="Y116" i="6"/>
  <c r="Z116" i="6"/>
  <c r="AA116" i="6"/>
  <c r="AB116" i="6"/>
  <c r="AC116" i="6"/>
  <c r="AE116" i="6"/>
  <c r="AF116" i="6"/>
  <c r="AH116" i="6"/>
  <c r="AI116" i="6"/>
  <c r="AJ116" i="6"/>
  <c r="AM116" i="6"/>
  <c r="K117" i="6"/>
  <c r="N117" i="6"/>
  <c r="O117" i="6"/>
  <c r="R117" i="6"/>
  <c r="S117" i="6"/>
  <c r="T117" i="6"/>
  <c r="U117" i="6"/>
  <c r="V117" i="6"/>
  <c r="W117" i="6"/>
  <c r="Y117" i="6"/>
  <c r="Z117" i="6"/>
  <c r="AA117" i="6"/>
  <c r="AB117" i="6"/>
  <c r="AC117" i="6"/>
  <c r="AE117" i="6"/>
  <c r="AF117" i="6"/>
  <c r="AH117" i="6"/>
  <c r="AI117" i="6"/>
  <c r="AJ117" i="6"/>
  <c r="AM117" i="6"/>
  <c r="K118" i="6"/>
  <c r="N118" i="6"/>
  <c r="O118" i="6"/>
  <c r="R118" i="6"/>
  <c r="S118" i="6"/>
  <c r="T118" i="6"/>
  <c r="U118" i="6"/>
  <c r="V118" i="6"/>
  <c r="W118" i="6"/>
  <c r="Y118" i="6"/>
  <c r="Z118" i="6"/>
  <c r="AA118" i="6"/>
  <c r="AB118" i="6"/>
  <c r="AC118" i="6"/>
  <c r="AE118" i="6"/>
  <c r="AF118" i="6"/>
  <c r="AH118" i="6"/>
  <c r="AI118" i="6"/>
  <c r="AJ118" i="6"/>
  <c r="AM118" i="6"/>
  <c r="K119" i="6"/>
  <c r="N119" i="6"/>
  <c r="O119" i="6"/>
  <c r="R119" i="6"/>
  <c r="S119" i="6"/>
  <c r="T119" i="6"/>
  <c r="U119" i="6"/>
  <c r="V119" i="6"/>
  <c r="W119" i="6"/>
  <c r="Y119" i="6"/>
  <c r="Z119" i="6"/>
  <c r="AA119" i="6"/>
  <c r="AB119" i="6"/>
  <c r="AC119" i="6"/>
  <c r="AE119" i="6"/>
  <c r="AF119" i="6"/>
  <c r="AH119" i="6"/>
  <c r="AI119" i="6"/>
  <c r="AJ119" i="6"/>
  <c r="AM119" i="6"/>
  <c r="K120" i="6"/>
  <c r="N120" i="6"/>
  <c r="O120" i="6"/>
  <c r="R120" i="6"/>
  <c r="S120" i="6"/>
  <c r="T120" i="6"/>
  <c r="U120" i="6"/>
  <c r="V120" i="6"/>
  <c r="W120" i="6"/>
  <c r="Y120" i="6"/>
  <c r="Z120" i="6"/>
  <c r="AA120" i="6"/>
  <c r="AB120" i="6"/>
  <c r="AC120" i="6"/>
  <c r="AE120" i="6"/>
  <c r="AF120" i="6"/>
  <c r="AH120" i="6"/>
  <c r="AI120" i="6"/>
  <c r="AJ120" i="6"/>
  <c r="AM120" i="6"/>
  <c r="K121" i="6"/>
  <c r="N121" i="6"/>
  <c r="O121" i="6"/>
  <c r="R121" i="6"/>
  <c r="S121" i="6"/>
  <c r="T121" i="6"/>
  <c r="U121" i="6"/>
  <c r="V121" i="6"/>
  <c r="W121" i="6"/>
  <c r="Y121" i="6"/>
  <c r="Z121" i="6"/>
  <c r="AA121" i="6"/>
  <c r="AB121" i="6"/>
  <c r="AC121" i="6"/>
  <c r="AE121" i="6"/>
  <c r="AF121" i="6"/>
  <c r="AH121" i="6"/>
  <c r="AI121" i="6"/>
  <c r="AJ121" i="6"/>
  <c r="AM121" i="6"/>
  <c r="K122" i="6"/>
  <c r="N122" i="6"/>
  <c r="O122" i="6"/>
  <c r="R122" i="6"/>
  <c r="S122" i="6"/>
  <c r="T122" i="6"/>
  <c r="U122" i="6"/>
  <c r="V122" i="6"/>
  <c r="W122" i="6"/>
  <c r="Y122" i="6"/>
  <c r="Z122" i="6"/>
  <c r="AA122" i="6"/>
  <c r="AB122" i="6"/>
  <c r="AC122" i="6"/>
  <c r="AE122" i="6"/>
  <c r="AF122" i="6"/>
  <c r="AH122" i="6"/>
  <c r="AI122" i="6"/>
  <c r="AJ122" i="6"/>
  <c r="AM122" i="6"/>
  <c r="K123" i="6"/>
  <c r="N123" i="6"/>
  <c r="O123" i="6"/>
  <c r="R123" i="6"/>
  <c r="S123" i="6"/>
  <c r="T123" i="6"/>
  <c r="U123" i="6"/>
  <c r="V123" i="6"/>
  <c r="W123" i="6"/>
  <c r="Y123" i="6"/>
  <c r="Z123" i="6"/>
  <c r="AA123" i="6"/>
  <c r="AB123" i="6"/>
  <c r="AC123" i="6"/>
  <c r="AE123" i="6"/>
  <c r="AF123" i="6"/>
  <c r="AH123" i="6"/>
  <c r="AI123" i="6"/>
  <c r="AJ123" i="6"/>
  <c r="AM123" i="6"/>
  <c r="K124" i="6"/>
  <c r="N124" i="6"/>
  <c r="O124" i="6"/>
  <c r="R124" i="6"/>
  <c r="S124" i="6"/>
  <c r="T124" i="6"/>
  <c r="U124" i="6"/>
  <c r="V124" i="6"/>
  <c r="W124" i="6"/>
  <c r="Y124" i="6"/>
  <c r="Z124" i="6"/>
  <c r="AA124" i="6"/>
  <c r="AB124" i="6"/>
  <c r="AC124" i="6"/>
  <c r="AE124" i="6"/>
  <c r="AF124" i="6"/>
  <c r="AH124" i="6"/>
  <c r="AI124" i="6"/>
  <c r="AJ124" i="6"/>
  <c r="AM124" i="6"/>
  <c r="K125" i="6"/>
  <c r="N125" i="6"/>
  <c r="O125" i="6"/>
  <c r="R125" i="6"/>
  <c r="S125" i="6"/>
  <c r="T125" i="6"/>
  <c r="U125" i="6"/>
  <c r="V125" i="6"/>
  <c r="W125" i="6"/>
  <c r="Y125" i="6"/>
  <c r="Z125" i="6"/>
  <c r="AA125" i="6"/>
  <c r="AB125" i="6"/>
  <c r="AC125" i="6"/>
  <c r="AE125" i="6"/>
  <c r="AF125" i="6"/>
  <c r="AH125" i="6"/>
  <c r="AI125" i="6"/>
  <c r="AJ125" i="6"/>
  <c r="AM125" i="6"/>
  <c r="K126" i="6"/>
  <c r="N126" i="6"/>
  <c r="O126" i="6"/>
  <c r="R126" i="6"/>
  <c r="S126" i="6"/>
  <c r="T126" i="6"/>
  <c r="U126" i="6"/>
  <c r="V126" i="6"/>
  <c r="W126" i="6"/>
  <c r="Y126" i="6"/>
  <c r="Z126" i="6"/>
  <c r="AA126" i="6"/>
  <c r="AB126" i="6"/>
  <c r="AC126" i="6"/>
  <c r="AE126" i="6"/>
  <c r="AF126" i="6"/>
  <c r="AH126" i="6"/>
  <c r="AI126" i="6"/>
  <c r="AJ126" i="6"/>
  <c r="AM126" i="6"/>
  <c r="K127" i="6"/>
  <c r="N127" i="6"/>
  <c r="O127" i="6"/>
  <c r="R127" i="6"/>
  <c r="S127" i="6"/>
  <c r="T127" i="6"/>
  <c r="U127" i="6"/>
  <c r="V127" i="6"/>
  <c r="W127" i="6"/>
  <c r="Y127" i="6"/>
  <c r="Z127" i="6"/>
  <c r="AA127" i="6"/>
  <c r="AB127" i="6"/>
  <c r="AC127" i="6"/>
  <c r="AE127" i="6"/>
  <c r="AF127" i="6"/>
  <c r="AH127" i="6"/>
  <c r="AI127" i="6"/>
  <c r="AJ127" i="6"/>
  <c r="AM127" i="6"/>
  <c r="K128" i="6"/>
  <c r="N128" i="6"/>
  <c r="O128" i="6"/>
  <c r="R128" i="6"/>
  <c r="S128" i="6"/>
  <c r="T128" i="6"/>
  <c r="U128" i="6"/>
  <c r="V128" i="6"/>
  <c r="W128" i="6"/>
  <c r="Y128" i="6"/>
  <c r="Z128" i="6"/>
  <c r="AA128" i="6"/>
  <c r="AB128" i="6"/>
  <c r="AC128" i="6"/>
  <c r="AE128" i="6"/>
  <c r="AF128" i="6"/>
  <c r="AH128" i="6"/>
  <c r="AI128" i="6"/>
  <c r="AJ128" i="6"/>
  <c r="AM128" i="6"/>
  <c r="K129" i="6"/>
  <c r="N129" i="6"/>
  <c r="O129" i="6"/>
  <c r="R129" i="6"/>
  <c r="S129" i="6"/>
  <c r="T129" i="6"/>
  <c r="U129" i="6"/>
  <c r="V129" i="6"/>
  <c r="W129" i="6"/>
  <c r="Y129" i="6"/>
  <c r="Z129" i="6"/>
  <c r="AA129" i="6"/>
  <c r="AB129" i="6"/>
  <c r="AC129" i="6"/>
  <c r="AE129" i="6"/>
  <c r="AF129" i="6"/>
  <c r="AH129" i="6"/>
  <c r="AI129" i="6"/>
  <c r="AJ129" i="6"/>
  <c r="AM129" i="6"/>
  <c r="K130" i="6"/>
  <c r="N130" i="6"/>
  <c r="O130" i="6"/>
  <c r="R130" i="6"/>
  <c r="S130" i="6"/>
  <c r="T130" i="6"/>
  <c r="U130" i="6"/>
  <c r="V130" i="6"/>
  <c r="W130" i="6"/>
  <c r="Y130" i="6"/>
  <c r="Z130" i="6"/>
  <c r="AA130" i="6"/>
  <c r="AB130" i="6"/>
  <c r="AC130" i="6"/>
  <c r="AE130" i="6"/>
  <c r="AF130" i="6"/>
  <c r="AH130" i="6"/>
  <c r="AI130" i="6"/>
  <c r="AJ130" i="6"/>
  <c r="AM130" i="6"/>
  <c r="K131" i="6"/>
  <c r="N131" i="6"/>
  <c r="O131" i="6"/>
  <c r="R131" i="6"/>
  <c r="S131" i="6"/>
  <c r="T131" i="6"/>
  <c r="U131" i="6"/>
  <c r="V131" i="6"/>
  <c r="W131" i="6"/>
  <c r="Y131" i="6"/>
  <c r="Z131" i="6"/>
  <c r="AA131" i="6"/>
  <c r="AB131" i="6"/>
  <c r="AC131" i="6"/>
  <c r="AE131" i="6"/>
  <c r="AF131" i="6"/>
  <c r="AH131" i="6"/>
  <c r="AI131" i="6"/>
  <c r="AJ131" i="6"/>
  <c r="AM131" i="6"/>
  <c r="K132" i="6"/>
  <c r="N132" i="6"/>
  <c r="O132" i="6"/>
  <c r="R132" i="6"/>
  <c r="S132" i="6"/>
  <c r="T132" i="6"/>
  <c r="U132" i="6"/>
  <c r="V132" i="6"/>
  <c r="W132" i="6"/>
  <c r="Y132" i="6"/>
  <c r="Z132" i="6"/>
  <c r="AA132" i="6"/>
  <c r="AB132" i="6"/>
  <c r="AC132" i="6"/>
  <c r="AE132" i="6"/>
  <c r="AF132" i="6"/>
  <c r="AH132" i="6"/>
  <c r="AI132" i="6"/>
  <c r="AJ132" i="6"/>
  <c r="AM132" i="6"/>
  <c r="K133" i="6"/>
  <c r="N133" i="6"/>
  <c r="O133" i="6"/>
  <c r="R133" i="6"/>
  <c r="S133" i="6"/>
  <c r="T133" i="6"/>
  <c r="U133" i="6"/>
  <c r="V133" i="6"/>
  <c r="W133" i="6"/>
  <c r="Y133" i="6"/>
  <c r="Z133" i="6"/>
  <c r="AA133" i="6"/>
  <c r="AB133" i="6"/>
  <c r="AC133" i="6"/>
  <c r="AE133" i="6"/>
  <c r="AF133" i="6"/>
  <c r="AH133" i="6"/>
  <c r="AI133" i="6"/>
  <c r="AJ133" i="6"/>
  <c r="AM133" i="6"/>
  <c r="K134" i="6"/>
  <c r="N134" i="6"/>
  <c r="O134" i="6"/>
  <c r="R134" i="6"/>
  <c r="S134" i="6"/>
  <c r="T134" i="6"/>
  <c r="U134" i="6"/>
  <c r="V134" i="6"/>
  <c r="W134" i="6"/>
  <c r="Y134" i="6"/>
  <c r="Z134" i="6"/>
  <c r="AA134" i="6"/>
  <c r="AB134" i="6"/>
  <c r="AC134" i="6"/>
  <c r="AE134" i="6"/>
  <c r="AF134" i="6"/>
  <c r="AH134" i="6"/>
  <c r="AI134" i="6"/>
  <c r="AJ134" i="6"/>
  <c r="AM134" i="6"/>
  <c r="K135" i="6"/>
  <c r="N135" i="6"/>
  <c r="O135" i="6"/>
  <c r="R135" i="6"/>
  <c r="S135" i="6"/>
  <c r="T135" i="6"/>
  <c r="U135" i="6"/>
  <c r="V135" i="6"/>
  <c r="W135" i="6"/>
  <c r="Y135" i="6"/>
  <c r="Z135" i="6"/>
  <c r="AA135" i="6"/>
  <c r="AB135" i="6"/>
  <c r="AC135" i="6"/>
  <c r="AE135" i="6"/>
  <c r="AF135" i="6"/>
  <c r="AH135" i="6"/>
  <c r="AI135" i="6"/>
  <c r="AJ135" i="6"/>
  <c r="AM135" i="6"/>
  <c r="K136" i="6"/>
  <c r="N136" i="6"/>
  <c r="O136" i="6"/>
  <c r="R136" i="6"/>
  <c r="S136" i="6"/>
  <c r="T136" i="6"/>
  <c r="U136" i="6"/>
  <c r="V136" i="6"/>
  <c r="W136" i="6"/>
  <c r="Y136" i="6"/>
  <c r="Z136" i="6"/>
  <c r="AA136" i="6"/>
  <c r="AB136" i="6"/>
  <c r="AC136" i="6"/>
  <c r="AE136" i="6"/>
  <c r="AF136" i="6"/>
  <c r="AH136" i="6"/>
  <c r="AI136" i="6"/>
  <c r="AJ136" i="6"/>
  <c r="AM136" i="6"/>
  <c r="K137" i="6"/>
  <c r="N137" i="6"/>
  <c r="O137" i="6"/>
  <c r="R137" i="6"/>
  <c r="S137" i="6"/>
  <c r="T137" i="6"/>
  <c r="U137" i="6"/>
  <c r="V137" i="6"/>
  <c r="W137" i="6"/>
  <c r="Y137" i="6"/>
  <c r="Z137" i="6"/>
  <c r="AA137" i="6"/>
  <c r="AB137" i="6"/>
  <c r="AC137" i="6"/>
  <c r="AE137" i="6"/>
  <c r="AF137" i="6"/>
  <c r="AH137" i="6"/>
  <c r="AI137" i="6"/>
  <c r="AJ137" i="6"/>
  <c r="AM137" i="6"/>
  <c r="K138" i="6"/>
  <c r="N138" i="6"/>
  <c r="O138" i="6"/>
  <c r="R138" i="6"/>
  <c r="S138" i="6"/>
  <c r="T138" i="6"/>
  <c r="U138" i="6"/>
  <c r="V138" i="6"/>
  <c r="W138" i="6"/>
  <c r="Y138" i="6"/>
  <c r="Z138" i="6"/>
  <c r="AA138" i="6"/>
  <c r="AB138" i="6"/>
  <c r="AC138" i="6"/>
  <c r="AE138" i="6"/>
  <c r="AF138" i="6"/>
  <c r="AH138" i="6"/>
  <c r="AI138" i="6"/>
  <c r="AJ138" i="6"/>
  <c r="AM138" i="6"/>
  <c r="K139" i="6"/>
  <c r="N139" i="6"/>
  <c r="O139" i="6"/>
  <c r="R139" i="6"/>
  <c r="S139" i="6"/>
  <c r="T139" i="6"/>
  <c r="U139" i="6"/>
  <c r="V139" i="6"/>
  <c r="W139" i="6"/>
  <c r="Y139" i="6"/>
  <c r="Z139" i="6"/>
  <c r="AA139" i="6"/>
  <c r="AB139" i="6"/>
  <c r="AC139" i="6"/>
  <c r="AE139" i="6"/>
  <c r="AF139" i="6"/>
  <c r="AH139" i="6"/>
  <c r="AI139" i="6"/>
  <c r="AJ139" i="6"/>
  <c r="AM139" i="6"/>
  <c r="K140" i="6"/>
  <c r="N140" i="6"/>
  <c r="O140" i="6"/>
  <c r="R140" i="6"/>
  <c r="S140" i="6"/>
  <c r="T140" i="6"/>
  <c r="U140" i="6"/>
  <c r="V140" i="6"/>
  <c r="W140" i="6"/>
  <c r="Y140" i="6"/>
  <c r="Z140" i="6"/>
  <c r="AA140" i="6"/>
  <c r="AB140" i="6"/>
  <c r="AC140" i="6"/>
  <c r="AE140" i="6"/>
  <c r="AF140" i="6"/>
  <c r="AH140" i="6"/>
  <c r="AI140" i="6"/>
  <c r="AJ140" i="6"/>
  <c r="AM140" i="6"/>
  <c r="K141" i="6"/>
  <c r="N141" i="6"/>
  <c r="O141" i="6"/>
  <c r="R141" i="6"/>
  <c r="S141" i="6"/>
  <c r="T141" i="6"/>
  <c r="U141" i="6"/>
  <c r="V141" i="6"/>
  <c r="W141" i="6"/>
  <c r="Y141" i="6"/>
  <c r="Z141" i="6"/>
  <c r="AA141" i="6"/>
  <c r="AB141" i="6"/>
  <c r="AC141" i="6"/>
  <c r="AE141" i="6"/>
  <c r="AF141" i="6"/>
  <c r="AH141" i="6"/>
  <c r="AI141" i="6"/>
  <c r="AJ141" i="6"/>
  <c r="AM141" i="6"/>
  <c r="K142" i="6"/>
  <c r="N142" i="6"/>
  <c r="O142" i="6"/>
  <c r="R142" i="6"/>
  <c r="S142" i="6"/>
  <c r="T142" i="6"/>
  <c r="U142" i="6"/>
  <c r="V142" i="6"/>
  <c r="W142" i="6"/>
  <c r="Y142" i="6"/>
  <c r="Z142" i="6"/>
  <c r="AA142" i="6"/>
  <c r="AB142" i="6"/>
  <c r="AC142" i="6"/>
  <c r="AE142" i="6"/>
  <c r="AF142" i="6"/>
  <c r="AH142" i="6"/>
  <c r="AI142" i="6"/>
  <c r="AJ142" i="6"/>
  <c r="AM142" i="6"/>
  <c r="K143" i="6"/>
  <c r="N143" i="6"/>
  <c r="O143" i="6"/>
  <c r="R143" i="6"/>
  <c r="S143" i="6"/>
  <c r="T143" i="6"/>
  <c r="U143" i="6"/>
  <c r="V143" i="6"/>
  <c r="W143" i="6"/>
  <c r="Y143" i="6"/>
  <c r="Z143" i="6"/>
  <c r="AA143" i="6"/>
  <c r="AB143" i="6"/>
  <c r="AC143" i="6"/>
  <c r="AE143" i="6"/>
  <c r="AF143" i="6"/>
  <c r="AH143" i="6"/>
  <c r="AI143" i="6"/>
  <c r="AJ143" i="6"/>
  <c r="AM143" i="6"/>
  <c r="K144" i="6"/>
  <c r="N144" i="6"/>
  <c r="O144" i="6"/>
  <c r="R144" i="6"/>
  <c r="S144" i="6"/>
  <c r="T144" i="6"/>
  <c r="U144" i="6"/>
  <c r="V144" i="6"/>
  <c r="W144" i="6"/>
  <c r="Y144" i="6"/>
  <c r="Z144" i="6"/>
  <c r="AA144" i="6"/>
  <c r="AB144" i="6"/>
  <c r="AC144" i="6"/>
  <c r="AE144" i="6"/>
  <c r="AF144" i="6"/>
  <c r="AH144" i="6"/>
  <c r="AI144" i="6"/>
  <c r="AJ144" i="6"/>
  <c r="AM144" i="6"/>
  <c r="K145" i="6"/>
  <c r="N145" i="6"/>
  <c r="O145" i="6"/>
  <c r="R145" i="6"/>
  <c r="S145" i="6"/>
  <c r="T145" i="6"/>
  <c r="U145" i="6"/>
  <c r="V145" i="6"/>
  <c r="W145" i="6"/>
  <c r="Y145" i="6"/>
  <c r="Z145" i="6"/>
  <c r="AA145" i="6"/>
  <c r="AB145" i="6"/>
  <c r="AC145" i="6"/>
  <c r="AE145" i="6"/>
  <c r="AF145" i="6"/>
  <c r="AH145" i="6"/>
  <c r="AI145" i="6"/>
  <c r="AJ145" i="6"/>
  <c r="AM145" i="6"/>
  <c r="K146" i="6"/>
  <c r="N146" i="6"/>
  <c r="O146" i="6"/>
  <c r="R146" i="6"/>
  <c r="S146" i="6"/>
  <c r="T146" i="6"/>
  <c r="U146" i="6"/>
  <c r="V146" i="6"/>
  <c r="W146" i="6"/>
  <c r="Y146" i="6"/>
  <c r="Z146" i="6"/>
  <c r="AA146" i="6"/>
  <c r="AB146" i="6"/>
  <c r="AC146" i="6"/>
  <c r="AE146" i="6"/>
  <c r="AF146" i="6"/>
  <c r="AH146" i="6"/>
  <c r="AI146" i="6"/>
  <c r="AJ146" i="6"/>
  <c r="AM146" i="6"/>
  <c r="K147" i="6"/>
  <c r="N147" i="6"/>
  <c r="O147" i="6"/>
  <c r="R147" i="6"/>
  <c r="S147" i="6"/>
  <c r="T147" i="6"/>
  <c r="U147" i="6"/>
  <c r="V147" i="6"/>
  <c r="W147" i="6"/>
  <c r="Y147" i="6"/>
  <c r="Z147" i="6"/>
  <c r="AA147" i="6"/>
  <c r="AB147" i="6"/>
  <c r="AC147" i="6"/>
  <c r="AE147" i="6"/>
  <c r="AF147" i="6"/>
  <c r="AH147" i="6"/>
  <c r="AI147" i="6"/>
  <c r="AJ147" i="6"/>
  <c r="AM147" i="6"/>
  <c r="K148" i="6"/>
  <c r="N148" i="6"/>
  <c r="O148" i="6"/>
  <c r="R148" i="6"/>
  <c r="S148" i="6"/>
  <c r="T148" i="6"/>
  <c r="U148" i="6"/>
  <c r="V148" i="6"/>
  <c r="W148" i="6"/>
  <c r="Y148" i="6"/>
  <c r="Z148" i="6"/>
  <c r="AA148" i="6"/>
  <c r="AB148" i="6"/>
  <c r="AC148" i="6"/>
  <c r="AE148" i="6"/>
  <c r="AF148" i="6"/>
  <c r="AH148" i="6"/>
  <c r="AI148" i="6"/>
  <c r="AJ148" i="6"/>
  <c r="AM148" i="6"/>
  <c r="K149" i="6"/>
  <c r="N149" i="6"/>
  <c r="O149" i="6"/>
  <c r="R149" i="6"/>
  <c r="S149" i="6"/>
  <c r="T149" i="6"/>
  <c r="U149" i="6"/>
  <c r="V149" i="6"/>
  <c r="W149" i="6"/>
  <c r="Y149" i="6"/>
  <c r="Z149" i="6"/>
  <c r="AA149" i="6"/>
  <c r="AB149" i="6"/>
  <c r="AC149" i="6"/>
  <c r="AE149" i="6"/>
  <c r="AF149" i="6"/>
  <c r="AH149" i="6"/>
  <c r="AI149" i="6"/>
  <c r="AJ149" i="6"/>
  <c r="AM149" i="6"/>
  <c r="K150" i="6"/>
  <c r="N150" i="6"/>
  <c r="R150" i="6"/>
  <c r="S150" i="6"/>
  <c r="T150" i="6"/>
  <c r="U150" i="6"/>
  <c r="V150" i="6"/>
  <c r="W150" i="6"/>
  <c r="Y150" i="6"/>
  <c r="Z150" i="6"/>
  <c r="AA150" i="6"/>
  <c r="AB150" i="6"/>
  <c r="AC150" i="6"/>
  <c r="AE150" i="6"/>
  <c r="AF150" i="6"/>
  <c r="AH150" i="6"/>
  <c r="AI150" i="6"/>
  <c r="AJ150" i="6"/>
  <c r="AM150" i="6"/>
  <c r="K151" i="6"/>
  <c r="N151" i="6"/>
  <c r="O151" i="6"/>
  <c r="R151" i="6"/>
  <c r="S151" i="6"/>
  <c r="T151" i="6"/>
  <c r="U151" i="6"/>
  <c r="V151" i="6"/>
  <c r="W151" i="6"/>
  <c r="Y151" i="6"/>
  <c r="Z151" i="6"/>
  <c r="AA151" i="6"/>
  <c r="AB151" i="6"/>
  <c r="AC151" i="6"/>
  <c r="AE151" i="6"/>
  <c r="AF151" i="6"/>
  <c r="AH151" i="6"/>
  <c r="AI151" i="6"/>
  <c r="AJ151" i="6"/>
  <c r="AM151" i="6"/>
  <c r="K152" i="6"/>
  <c r="N152" i="6"/>
  <c r="O152" i="6"/>
  <c r="R152" i="6"/>
  <c r="S152" i="6"/>
  <c r="T152" i="6"/>
  <c r="U152" i="6"/>
  <c r="V152" i="6"/>
  <c r="W152" i="6"/>
  <c r="Y152" i="6"/>
  <c r="Z152" i="6"/>
  <c r="AA152" i="6"/>
  <c r="AB152" i="6"/>
  <c r="AC152" i="6"/>
  <c r="AE152" i="6"/>
  <c r="AF152" i="6"/>
  <c r="AH152" i="6"/>
  <c r="AI152" i="6"/>
  <c r="AJ152" i="6"/>
  <c r="AM152" i="6"/>
  <c r="K153" i="6"/>
  <c r="N153" i="6"/>
  <c r="O153" i="6"/>
  <c r="R153" i="6"/>
  <c r="S153" i="6"/>
  <c r="T153" i="6"/>
  <c r="U153" i="6"/>
  <c r="V153" i="6"/>
  <c r="W153" i="6"/>
  <c r="Y153" i="6"/>
  <c r="Z153" i="6"/>
  <c r="AA153" i="6"/>
  <c r="AB153" i="6"/>
  <c r="AC153" i="6"/>
  <c r="AE153" i="6"/>
  <c r="AF153" i="6"/>
  <c r="AH153" i="6"/>
  <c r="AI153" i="6"/>
  <c r="AJ153" i="6"/>
  <c r="AM153" i="6"/>
  <c r="K154" i="6"/>
  <c r="N154" i="6"/>
  <c r="O154" i="6"/>
  <c r="R154" i="6"/>
  <c r="S154" i="6"/>
  <c r="T154" i="6"/>
  <c r="U154" i="6"/>
  <c r="V154" i="6"/>
  <c r="W154" i="6"/>
  <c r="Y154" i="6"/>
  <c r="Z154" i="6"/>
  <c r="AA154" i="6"/>
  <c r="AB154" i="6"/>
  <c r="AC154" i="6"/>
  <c r="AE154" i="6"/>
  <c r="AF154" i="6"/>
  <c r="AH154" i="6"/>
  <c r="AI154" i="6"/>
  <c r="AJ154" i="6"/>
  <c r="AM154" i="6"/>
  <c r="K155" i="6"/>
  <c r="N155" i="6"/>
  <c r="O155" i="6"/>
  <c r="R155" i="6"/>
  <c r="S155" i="6"/>
  <c r="T155" i="6"/>
  <c r="U155" i="6"/>
  <c r="V155" i="6"/>
  <c r="W155" i="6"/>
  <c r="Y155" i="6"/>
  <c r="Z155" i="6"/>
  <c r="AA155" i="6"/>
  <c r="AB155" i="6"/>
  <c r="AC155" i="6"/>
  <c r="AE155" i="6"/>
  <c r="AF155" i="6"/>
  <c r="AH155" i="6"/>
  <c r="AI155" i="6"/>
  <c r="AJ155" i="6"/>
  <c r="AM155" i="6"/>
  <c r="K156" i="6"/>
  <c r="N156" i="6"/>
  <c r="O156" i="6"/>
  <c r="R156" i="6"/>
  <c r="S156" i="6"/>
  <c r="T156" i="6"/>
  <c r="U156" i="6"/>
  <c r="V156" i="6"/>
  <c r="W156" i="6"/>
  <c r="Y156" i="6"/>
  <c r="Z156" i="6"/>
  <c r="AA156" i="6"/>
  <c r="AB156" i="6"/>
  <c r="AC156" i="6"/>
  <c r="AE156" i="6"/>
  <c r="AF156" i="6"/>
  <c r="AH156" i="6"/>
  <c r="AI156" i="6"/>
  <c r="AJ156" i="6"/>
  <c r="AM156" i="6"/>
  <c r="K157" i="6"/>
  <c r="N157" i="6"/>
  <c r="O157" i="6"/>
  <c r="R157" i="6"/>
  <c r="S157" i="6"/>
  <c r="T157" i="6"/>
  <c r="U157" i="6"/>
  <c r="V157" i="6"/>
  <c r="W157" i="6"/>
  <c r="Y157" i="6"/>
  <c r="Z157" i="6"/>
  <c r="AA157" i="6"/>
  <c r="AB157" i="6"/>
  <c r="AC157" i="6"/>
  <c r="AE157" i="6"/>
  <c r="AF157" i="6"/>
  <c r="AH157" i="6"/>
  <c r="AI157" i="6"/>
  <c r="AJ157" i="6"/>
  <c r="AM157" i="6"/>
  <c r="K158" i="6"/>
  <c r="N158" i="6"/>
  <c r="O158" i="6"/>
  <c r="R158" i="6"/>
  <c r="S158" i="6"/>
  <c r="T158" i="6"/>
  <c r="U158" i="6"/>
  <c r="V158" i="6"/>
  <c r="W158" i="6"/>
  <c r="Y158" i="6"/>
  <c r="Z158" i="6"/>
  <c r="AA158" i="6"/>
  <c r="AB158" i="6"/>
  <c r="AC158" i="6"/>
  <c r="AE158" i="6"/>
  <c r="AF158" i="6"/>
  <c r="AH158" i="6"/>
  <c r="AI158" i="6"/>
  <c r="AJ158" i="6"/>
  <c r="AM158" i="6"/>
  <c r="K159" i="6"/>
  <c r="N159" i="6"/>
  <c r="O159" i="6"/>
  <c r="R159" i="6"/>
  <c r="S159" i="6"/>
  <c r="T159" i="6"/>
  <c r="U159" i="6"/>
  <c r="V159" i="6"/>
  <c r="W159" i="6"/>
  <c r="Y159" i="6"/>
  <c r="Z159" i="6"/>
  <c r="AA159" i="6"/>
  <c r="AB159" i="6"/>
  <c r="AC159" i="6"/>
  <c r="AE159" i="6"/>
  <c r="AF159" i="6"/>
  <c r="AH159" i="6"/>
  <c r="AI159" i="6"/>
  <c r="AJ159" i="6"/>
  <c r="AM159" i="6"/>
  <c r="K160" i="6"/>
  <c r="N160" i="6"/>
  <c r="O160" i="6"/>
  <c r="R160" i="6"/>
  <c r="S160" i="6"/>
  <c r="T160" i="6"/>
  <c r="U160" i="6"/>
  <c r="V160" i="6"/>
  <c r="W160" i="6"/>
  <c r="Y160" i="6"/>
  <c r="Z160" i="6"/>
  <c r="AA160" i="6"/>
  <c r="AB160" i="6"/>
  <c r="AC160" i="6"/>
  <c r="AE160" i="6"/>
  <c r="AF160" i="6"/>
  <c r="AH160" i="6"/>
  <c r="AI160" i="6"/>
  <c r="AJ160" i="6"/>
  <c r="AM160" i="6"/>
  <c r="K161" i="6"/>
  <c r="N161" i="6"/>
  <c r="O161" i="6"/>
  <c r="R161" i="6"/>
  <c r="S161" i="6"/>
  <c r="T161" i="6"/>
  <c r="U161" i="6"/>
  <c r="V161" i="6"/>
  <c r="W161" i="6"/>
  <c r="Y161" i="6"/>
  <c r="Z161" i="6"/>
  <c r="AA161" i="6"/>
  <c r="AB161" i="6"/>
  <c r="AC161" i="6"/>
  <c r="AE161" i="6"/>
  <c r="AF161" i="6"/>
  <c r="AH161" i="6"/>
  <c r="AI161" i="6"/>
  <c r="AJ161" i="6"/>
  <c r="AM161" i="6"/>
  <c r="K162" i="6"/>
  <c r="N162" i="6"/>
  <c r="O162" i="6"/>
  <c r="R162" i="6"/>
  <c r="S162" i="6"/>
  <c r="T162" i="6"/>
  <c r="U162" i="6"/>
  <c r="V162" i="6"/>
  <c r="W162" i="6"/>
  <c r="Y162" i="6"/>
  <c r="Z162" i="6"/>
  <c r="AA162" i="6"/>
  <c r="AB162" i="6"/>
  <c r="AC162" i="6"/>
  <c r="AE162" i="6"/>
  <c r="AF162" i="6"/>
  <c r="AH162" i="6"/>
  <c r="AI162" i="6"/>
  <c r="AJ162" i="6"/>
  <c r="AM162" i="6"/>
  <c r="K163" i="6"/>
  <c r="N163" i="6"/>
  <c r="O163" i="6"/>
  <c r="R163" i="6"/>
  <c r="S163" i="6"/>
  <c r="T163" i="6"/>
  <c r="U163" i="6"/>
  <c r="V163" i="6"/>
  <c r="W163" i="6"/>
  <c r="Y163" i="6"/>
  <c r="Z163" i="6"/>
  <c r="AA163" i="6"/>
  <c r="AB163" i="6"/>
  <c r="AC163" i="6"/>
  <c r="AE163" i="6"/>
  <c r="AF163" i="6"/>
  <c r="AH163" i="6"/>
  <c r="AI163" i="6"/>
  <c r="AJ163" i="6"/>
  <c r="AM163" i="6"/>
  <c r="K164" i="6"/>
  <c r="N164" i="6"/>
  <c r="O164" i="6"/>
  <c r="R164" i="6"/>
  <c r="S164" i="6"/>
  <c r="T164" i="6"/>
  <c r="U164" i="6"/>
  <c r="V164" i="6"/>
  <c r="W164" i="6"/>
  <c r="Y164" i="6"/>
  <c r="Z164" i="6"/>
  <c r="AA164" i="6"/>
  <c r="AB164" i="6"/>
  <c r="AC164" i="6"/>
  <c r="AE164" i="6"/>
  <c r="AF164" i="6"/>
  <c r="AH164" i="6"/>
  <c r="AI164" i="6"/>
  <c r="AJ164" i="6"/>
  <c r="AM164" i="6"/>
  <c r="K165" i="6"/>
  <c r="N165" i="6"/>
  <c r="O165" i="6"/>
  <c r="R165" i="6"/>
  <c r="S165" i="6"/>
  <c r="T165" i="6"/>
  <c r="U165" i="6"/>
  <c r="V165" i="6"/>
  <c r="W165" i="6"/>
  <c r="Y165" i="6"/>
  <c r="Z165" i="6"/>
  <c r="AA165" i="6"/>
  <c r="AB165" i="6"/>
  <c r="AC165" i="6"/>
  <c r="AE165" i="6"/>
  <c r="AF165" i="6"/>
  <c r="AH165" i="6"/>
  <c r="AI165" i="6"/>
  <c r="AJ165" i="6"/>
  <c r="AM165" i="6"/>
  <c r="K166" i="6"/>
  <c r="N166" i="6"/>
  <c r="O166" i="6"/>
  <c r="R166" i="6"/>
  <c r="S166" i="6"/>
  <c r="T166" i="6"/>
  <c r="U166" i="6"/>
  <c r="V166" i="6"/>
  <c r="W166" i="6"/>
  <c r="Y166" i="6"/>
  <c r="Z166" i="6"/>
  <c r="AA166" i="6"/>
  <c r="AB166" i="6"/>
  <c r="AC166" i="6"/>
  <c r="AE166" i="6"/>
  <c r="AF166" i="6"/>
  <c r="AH166" i="6"/>
  <c r="AI166" i="6"/>
  <c r="AJ166" i="6"/>
  <c r="AM166" i="6"/>
  <c r="K167" i="6"/>
  <c r="N167" i="6"/>
  <c r="O167" i="6"/>
  <c r="R167" i="6"/>
  <c r="S167" i="6"/>
  <c r="T167" i="6"/>
  <c r="U167" i="6"/>
  <c r="V167" i="6"/>
  <c r="W167" i="6"/>
  <c r="Y167" i="6"/>
  <c r="Z167" i="6"/>
  <c r="AA167" i="6"/>
  <c r="AB167" i="6"/>
  <c r="AC167" i="6"/>
  <c r="AE167" i="6"/>
  <c r="AF167" i="6"/>
  <c r="AH167" i="6"/>
  <c r="AI167" i="6"/>
  <c r="AJ167" i="6"/>
  <c r="AM167" i="6"/>
  <c r="K168" i="6"/>
  <c r="N168" i="6"/>
  <c r="O168" i="6"/>
  <c r="R168" i="6"/>
  <c r="S168" i="6"/>
  <c r="T168" i="6"/>
  <c r="U168" i="6"/>
  <c r="V168" i="6"/>
  <c r="W168" i="6"/>
  <c r="Y168" i="6"/>
  <c r="Z168" i="6"/>
  <c r="AA168" i="6"/>
  <c r="AB168" i="6"/>
  <c r="AC168" i="6"/>
  <c r="AE168" i="6"/>
  <c r="AF168" i="6"/>
  <c r="AH168" i="6"/>
  <c r="AI168" i="6"/>
  <c r="AJ168" i="6"/>
  <c r="AM168" i="6"/>
  <c r="K169" i="6"/>
  <c r="N169" i="6"/>
  <c r="O169" i="6"/>
  <c r="R169" i="6"/>
  <c r="S169" i="6"/>
  <c r="T169" i="6"/>
  <c r="U169" i="6"/>
  <c r="V169" i="6"/>
  <c r="W169" i="6"/>
  <c r="Y169" i="6"/>
  <c r="Z169" i="6"/>
  <c r="AA169" i="6"/>
  <c r="AB169" i="6"/>
  <c r="AC169" i="6"/>
  <c r="AE169" i="6"/>
  <c r="AF169" i="6"/>
  <c r="AH169" i="6"/>
  <c r="AI169" i="6"/>
  <c r="AJ169" i="6"/>
  <c r="AM169" i="6"/>
  <c r="K170" i="6"/>
  <c r="N170" i="6"/>
  <c r="O170" i="6"/>
  <c r="R170" i="6"/>
  <c r="S170" i="6"/>
  <c r="T170" i="6"/>
  <c r="U170" i="6"/>
  <c r="V170" i="6"/>
  <c r="W170" i="6"/>
  <c r="Y170" i="6"/>
  <c r="Z170" i="6"/>
  <c r="AA170" i="6"/>
  <c r="AB170" i="6"/>
  <c r="AC170" i="6"/>
  <c r="AE170" i="6"/>
  <c r="AF170" i="6"/>
  <c r="AH170" i="6"/>
  <c r="AI170" i="6"/>
  <c r="AJ170" i="6"/>
  <c r="AM170" i="6"/>
  <c r="K171" i="6"/>
  <c r="N171" i="6"/>
  <c r="O171" i="6"/>
  <c r="R171" i="6"/>
  <c r="S171" i="6"/>
  <c r="T171" i="6"/>
  <c r="U171" i="6"/>
  <c r="V171" i="6"/>
  <c r="W171" i="6"/>
  <c r="Y171" i="6"/>
  <c r="Z171" i="6"/>
  <c r="AA171" i="6"/>
  <c r="AB171" i="6"/>
  <c r="AC171" i="6"/>
  <c r="AE171" i="6"/>
  <c r="AF171" i="6"/>
  <c r="AH171" i="6"/>
  <c r="AI171" i="6"/>
  <c r="AJ171" i="6"/>
  <c r="AM171" i="6"/>
  <c r="K172" i="6"/>
  <c r="N172" i="6"/>
  <c r="O172" i="6"/>
  <c r="R172" i="6"/>
  <c r="S172" i="6"/>
  <c r="T172" i="6"/>
  <c r="U172" i="6"/>
  <c r="V172" i="6"/>
  <c r="W172" i="6"/>
  <c r="Y172" i="6"/>
  <c r="Z172" i="6"/>
  <c r="AA172" i="6"/>
  <c r="AB172" i="6"/>
  <c r="AC172" i="6"/>
  <c r="AE172" i="6"/>
  <c r="AF172" i="6"/>
  <c r="AH172" i="6"/>
  <c r="AI172" i="6"/>
  <c r="AJ172" i="6"/>
  <c r="AM172" i="6"/>
  <c r="K173" i="6"/>
  <c r="N173" i="6"/>
  <c r="O173" i="6"/>
  <c r="R173" i="6"/>
  <c r="S173" i="6"/>
  <c r="T173" i="6"/>
  <c r="U173" i="6"/>
  <c r="V173" i="6"/>
  <c r="W173" i="6"/>
  <c r="Y173" i="6"/>
  <c r="Z173" i="6"/>
  <c r="AA173" i="6"/>
  <c r="AB173" i="6"/>
  <c r="AC173" i="6"/>
  <c r="AE173" i="6"/>
  <c r="AF173" i="6"/>
  <c r="AH173" i="6"/>
  <c r="AI173" i="6"/>
  <c r="AJ173" i="6"/>
  <c r="AM173" i="6"/>
  <c r="K174" i="6"/>
  <c r="N174" i="6"/>
  <c r="O174" i="6"/>
  <c r="R174" i="6"/>
  <c r="S174" i="6"/>
  <c r="T174" i="6"/>
  <c r="U174" i="6"/>
  <c r="V174" i="6"/>
  <c r="W174" i="6"/>
  <c r="Y174" i="6"/>
  <c r="Z174" i="6"/>
  <c r="AA174" i="6"/>
  <c r="AB174" i="6"/>
  <c r="AC174" i="6"/>
  <c r="AE174" i="6"/>
  <c r="AF174" i="6"/>
  <c r="AH174" i="6"/>
  <c r="AI174" i="6"/>
  <c r="AJ174" i="6"/>
  <c r="AM174" i="6"/>
  <c r="K175" i="6"/>
  <c r="N175" i="6"/>
  <c r="O175" i="6"/>
  <c r="R175" i="6"/>
  <c r="S175" i="6"/>
  <c r="T175" i="6"/>
  <c r="U175" i="6"/>
  <c r="V175" i="6"/>
  <c r="W175" i="6"/>
  <c r="Y175" i="6"/>
  <c r="Z175" i="6"/>
  <c r="AA175" i="6"/>
  <c r="AB175" i="6"/>
  <c r="AC175" i="6"/>
  <c r="AE175" i="6"/>
  <c r="AF175" i="6"/>
  <c r="AH175" i="6"/>
  <c r="AI175" i="6"/>
  <c r="AJ175" i="6"/>
  <c r="AM175" i="6"/>
  <c r="E5" i="6"/>
  <c r="F5" i="6"/>
  <c r="G5" i="6"/>
  <c r="H5" i="6"/>
  <c r="I5" i="6"/>
  <c r="J5" i="6"/>
  <c r="E6" i="6"/>
  <c r="F6" i="6"/>
  <c r="G6" i="6"/>
  <c r="H6" i="6"/>
  <c r="I6" i="6"/>
  <c r="J6" i="6"/>
  <c r="E7" i="6"/>
  <c r="F7" i="6"/>
  <c r="G7" i="6"/>
  <c r="H7" i="6"/>
  <c r="I7" i="6"/>
  <c r="J7" i="6"/>
  <c r="E8" i="6"/>
  <c r="F8" i="6"/>
  <c r="G8" i="6"/>
  <c r="H8" i="6"/>
  <c r="I8" i="6"/>
  <c r="J8" i="6"/>
  <c r="E9" i="6"/>
  <c r="F9" i="6"/>
  <c r="G9" i="6"/>
  <c r="H9" i="6"/>
  <c r="I9" i="6"/>
  <c r="J9" i="6"/>
  <c r="E10" i="6"/>
  <c r="F10" i="6"/>
  <c r="G10" i="6"/>
  <c r="H10" i="6"/>
  <c r="I10" i="6"/>
  <c r="J10" i="6"/>
  <c r="E11" i="6"/>
  <c r="F11" i="6"/>
  <c r="G11" i="6"/>
  <c r="H11" i="6"/>
  <c r="I11" i="6"/>
  <c r="J11" i="6"/>
  <c r="E12" i="6"/>
  <c r="F12" i="6"/>
  <c r="G12" i="6"/>
  <c r="H12" i="6"/>
  <c r="I12" i="6"/>
  <c r="J12" i="6"/>
  <c r="E13" i="6"/>
  <c r="F13" i="6"/>
  <c r="G13" i="6"/>
  <c r="H13" i="6"/>
  <c r="I13" i="6"/>
  <c r="J13" i="6"/>
  <c r="E14" i="6"/>
  <c r="F14" i="6"/>
  <c r="G14" i="6"/>
  <c r="H14" i="6"/>
  <c r="I14" i="6"/>
  <c r="J14" i="6"/>
  <c r="E15" i="6"/>
  <c r="F15" i="6"/>
  <c r="G15" i="6"/>
  <c r="H15" i="6"/>
  <c r="I15" i="6"/>
  <c r="J15" i="6"/>
  <c r="E16" i="6"/>
  <c r="F16" i="6"/>
  <c r="G16" i="6"/>
  <c r="H16" i="6"/>
  <c r="I16" i="6"/>
  <c r="J16" i="6"/>
  <c r="E17" i="6"/>
  <c r="F17" i="6"/>
  <c r="G17" i="6"/>
  <c r="H17" i="6"/>
  <c r="I17" i="6"/>
  <c r="J17" i="6"/>
  <c r="E18" i="6"/>
  <c r="F18" i="6"/>
  <c r="G18" i="6"/>
  <c r="H18" i="6"/>
  <c r="I18" i="6"/>
  <c r="J18" i="6"/>
  <c r="E19" i="6"/>
  <c r="F19" i="6"/>
  <c r="G19" i="6"/>
  <c r="H19" i="6"/>
  <c r="I19" i="6"/>
  <c r="J19" i="6"/>
  <c r="E20" i="6"/>
  <c r="F20" i="6"/>
  <c r="G20" i="6"/>
  <c r="H20" i="6"/>
  <c r="I20" i="6"/>
  <c r="J20" i="6"/>
  <c r="E21" i="6"/>
  <c r="F21" i="6"/>
  <c r="G21" i="6"/>
  <c r="H21" i="6"/>
  <c r="I21" i="6"/>
  <c r="J21" i="6"/>
  <c r="E22" i="6"/>
  <c r="F22" i="6"/>
  <c r="G22" i="6"/>
  <c r="H22" i="6"/>
  <c r="I22" i="6"/>
  <c r="J22" i="6"/>
  <c r="E23" i="6"/>
  <c r="F23" i="6"/>
  <c r="G23" i="6"/>
  <c r="H23" i="6"/>
  <c r="I23" i="6"/>
  <c r="J23" i="6"/>
  <c r="E24" i="6"/>
  <c r="F24" i="6"/>
  <c r="G24" i="6"/>
  <c r="H24" i="6"/>
  <c r="I24" i="6"/>
  <c r="J24" i="6"/>
  <c r="E25" i="6"/>
  <c r="F25" i="6"/>
  <c r="G25" i="6"/>
  <c r="H25" i="6"/>
  <c r="I25" i="6"/>
  <c r="J25" i="6"/>
  <c r="E26" i="6"/>
  <c r="F26" i="6"/>
  <c r="G26" i="6"/>
  <c r="H26" i="6"/>
  <c r="I26" i="6"/>
  <c r="J26" i="6"/>
  <c r="E27" i="6"/>
  <c r="F27" i="6"/>
  <c r="G27" i="6"/>
  <c r="H27" i="6"/>
  <c r="I27" i="6"/>
  <c r="J27" i="6"/>
  <c r="E28" i="6"/>
  <c r="F28" i="6"/>
  <c r="G28" i="6"/>
  <c r="H28" i="6"/>
  <c r="I28" i="6"/>
  <c r="J28" i="6"/>
  <c r="E29" i="6"/>
  <c r="F29" i="6"/>
  <c r="G29" i="6"/>
  <c r="H29" i="6"/>
  <c r="I29" i="6"/>
  <c r="J29" i="6"/>
  <c r="E30" i="6"/>
  <c r="F30" i="6"/>
  <c r="G30" i="6"/>
  <c r="H30" i="6"/>
  <c r="I30" i="6"/>
  <c r="J30" i="6"/>
  <c r="E31" i="6"/>
  <c r="F31" i="6"/>
  <c r="G31" i="6"/>
  <c r="H31" i="6"/>
  <c r="I31" i="6"/>
  <c r="J31" i="6"/>
  <c r="E32" i="6"/>
  <c r="F32" i="6"/>
  <c r="G32" i="6"/>
  <c r="H32" i="6"/>
  <c r="I32" i="6"/>
  <c r="J32" i="6"/>
  <c r="E33" i="6"/>
  <c r="F33" i="6"/>
  <c r="G33" i="6"/>
  <c r="H33" i="6"/>
  <c r="I33" i="6"/>
  <c r="J33" i="6"/>
  <c r="E34" i="6"/>
  <c r="F34" i="6"/>
  <c r="G34" i="6"/>
  <c r="H34" i="6"/>
  <c r="I34" i="6"/>
  <c r="J34" i="6"/>
  <c r="E35" i="6"/>
  <c r="F35" i="6"/>
  <c r="G35" i="6"/>
  <c r="H35" i="6"/>
  <c r="I35" i="6"/>
  <c r="J35" i="6"/>
  <c r="E36" i="6"/>
  <c r="F36" i="6"/>
  <c r="G36" i="6"/>
  <c r="H36" i="6"/>
  <c r="I36" i="6"/>
  <c r="J36" i="6"/>
  <c r="E37" i="6"/>
  <c r="F37" i="6"/>
  <c r="G37" i="6"/>
  <c r="H37" i="6"/>
  <c r="I37" i="6"/>
  <c r="J37" i="6"/>
  <c r="E38" i="6"/>
  <c r="F38" i="6"/>
  <c r="G38" i="6"/>
  <c r="H38" i="6"/>
  <c r="I38" i="6"/>
  <c r="J38" i="6"/>
  <c r="E39" i="6"/>
  <c r="F39" i="6"/>
  <c r="G39" i="6"/>
  <c r="H39" i="6"/>
  <c r="I39" i="6"/>
  <c r="J39" i="6"/>
  <c r="E40" i="6"/>
  <c r="F40" i="6"/>
  <c r="G40" i="6"/>
  <c r="H40" i="6"/>
  <c r="I40" i="6"/>
  <c r="J40" i="6"/>
  <c r="E41" i="6"/>
  <c r="F41" i="6"/>
  <c r="G41" i="6"/>
  <c r="H41" i="6"/>
  <c r="I41" i="6"/>
  <c r="J41" i="6"/>
  <c r="E42" i="6"/>
  <c r="F42" i="6"/>
  <c r="G42" i="6"/>
  <c r="H42" i="6"/>
  <c r="I42" i="6"/>
  <c r="J42" i="6"/>
  <c r="E43" i="6"/>
  <c r="F43" i="6"/>
  <c r="G43" i="6"/>
  <c r="H43" i="6"/>
  <c r="I43" i="6"/>
  <c r="J43" i="6"/>
  <c r="E44" i="6"/>
  <c r="F44" i="6"/>
  <c r="G44" i="6"/>
  <c r="H44" i="6"/>
  <c r="I44" i="6"/>
  <c r="J44" i="6"/>
  <c r="E45" i="6"/>
  <c r="F45" i="6"/>
  <c r="G45" i="6"/>
  <c r="H45" i="6"/>
  <c r="I45" i="6"/>
  <c r="J45" i="6"/>
  <c r="E46" i="6"/>
  <c r="F46" i="6"/>
  <c r="G46" i="6"/>
  <c r="H46" i="6"/>
  <c r="I46" i="6"/>
  <c r="J46" i="6"/>
  <c r="E47" i="6"/>
  <c r="F47" i="6"/>
  <c r="G47" i="6"/>
  <c r="H47" i="6"/>
  <c r="I47" i="6"/>
  <c r="J47" i="6"/>
  <c r="E48" i="6"/>
  <c r="F48" i="6"/>
  <c r="G48" i="6"/>
  <c r="H48" i="6"/>
  <c r="I48" i="6"/>
  <c r="J48" i="6"/>
  <c r="E49" i="6"/>
  <c r="F49" i="6"/>
  <c r="G49" i="6"/>
  <c r="H49" i="6"/>
  <c r="I49" i="6"/>
  <c r="J49" i="6"/>
  <c r="E50" i="6"/>
  <c r="F50" i="6"/>
  <c r="G50" i="6"/>
  <c r="H50" i="6"/>
  <c r="I50" i="6"/>
  <c r="J50" i="6"/>
  <c r="E51" i="6"/>
  <c r="F51" i="6"/>
  <c r="G51" i="6"/>
  <c r="H51" i="6"/>
  <c r="I51" i="6"/>
  <c r="J51" i="6"/>
  <c r="E52" i="6"/>
  <c r="F52" i="6"/>
  <c r="G52" i="6"/>
  <c r="H52" i="6"/>
  <c r="I52" i="6"/>
  <c r="J52" i="6"/>
  <c r="E53" i="6"/>
  <c r="F53" i="6"/>
  <c r="G53" i="6"/>
  <c r="H53" i="6"/>
  <c r="I53" i="6"/>
  <c r="J53" i="6"/>
  <c r="E54" i="6"/>
  <c r="F54" i="6"/>
  <c r="G54" i="6"/>
  <c r="H54" i="6"/>
  <c r="I54" i="6"/>
  <c r="J54" i="6"/>
  <c r="E55" i="6"/>
  <c r="F55" i="6"/>
  <c r="G55" i="6"/>
  <c r="H55" i="6"/>
  <c r="I55" i="6"/>
  <c r="J55" i="6"/>
  <c r="E56" i="6"/>
  <c r="F56" i="6"/>
  <c r="G56" i="6"/>
  <c r="H56" i="6"/>
  <c r="I56" i="6"/>
  <c r="J56" i="6"/>
  <c r="E57" i="6"/>
  <c r="F57" i="6"/>
  <c r="G57" i="6"/>
  <c r="H57" i="6"/>
  <c r="I57" i="6"/>
  <c r="J57" i="6"/>
  <c r="E58" i="6"/>
  <c r="F58" i="6"/>
  <c r="G58" i="6"/>
  <c r="H58" i="6"/>
  <c r="I58" i="6"/>
  <c r="J58" i="6"/>
  <c r="E59" i="6"/>
  <c r="F59" i="6"/>
  <c r="G59" i="6"/>
  <c r="H59" i="6"/>
  <c r="I59" i="6"/>
  <c r="J59" i="6"/>
  <c r="E60" i="6"/>
  <c r="F60" i="6"/>
  <c r="G60" i="6"/>
  <c r="H60" i="6"/>
  <c r="I60" i="6"/>
  <c r="J60" i="6"/>
  <c r="E61" i="6"/>
  <c r="F61" i="6"/>
  <c r="G61" i="6"/>
  <c r="H61" i="6"/>
  <c r="I61" i="6"/>
  <c r="J61" i="6"/>
  <c r="E62" i="6"/>
  <c r="F62" i="6"/>
  <c r="G62" i="6"/>
  <c r="H62" i="6"/>
  <c r="I62" i="6"/>
  <c r="J62" i="6"/>
  <c r="E63" i="6"/>
  <c r="F63" i="6"/>
  <c r="G63" i="6"/>
  <c r="H63" i="6"/>
  <c r="I63" i="6"/>
  <c r="J63" i="6"/>
  <c r="E64" i="6"/>
  <c r="F64" i="6"/>
  <c r="G64" i="6"/>
  <c r="H64" i="6"/>
  <c r="I64" i="6"/>
  <c r="J64" i="6"/>
  <c r="E65" i="6"/>
  <c r="F65" i="6"/>
  <c r="G65" i="6"/>
  <c r="H65" i="6"/>
  <c r="I65" i="6"/>
  <c r="J65" i="6"/>
  <c r="E66" i="6"/>
  <c r="F66" i="6"/>
  <c r="G66" i="6"/>
  <c r="H66" i="6"/>
  <c r="I66" i="6"/>
  <c r="J66" i="6"/>
  <c r="E67" i="6"/>
  <c r="F67" i="6"/>
  <c r="G67" i="6"/>
  <c r="H67" i="6"/>
  <c r="I67" i="6"/>
  <c r="J67" i="6"/>
  <c r="E68" i="6"/>
  <c r="F68" i="6"/>
  <c r="G68" i="6"/>
  <c r="H68" i="6"/>
  <c r="I68" i="6"/>
  <c r="J68" i="6"/>
  <c r="E69" i="6"/>
  <c r="F69" i="6"/>
  <c r="G69" i="6"/>
  <c r="H69" i="6"/>
  <c r="I69" i="6"/>
  <c r="J69" i="6"/>
  <c r="E70" i="6"/>
  <c r="F70" i="6"/>
  <c r="G70" i="6"/>
  <c r="H70" i="6"/>
  <c r="I70" i="6"/>
  <c r="J70" i="6"/>
  <c r="E71" i="6"/>
  <c r="F71" i="6"/>
  <c r="G71" i="6"/>
  <c r="H71" i="6"/>
  <c r="I71" i="6"/>
  <c r="J71" i="6"/>
  <c r="E72" i="6"/>
  <c r="F72" i="6"/>
  <c r="G72" i="6"/>
  <c r="H72" i="6"/>
  <c r="I72" i="6"/>
  <c r="J72" i="6"/>
  <c r="E73" i="6"/>
  <c r="F73" i="6"/>
  <c r="G73" i="6"/>
  <c r="H73" i="6"/>
  <c r="I73" i="6"/>
  <c r="J73" i="6"/>
  <c r="E74" i="6"/>
  <c r="F74" i="6"/>
  <c r="G74" i="6"/>
  <c r="H74" i="6"/>
  <c r="I74" i="6"/>
  <c r="J74" i="6"/>
  <c r="E75" i="6"/>
  <c r="F75" i="6"/>
  <c r="G75" i="6"/>
  <c r="H75" i="6"/>
  <c r="I75" i="6"/>
  <c r="J75" i="6"/>
  <c r="E76" i="6"/>
  <c r="F76" i="6"/>
  <c r="G76" i="6"/>
  <c r="H76" i="6"/>
  <c r="I76" i="6"/>
  <c r="J76" i="6"/>
  <c r="E77" i="6"/>
  <c r="F77" i="6"/>
  <c r="G77" i="6"/>
  <c r="H77" i="6"/>
  <c r="I77" i="6"/>
  <c r="J77" i="6"/>
  <c r="E78" i="6"/>
  <c r="F78" i="6"/>
  <c r="G78" i="6"/>
  <c r="H78" i="6"/>
  <c r="I78" i="6"/>
  <c r="J78" i="6"/>
  <c r="E79" i="6"/>
  <c r="F79" i="6"/>
  <c r="G79" i="6"/>
  <c r="H79" i="6"/>
  <c r="I79" i="6"/>
  <c r="J79" i="6"/>
  <c r="E80" i="6"/>
  <c r="F80" i="6"/>
  <c r="G80" i="6"/>
  <c r="H80" i="6"/>
  <c r="I80" i="6"/>
  <c r="J80" i="6"/>
  <c r="E81" i="6"/>
  <c r="F81" i="6"/>
  <c r="G81" i="6"/>
  <c r="H81" i="6"/>
  <c r="I81" i="6"/>
  <c r="J81" i="6"/>
  <c r="E82" i="6"/>
  <c r="F82" i="6"/>
  <c r="G82" i="6"/>
  <c r="H82" i="6"/>
  <c r="I82" i="6"/>
  <c r="J82" i="6"/>
  <c r="E83" i="6"/>
  <c r="F83" i="6"/>
  <c r="G83" i="6"/>
  <c r="H83" i="6"/>
  <c r="I83" i="6"/>
  <c r="J83" i="6"/>
  <c r="E84" i="6"/>
  <c r="F84" i="6"/>
  <c r="G84" i="6"/>
  <c r="H84" i="6"/>
  <c r="I84" i="6"/>
  <c r="J84" i="6"/>
  <c r="E85" i="6"/>
  <c r="F85" i="6"/>
  <c r="G85" i="6"/>
  <c r="H85" i="6"/>
  <c r="I85" i="6"/>
  <c r="J85" i="6"/>
  <c r="E86" i="6"/>
  <c r="F86" i="6"/>
  <c r="G86" i="6"/>
  <c r="H86" i="6"/>
  <c r="I86" i="6"/>
  <c r="J86" i="6"/>
  <c r="E87" i="6"/>
  <c r="F87" i="6"/>
  <c r="G87" i="6"/>
  <c r="H87" i="6"/>
  <c r="I87" i="6"/>
  <c r="J87" i="6"/>
  <c r="E88" i="6"/>
  <c r="F88" i="6"/>
  <c r="G88" i="6"/>
  <c r="H88" i="6"/>
  <c r="I88" i="6"/>
  <c r="J88" i="6"/>
  <c r="E89" i="6"/>
  <c r="F89" i="6"/>
  <c r="G89" i="6"/>
  <c r="H89" i="6"/>
  <c r="I89" i="6"/>
  <c r="J89" i="6"/>
  <c r="E90" i="6"/>
  <c r="F90" i="6"/>
  <c r="G90" i="6"/>
  <c r="H90" i="6"/>
  <c r="I90" i="6"/>
  <c r="J90" i="6"/>
  <c r="E91" i="6"/>
  <c r="F91" i="6"/>
  <c r="G91" i="6"/>
  <c r="H91" i="6"/>
  <c r="I91" i="6"/>
  <c r="J91" i="6"/>
  <c r="E92" i="6"/>
  <c r="F92" i="6"/>
  <c r="G92" i="6"/>
  <c r="H92" i="6"/>
  <c r="I92" i="6"/>
  <c r="J92" i="6"/>
  <c r="E93" i="6"/>
  <c r="F93" i="6"/>
  <c r="G93" i="6"/>
  <c r="H93" i="6"/>
  <c r="I93" i="6"/>
  <c r="J93" i="6"/>
  <c r="E94" i="6"/>
  <c r="F94" i="6"/>
  <c r="G94" i="6"/>
  <c r="H94" i="6"/>
  <c r="I94" i="6"/>
  <c r="J94" i="6"/>
  <c r="E95" i="6"/>
  <c r="F95" i="6"/>
  <c r="G95" i="6"/>
  <c r="H95" i="6"/>
  <c r="I95" i="6"/>
  <c r="J95" i="6"/>
  <c r="E96" i="6"/>
  <c r="F96" i="6"/>
  <c r="G96" i="6"/>
  <c r="H96" i="6"/>
  <c r="I96" i="6"/>
  <c r="J96" i="6"/>
  <c r="E97" i="6"/>
  <c r="F97" i="6"/>
  <c r="G97" i="6"/>
  <c r="H97" i="6"/>
  <c r="I97" i="6"/>
  <c r="J97" i="6"/>
  <c r="E98" i="6"/>
  <c r="F98" i="6"/>
  <c r="G98" i="6"/>
  <c r="H98" i="6"/>
  <c r="I98" i="6"/>
  <c r="J98" i="6"/>
  <c r="E99" i="6"/>
  <c r="F99" i="6"/>
  <c r="G99" i="6"/>
  <c r="H99" i="6"/>
  <c r="I99" i="6"/>
  <c r="J99" i="6"/>
  <c r="E100" i="6"/>
  <c r="F100" i="6"/>
  <c r="G100" i="6"/>
  <c r="H100" i="6"/>
  <c r="I100" i="6"/>
  <c r="J100" i="6"/>
  <c r="E101" i="6"/>
  <c r="F101" i="6"/>
  <c r="G101" i="6"/>
  <c r="H101" i="6"/>
  <c r="I101" i="6"/>
  <c r="J101" i="6"/>
  <c r="E102" i="6"/>
  <c r="F102" i="6"/>
  <c r="G102" i="6"/>
  <c r="H102" i="6"/>
  <c r="I102" i="6"/>
  <c r="J102" i="6"/>
  <c r="E103" i="6"/>
  <c r="F103" i="6"/>
  <c r="G103" i="6"/>
  <c r="H103" i="6"/>
  <c r="I103" i="6"/>
  <c r="J103" i="6"/>
  <c r="E104" i="6"/>
  <c r="F104" i="6"/>
  <c r="G104" i="6"/>
  <c r="H104" i="6"/>
  <c r="I104" i="6"/>
  <c r="J104" i="6"/>
  <c r="E105" i="6"/>
  <c r="F105" i="6"/>
  <c r="G105" i="6"/>
  <c r="H105" i="6"/>
  <c r="I105" i="6"/>
  <c r="J105" i="6"/>
  <c r="E106" i="6"/>
  <c r="F106" i="6"/>
  <c r="G106" i="6"/>
  <c r="H106" i="6"/>
  <c r="I106" i="6"/>
  <c r="J106" i="6"/>
  <c r="E107" i="6"/>
  <c r="F107" i="6"/>
  <c r="G107" i="6"/>
  <c r="H107" i="6"/>
  <c r="I107" i="6"/>
  <c r="J107" i="6"/>
  <c r="E108" i="6"/>
  <c r="F108" i="6"/>
  <c r="G108" i="6"/>
  <c r="H108" i="6"/>
  <c r="I108" i="6"/>
  <c r="J108" i="6"/>
  <c r="E109" i="6"/>
  <c r="F109" i="6"/>
  <c r="G109" i="6"/>
  <c r="H109" i="6"/>
  <c r="I109" i="6"/>
  <c r="J109" i="6"/>
  <c r="E110" i="6"/>
  <c r="F110" i="6"/>
  <c r="G110" i="6"/>
  <c r="H110" i="6"/>
  <c r="I110" i="6"/>
  <c r="J110" i="6"/>
  <c r="E111" i="6"/>
  <c r="F111" i="6"/>
  <c r="G111" i="6"/>
  <c r="H111" i="6"/>
  <c r="I111" i="6"/>
  <c r="J111" i="6"/>
  <c r="E112" i="6"/>
  <c r="F112" i="6"/>
  <c r="G112" i="6"/>
  <c r="H112" i="6"/>
  <c r="I112" i="6"/>
  <c r="J112" i="6"/>
  <c r="E113" i="6"/>
  <c r="F113" i="6"/>
  <c r="G113" i="6"/>
  <c r="H113" i="6"/>
  <c r="I113" i="6"/>
  <c r="J113" i="6"/>
  <c r="E114" i="6"/>
  <c r="F114" i="6"/>
  <c r="G114" i="6"/>
  <c r="H114" i="6"/>
  <c r="I114" i="6"/>
  <c r="J114" i="6"/>
  <c r="E115" i="6"/>
  <c r="F115" i="6"/>
  <c r="G115" i="6"/>
  <c r="H115" i="6"/>
  <c r="I115" i="6"/>
  <c r="J115" i="6"/>
  <c r="E116" i="6"/>
  <c r="F116" i="6"/>
  <c r="G116" i="6"/>
  <c r="H116" i="6"/>
  <c r="I116" i="6"/>
  <c r="J116" i="6"/>
  <c r="E117" i="6"/>
  <c r="F117" i="6"/>
  <c r="G117" i="6"/>
  <c r="H117" i="6"/>
  <c r="I117" i="6"/>
  <c r="J117" i="6"/>
  <c r="E118" i="6"/>
  <c r="F118" i="6"/>
  <c r="G118" i="6"/>
  <c r="H118" i="6"/>
  <c r="I118" i="6"/>
  <c r="J118" i="6"/>
  <c r="E119" i="6"/>
  <c r="F119" i="6"/>
  <c r="G119" i="6"/>
  <c r="H119" i="6"/>
  <c r="I119" i="6"/>
  <c r="J119" i="6"/>
  <c r="E120" i="6"/>
  <c r="F120" i="6"/>
  <c r="G120" i="6"/>
  <c r="H120" i="6"/>
  <c r="I120" i="6"/>
  <c r="J120" i="6"/>
  <c r="E121" i="6"/>
  <c r="F121" i="6"/>
  <c r="G121" i="6"/>
  <c r="H121" i="6"/>
  <c r="I121" i="6"/>
  <c r="J121" i="6"/>
  <c r="E122" i="6"/>
  <c r="F122" i="6"/>
  <c r="G122" i="6"/>
  <c r="H122" i="6"/>
  <c r="I122" i="6"/>
  <c r="J122" i="6"/>
  <c r="E123" i="6"/>
  <c r="F123" i="6"/>
  <c r="G123" i="6"/>
  <c r="H123" i="6"/>
  <c r="I123" i="6"/>
  <c r="J123" i="6"/>
  <c r="E124" i="6"/>
  <c r="F124" i="6"/>
  <c r="G124" i="6"/>
  <c r="H124" i="6"/>
  <c r="I124" i="6"/>
  <c r="J124" i="6"/>
  <c r="E125" i="6"/>
  <c r="F125" i="6"/>
  <c r="G125" i="6"/>
  <c r="H125" i="6"/>
  <c r="I125" i="6"/>
  <c r="J125" i="6"/>
  <c r="E126" i="6"/>
  <c r="F126" i="6"/>
  <c r="G126" i="6"/>
  <c r="H126" i="6"/>
  <c r="I126" i="6"/>
  <c r="J126" i="6"/>
  <c r="E127" i="6"/>
  <c r="F127" i="6"/>
  <c r="G127" i="6"/>
  <c r="H127" i="6"/>
  <c r="I127" i="6"/>
  <c r="J127" i="6"/>
  <c r="E128" i="6"/>
  <c r="F128" i="6"/>
  <c r="G128" i="6"/>
  <c r="H128" i="6"/>
  <c r="I128" i="6"/>
  <c r="J128" i="6"/>
  <c r="E129" i="6"/>
  <c r="F129" i="6"/>
  <c r="G129" i="6"/>
  <c r="H129" i="6"/>
  <c r="I129" i="6"/>
  <c r="J129" i="6"/>
  <c r="E130" i="6"/>
  <c r="F130" i="6"/>
  <c r="G130" i="6"/>
  <c r="H130" i="6"/>
  <c r="I130" i="6"/>
  <c r="J130" i="6"/>
  <c r="E131" i="6"/>
  <c r="F131" i="6"/>
  <c r="G131" i="6"/>
  <c r="H131" i="6"/>
  <c r="I131" i="6"/>
  <c r="J131" i="6"/>
  <c r="E132" i="6"/>
  <c r="F132" i="6"/>
  <c r="G132" i="6"/>
  <c r="H132" i="6"/>
  <c r="I132" i="6"/>
  <c r="J132" i="6"/>
  <c r="E133" i="6"/>
  <c r="F133" i="6"/>
  <c r="G133" i="6"/>
  <c r="H133" i="6"/>
  <c r="I133" i="6"/>
  <c r="J133" i="6"/>
  <c r="E134" i="6"/>
  <c r="F134" i="6"/>
  <c r="G134" i="6"/>
  <c r="H134" i="6"/>
  <c r="I134" i="6"/>
  <c r="J134" i="6"/>
  <c r="E135" i="6"/>
  <c r="F135" i="6"/>
  <c r="G135" i="6"/>
  <c r="H135" i="6"/>
  <c r="I135" i="6"/>
  <c r="J135" i="6"/>
  <c r="E136" i="6"/>
  <c r="F136" i="6"/>
  <c r="G136" i="6"/>
  <c r="H136" i="6"/>
  <c r="I136" i="6"/>
  <c r="J136" i="6"/>
  <c r="E137" i="6"/>
  <c r="F137" i="6"/>
  <c r="G137" i="6"/>
  <c r="H137" i="6"/>
  <c r="I137" i="6"/>
  <c r="J137" i="6"/>
  <c r="E138" i="6"/>
  <c r="F138" i="6"/>
  <c r="G138" i="6"/>
  <c r="H138" i="6"/>
  <c r="I138" i="6"/>
  <c r="J138" i="6"/>
  <c r="E139" i="6"/>
  <c r="F139" i="6"/>
  <c r="G139" i="6"/>
  <c r="H139" i="6"/>
  <c r="I139" i="6"/>
  <c r="J139" i="6"/>
  <c r="E140" i="6"/>
  <c r="F140" i="6"/>
  <c r="G140" i="6"/>
  <c r="H140" i="6"/>
  <c r="I140" i="6"/>
  <c r="J140" i="6"/>
  <c r="E141" i="6"/>
  <c r="F141" i="6"/>
  <c r="G141" i="6"/>
  <c r="H141" i="6"/>
  <c r="I141" i="6"/>
  <c r="J141" i="6"/>
  <c r="E142" i="6"/>
  <c r="F142" i="6"/>
  <c r="G142" i="6"/>
  <c r="H142" i="6"/>
  <c r="I142" i="6"/>
  <c r="J142" i="6"/>
  <c r="E143" i="6"/>
  <c r="F143" i="6"/>
  <c r="G143" i="6"/>
  <c r="H143" i="6"/>
  <c r="I143" i="6"/>
  <c r="J143" i="6"/>
  <c r="E144" i="6"/>
  <c r="F144" i="6"/>
  <c r="G144" i="6"/>
  <c r="H144" i="6"/>
  <c r="I144" i="6"/>
  <c r="J144" i="6"/>
  <c r="E145" i="6"/>
  <c r="F145" i="6"/>
  <c r="G145" i="6"/>
  <c r="H145" i="6"/>
  <c r="I145" i="6"/>
  <c r="J145" i="6"/>
  <c r="E146" i="6"/>
  <c r="F146" i="6"/>
  <c r="G146" i="6"/>
  <c r="H146" i="6"/>
  <c r="I146" i="6"/>
  <c r="J146" i="6"/>
  <c r="E147" i="6"/>
  <c r="F147" i="6"/>
  <c r="G147" i="6"/>
  <c r="H147" i="6"/>
  <c r="I147" i="6"/>
  <c r="J147" i="6"/>
  <c r="E148" i="6"/>
  <c r="F148" i="6"/>
  <c r="G148" i="6"/>
  <c r="H148" i="6"/>
  <c r="I148" i="6"/>
  <c r="J148" i="6"/>
  <c r="E149" i="6"/>
  <c r="F149" i="6"/>
  <c r="G149" i="6"/>
  <c r="H149" i="6"/>
  <c r="I149" i="6"/>
  <c r="J149" i="6"/>
  <c r="E150" i="6"/>
  <c r="F150" i="6"/>
  <c r="G150" i="6"/>
  <c r="H150" i="6"/>
  <c r="I150" i="6"/>
  <c r="J150" i="6"/>
  <c r="E151" i="6"/>
  <c r="F151" i="6"/>
  <c r="G151" i="6"/>
  <c r="H151" i="6"/>
  <c r="I151" i="6"/>
  <c r="J151" i="6"/>
  <c r="E152" i="6"/>
  <c r="F152" i="6"/>
  <c r="G152" i="6"/>
  <c r="H152" i="6"/>
  <c r="I152" i="6"/>
  <c r="J152" i="6"/>
  <c r="E153" i="6"/>
  <c r="F153" i="6"/>
  <c r="G153" i="6"/>
  <c r="H153" i="6"/>
  <c r="I153" i="6"/>
  <c r="J153" i="6"/>
  <c r="E154" i="6"/>
  <c r="F154" i="6"/>
  <c r="G154" i="6"/>
  <c r="H154" i="6"/>
  <c r="I154" i="6"/>
  <c r="J154" i="6"/>
  <c r="E155" i="6"/>
  <c r="F155" i="6"/>
  <c r="G155" i="6"/>
  <c r="H155" i="6"/>
  <c r="I155" i="6"/>
  <c r="J155" i="6"/>
  <c r="E156" i="6"/>
  <c r="F156" i="6"/>
  <c r="G156" i="6"/>
  <c r="H156" i="6"/>
  <c r="I156" i="6"/>
  <c r="J156" i="6"/>
  <c r="E157" i="6"/>
  <c r="F157" i="6"/>
  <c r="G157" i="6"/>
  <c r="H157" i="6"/>
  <c r="I157" i="6"/>
  <c r="J157" i="6"/>
  <c r="E158" i="6"/>
  <c r="F158" i="6"/>
  <c r="G158" i="6"/>
  <c r="H158" i="6"/>
  <c r="I158" i="6"/>
  <c r="J158" i="6"/>
  <c r="E159" i="6"/>
  <c r="F159" i="6"/>
  <c r="G159" i="6"/>
  <c r="H159" i="6"/>
  <c r="I159" i="6"/>
  <c r="J159" i="6"/>
  <c r="E160" i="6"/>
  <c r="F160" i="6"/>
  <c r="G160" i="6"/>
  <c r="H160" i="6"/>
  <c r="I160" i="6"/>
  <c r="J160" i="6"/>
  <c r="E161" i="6"/>
  <c r="F161" i="6"/>
  <c r="G161" i="6"/>
  <c r="H161" i="6"/>
  <c r="I161" i="6"/>
  <c r="J161" i="6"/>
  <c r="E162" i="6"/>
  <c r="F162" i="6"/>
  <c r="G162" i="6"/>
  <c r="H162" i="6"/>
  <c r="I162" i="6"/>
  <c r="J162" i="6"/>
  <c r="E163" i="6"/>
  <c r="F163" i="6"/>
  <c r="G163" i="6"/>
  <c r="H163" i="6"/>
  <c r="I163" i="6"/>
  <c r="J163" i="6"/>
  <c r="E164" i="6"/>
  <c r="F164" i="6"/>
  <c r="G164" i="6"/>
  <c r="H164" i="6"/>
  <c r="I164" i="6"/>
  <c r="J164" i="6"/>
  <c r="E165" i="6"/>
  <c r="F165" i="6"/>
  <c r="G165" i="6"/>
  <c r="H165" i="6"/>
  <c r="I165" i="6"/>
  <c r="J165" i="6"/>
  <c r="E166" i="6"/>
  <c r="F166" i="6"/>
  <c r="G166" i="6"/>
  <c r="H166" i="6"/>
  <c r="I166" i="6"/>
  <c r="J166" i="6"/>
  <c r="E167" i="6"/>
  <c r="F167" i="6"/>
  <c r="G167" i="6"/>
  <c r="H167" i="6"/>
  <c r="I167" i="6"/>
  <c r="J167" i="6"/>
  <c r="E168" i="6"/>
  <c r="F168" i="6"/>
  <c r="G168" i="6"/>
  <c r="H168" i="6"/>
  <c r="I168" i="6"/>
  <c r="J168" i="6"/>
  <c r="E169" i="6"/>
  <c r="F169" i="6"/>
  <c r="G169" i="6"/>
  <c r="H169" i="6"/>
  <c r="I169" i="6"/>
  <c r="J169" i="6"/>
  <c r="E170" i="6"/>
  <c r="F170" i="6"/>
  <c r="G170" i="6"/>
  <c r="H170" i="6"/>
  <c r="I170" i="6"/>
  <c r="J170" i="6"/>
  <c r="E171" i="6"/>
  <c r="F171" i="6"/>
  <c r="G171" i="6"/>
  <c r="H171" i="6"/>
  <c r="I171" i="6"/>
  <c r="J171" i="6"/>
  <c r="E172" i="6"/>
  <c r="F172" i="6"/>
  <c r="G172" i="6"/>
  <c r="H172" i="6"/>
  <c r="I172" i="6"/>
  <c r="J172" i="6"/>
  <c r="E173" i="6"/>
  <c r="F173" i="6"/>
  <c r="G173" i="6"/>
  <c r="H173" i="6"/>
  <c r="I173" i="6"/>
  <c r="J173" i="6"/>
  <c r="E174" i="6"/>
  <c r="F174" i="6"/>
  <c r="G174" i="6"/>
  <c r="H174" i="6"/>
  <c r="I174" i="6"/>
  <c r="J174" i="6"/>
  <c r="E175" i="6"/>
  <c r="F175" i="6"/>
  <c r="G175" i="6"/>
  <c r="H175" i="6"/>
  <c r="I175" i="6"/>
  <c r="J175" i="6"/>
  <c r="G180" i="3" l="1"/>
  <c r="F181" i="3"/>
  <c r="G179" i="3"/>
  <c r="V178" i="6"/>
  <c r="H178" i="6"/>
  <c r="J176" i="6"/>
  <c r="Y176" i="6"/>
  <c r="I176" i="6"/>
  <c r="W176" i="6"/>
  <c r="AM178" i="6"/>
  <c r="G178" i="6"/>
  <c r="AJ178" i="6"/>
  <c r="U178" i="6"/>
  <c r="AI178" i="6"/>
  <c r="T178" i="6"/>
  <c r="S178" i="6"/>
  <c r="AH178" i="6"/>
  <c r="AF178" i="6"/>
  <c r="R178" i="6"/>
  <c r="AE178" i="6"/>
  <c r="O178" i="6"/>
  <c r="AC178" i="6"/>
  <c r="N178" i="6"/>
  <c r="F178" i="6"/>
  <c r="AB178" i="6"/>
  <c r="M178" i="6"/>
  <c r="AA176" i="6"/>
  <c r="L176" i="6"/>
  <c r="Z176" i="6"/>
  <c r="K176" i="6"/>
  <c r="AM176" i="6"/>
  <c r="V176" i="6"/>
  <c r="H176" i="6"/>
  <c r="AA178" i="6"/>
  <c r="L178" i="6"/>
  <c r="AJ176" i="6"/>
  <c r="U176" i="6"/>
  <c r="G176" i="6"/>
  <c r="Z178" i="6"/>
  <c r="K178" i="6"/>
  <c r="AI176" i="6"/>
  <c r="T176" i="6"/>
  <c r="F176" i="6"/>
  <c r="Y178" i="6"/>
  <c r="Y177" i="6" s="1"/>
  <c r="J178" i="6"/>
  <c r="J177" i="6" s="1"/>
  <c r="AH176" i="6"/>
  <c r="S176" i="6"/>
  <c r="E176" i="6"/>
  <c r="W178" i="6"/>
  <c r="I178" i="6"/>
  <c r="AF176" i="6"/>
  <c r="R176" i="6"/>
  <c r="AE176" i="6"/>
  <c r="O176" i="6"/>
  <c r="AC176" i="6"/>
  <c r="N176" i="6"/>
  <c r="AB176" i="6"/>
  <c r="M176" i="6"/>
  <c r="E178" i="6"/>
  <c r="AO1" i="8"/>
  <c r="I177" i="6" l="1"/>
  <c r="W177" i="6"/>
  <c r="N177" i="6"/>
  <c r="Z177" i="6"/>
  <c r="L177" i="6"/>
  <c r="V177" i="6"/>
  <c r="AE177" i="6"/>
  <c r="AM177" i="6"/>
  <c r="H177" i="6"/>
  <c r="R177" i="6"/>
  <c r="F177" i="6"/>
  <c r="AA177" i="6"/>
  <c r="AC177" i="6"/>
  <c r="AJ177" i="6"/>
  <c r="S177" i="6"/>
  <c r="T177" i="6"/>
  <c r="AI177" i="6"/>
  <c r="AF177" i="6"/>
  <c r="K177" i="6"/>
  <c r="AH177" i="6"/>
  <c r="M177" i="6"/>
  <c r="AB177" i="6"/>
  <c r="G177" i="6"/>
  <c r="O177" i="6"/>
  <c r="U177" i="6"/>
  <c r="E177" i="6"/>
  <c r="AC179" i="6"/>
  <c r="Z179" i="6"/>
  <c r="E179" i="6"/>
  <c r="AB181" i="6"/>
  <c r="E5" i="7"/>
  <c r="C22" i="8"/>
  <c r="D6" i="6"/>
  <c r="AU6" i="6" s="1"/>
  <c r="D7" i="6"/>
  <c r="AU7" i="6" s="1"/>
  <c r="D8" i="6"/>
  <c r="AU8" i="6" s="1"/>
  <c r="D9" i="6"/>
  <c r="AU9" i="6" s="1"/>
  <c r="D10" i="6"/>
  <c r="AU10" i="6" s="1"/>
  <c r="D11" i="6"/>
  <c r="AU11" i="6" s="1"/>
  <c r="D12" i="6"/>
  <c r="AU12" i="6" s="1"/>
  <c r="D13" i="6"/>
  <c r="AU13" i="6" s="1"/>
  <c r="D14" i="6"/>
  <c r="AU14" i="6" s="1"/>
  <c r="D15" i="6"/>
  <c r="AU15" i="6" s="1"/>
  <c r="D16" i="6"/>
  <c r="AU16" i="6" s="1"/>
  <c r="D17" i="6"/>
  <c r="AU17" i="6" s="1"/>
  <c r="D18" i="6"/>
  <c r="AU18" i="6" s="1"/>
  <c r="D19" i="6"/>
  <c r="AU19" i="6" s="1"/>
  <c r="D20" i="6"/>
  <c r="AU20" i="6" s="1"/>
  <c r="D21" i="6"/>
  <c r="AU21" i="6" s="1"/>
  <c r="D22" i="6"/>
  <c r="AU22" i="6" s="1"/>
  <c r="D23" i="6"/>
  <c r="AU23" i="6" s="1"/>
  <c r="D24" i="6"/>
  <c r="AU24" i="6" s="1"/>
  <c r="D25" i="6"/>
  <c r="AU25" i="6" s="1"/>
  <c r="D26" i="6"/>
  <c r="AU26" i="6" s="1"/>
  <c r="D27" i="6"/>
  <c r="AU27" i="6" s="1"/>
  <c r="D28" i="6"/>
  <c r="AU28" i="6" s="1"/>
  <c r="D29" i="6"/>
  <c r="AU29" i="6" s="1"/>
  <c r="D30" i="6"/>
  <c r="AU30" i="6" s="1"/>
  <c r="D31" i="6"/>
  <c r="AU31" i="6" s="1"/>
  <c r="D32" i="6"/>
  <c r="AU32" i="6" s="1"/>
  <c r="D33" i="6"/>
  <c r="AU33" i="6" s="1"/>
  <c r="D34" i="6"/>
  <c r="AU34" i="6" s="1"/>
  <c r="D35" i="6"/>
  <c r="AU35" i="6" s="1"/>
  <c r="D36" i="6"/>
  <c r="AU36" i="6" s="1"/>
  <c r="D37" i="6"/>
  <c r="AU37" i="6" s="1"/>
  <c r="D38" i="6"/>
  <c r="AU38" i="6" s="1"/>
  <c r="D39" i="6"/>
  <c r="AU39" i="6" s="1"/>
  <c r="D40" i="6"/>
  <c r="AU40" i="6" s="1"/>
  <c r="D41" i="6"/>
  <c r="AU41" i="6" s="1"/>
  <c r="D42" i="6"/>
  <c r="AU42" i="6" s="1"/>
  <c r="D43" i="6"/>
  <c r="AU43" i="6" s="1"/>
  <c r="D44" i="6"/>
  <c r="AU44" i="6" s="1"/>
  <c r="D45" i="6"/>
  <c r="AU45" i="6" s="1"/>
  <c r="D46" i="6"/>
  <c r="AU46" i="6" s="1"/>
  <c r="D47" i="6"/>
  <c r="AU47" i="6" s="1"/>
  <c r="D48" i="6"/>
  <c r="AU48" i="6" s="1"/>
  <c r="D49" i="6"/>
  <c r="AU49" i="6" s="1"/>
  <c r="D50" i="6"/>
  <c r="AU50" i="6" s="1"/>
  <c r="D51" i="6"/>
  <c r="AU51" i="6" s="1"/>
  <c r="D52" i="6"/>
  <c r="AU52" i="6" s="1"/>
  <c r="D53" i="6"/>
  <c r="AU53" i="6" s="1"/>
  <c r="D54" i="6"/>
  <c r="AU54" i="6" s="1"/>
  <c r="D55" i="6"/>
  <c r="AU55" i="6" s="1"/>
  <c r="D56" i="6"/>
  <c r="AU56" i="6" s="1"/>
  <c r="D57" i="6"/>
  <c r="AU57" i="6" s="1"/>
  <c r="D58" i="6"/>
  <c r="AU58" i="6" s="1"/>
  <c r="D59" i="6"/>
  <c r="AU59" i="6" s="1"/>
  <c r="D60" i="6"/>
  <c r="AU60" i="6" s="1"/>
  <c r="D61" i="6"/>
  <c r="AU61" i="6" s="1"/>
  <c r="D62" i="6"/>
  <c r="AU62" i="6" s="1"/>
  <c r="D63" i="6"/>
  <c r="AU63" i="6" s="1"/>
  <c r="D64" i="6"/>
  <c r="AU64" i="6" s="1"/>
  <c r="D65" i="6"/>
  <c r="AU65" i="6" s="1"/>
  <c r="D66" i="6"/>
  <c r="AU66" i="6" s="1"/>
  <c r="D67" i="6"/>
  <c r="AU67" i="6" s="1"/>
  <c r="D68" i="6"/>
  <c r="AU68" i="6" s="1"/>
  <c r="D69" i="6"/>
  <c r="AU69" i="6" s="1"/>
  <c r="D70" i="6"/>
  <c r="AU70" i="6" s="1"/>
  <c r="D71" i="6"/>
  <c r="AU71" i="6" s="1"/>
  <c r="D72" i="6"/>
  <c r="AU72" i="6" s="1"/>
  <c r="D73" i="6"/>
  <c r="AU73" i="6" s="1"/>
  <c r="D74" i="6"/>
  <c r="AU74" i="6" s="1"/>
  <c r="D75" i="6"/>
  <c r="AU75" i="6" s="1"/>
  <c r="D76" i="6"/>
  <c r="AU76" i="6" s="1"/>
  <c r="D77" i="6"/>
  <c r="AU77" i="6" s="1"/>
  <c r="D78" i="6"/>
  <c r="AU78" i="6" s="1"/>
  <c r="D79" i="6"/>
  <c r="AU79" i="6" s="1"/>
  <c r="D80" i="6"/>
  <c r="AU80" i="6" s="1"/>
  <c r="D81" i="6"/>
  <c r="AU81" i="6" s="1"/>
  <c r="D82" i="6"/>
  <c r="AU82" i="6" s="1"/>
  <c r="D83" i="6"/>
  <c r="AU83" i="6" s="1"/>
  <c r="D84" i="6"/>
  <c r="AU84" i="6" s="1"/>
  <c r="D85" i="6"/>
  <c r="AU85" i="6" s="1"/>
  <c r="D86" i="6"/>
  <c r="AU86" i="6" s="1"/>
  <c r="D87" i="6"/>
  <c r="AU87" i="6" s="1"/>
  <c r="D88" i="6"/>
  <c r="AU88" i="6" s="1"/>
  <c r="D89" i="6"/>
  <c r="AU89" i="6" s="1"/>
  <c r="D90" i="6"/>
  <c r="AU90" i="6" s="1"/>
  <c r="D91" i="6"/>
  <c r="AU91" i="6" s="1"/>
  <c r="D92" i="6"/>
  <c r="AU92" i="6" s="1"/>
  <c r="D93" i="6"/>
  <c r="AU93" i="6" s="1"/>
  <c r="D94" i="6"/>
  <c r="AU94" i="6" s="1"/>
  <c r="D95" i="6"/>
  <c r="AU95" i="6" s="1"/>
  <c r="D96" i="6"/>
  <c r="AU96" i="6" s="1"/>
  <c r="D97" i="6"/>
  <c r="AU97" i="6" s="1"/>
  <c r="D98" i="6"/>
  <c r="AU98" i="6" s="1"/>
  <c r="D99" i="6"/>
  <c r="AU99" i="6" s="1"/>
  <c r="D100" i="6"/>
  <c r="AU100" i="6" s="1"/>
  <c r="D101" i="6"/>
  <c r="AU101" i="6" s="1"/>
  <c r="D102" i="6"/>
  <c r="AU102" i="6" s="1"/>
  <c r="D103" i="6"/>
  <c r="AU103" i="6" s="1"/>
  <c r="D104" i="6"/>
  <c r="AU104" i="6" s="1"/>
  <c r="D105" i="6"/>
  <c r="AU105" i="6" s="1"/>
  <c r="D106" i="6"/>
  <c r="AU106" i="6" s="1"/>
  <c r="D107" i="6"/>
  <c r="AU107" i="6" s="1"/>
  <c r="D108" i="6"/>
  <c r="AU108" i="6" s="1"/>
  <c r="D109" i="6"/>
  <c r="AU109" i="6" s="1"/>
  <c r="D110" i="6"/>
  <c r="AU110" i="6" s="1"/>
  <c r="D111" i="6"/>
  <c r="AU111" i="6" s="1"/>
  <c r="D112" i="6"/>
  <c r="AU112" i="6" s="1"/>
  <c r="D113" i="6"/>
  <c r="AU113" i="6" s="1"/>
  <c r="D114" i="6"/>
  <c r="AU114" i="6" s="1"/>
  <c r="D115" i="6"/>
  <c r="AU115" i="6" s="1"/>
  <c r="D116" i="6"/>
  <c r="AU116" i="6" s="1"/>
  <c r="D117" i="6"/>
  <c r="AU117" i="6" s="1"/>
  <c r="D118" i="6"/>
  <c r="AU118" i="6" s="1"/>
  <c r="D119" i="6"/>
  <c r="AU119" i="6" s="1"/>
  <c r="D120" i="6"/>
  <c r="AU120" i="6" s="1"/>
  <c r="D121" i="6"/>
  <c r="AU121" i="6" s="1"/>
  <c r="D122" i="6"/>
  <c r="AU122" i="6" s="1"/>
  <c r="D123" i="6"/>
  <c r="AU123" i="6" s="1"/>
  <c r="D124" i="6"/>
  <c r="AU124" i="6" s="1"/>
  <c r="D125" i="6"/>
  <c r="AU125" i="6" s="1"/>
  <c r="D126" i="6"/>
  <c r="AU126" i="6" s="1"/>
  <c r="D127" i="6"/>
  <c r="AU127" i="6" s="1"/>
  <c r="D128" i="6"/>
  <c r="AU128" i="6" s="1"/>
  <c r="D129" i="6"/>
  <c r="AU129" i="6" s="1"/>
  <c r="D130" i="6"/>
  <c r="AU130" i="6" s="1"/>
  <c r="D131" i="6"/>
  <c r="AU131" i="6" s="1"/>
  <c r="D132" i="6"/>
  <c r="AU132" i="6" s="1"/>
  <c r="D133" i="6"/>
  <c r="AU133" i="6" s="1"/>
  <c r="D134" i="6"/>
  <c r="AU134" i="6" s="1"/>
  <c r="D135" i="6"/>
  <c r="AU135" i="6" s="1"/>
  <c r="D136" i="6"/>
  <c r="AU136" i="6" s="1"/>
  <c r="D137" i="6"/>
  <c r="AU137" i="6" s="1"/>
  <c r="D138" i="6"/>
  <c r="AU138" i="6" s="1"/>
  <c r="D139" i="6"/>
  <c r="AU139" i="6" s="1"/>
  <c r="D140" i="6"/>
  <c r="AU140" i="6" s="1"/>
  <c r="D141" i="6"/>
  <c r="AU141" i="6" s="1"/>
  <c r="D142" i="6"/>
  <c r="AU142" i="6" s="1"/>
  <c r="D143" i="6"/>
  <c r="AU143" i="6" s="1"/>
  <c r="D144" i="6"/>
  <c r="AU144" i="6" s="1"/>
  <c r="D145" i="6"/>
  <c r="AU145" i="6" s="1"/>
  <c r="D146" i="6"/>
  <c r="AU146" i="6" s="1"/>
  <c r="D147" i="6"/>
  <c r="AU147" i="6" s="1"/>
  <c r="D148" i="6"/>
  <c r="AU148" i="6" s="1"/>
  <c r="D149" i="6"/>
  <c r="AU149" i="6" s="1"/>
  <c r="D150" i="6"/>
  <c r="AU150" i="6" s="1"/>
  <c r="D151" i="6"/>
  <c r="AU151" i="6" s="1"/>
  <c r="D152" i="6"/>
  <c r="AU152" i="6" s="1"/>
  <c r="D153" i="6"/>
  <c r="AU153" i="6" s="1"/>
  <c r="D154" i="6"/>
  <c r="AU154" i="6" s="1"/>
  <c r="D155" i="6"/>
  <c r="AU155" i="6" s="1"/>
  <c r="D156" i="6"/>
  <c r="AU156" i="6" s="1"/>
  <c r="D157" i="6"/>
  <c r="AU157" i="6" s="1"/>
  <c r="D158" i="6"/>
  <c r="AU158" i="6" s="1"/>
  <c r="D159" i="6"/>
  <c r="AU159" i="6" s="1"/>
  <c r="D160" i="6"/>
  <c r="AU160" i="6" s="1"/>
  <c r="D161" i="6"/>
  <c r="AU161" i="6" s="1"/>
  <c r="D162" i="6"/>
  <c r="AU162" i="6" s="1"/>
  <c r="D163" i="6"/>
  <c r="AU163" i="6" s="1"/>
  <c r="D164" i="6"/>
  <c r="AU164" i="6" s="1"/>
  <c r="D165" i="6"/>
  <c r="AU165" i="6" s="1"/>
  <c r="D166" i="6"/>
  <c r="AU166" i="6" s="1"/>
  <c r="D167" i="6"/>
  <c r="AU167" i="6" s="1"/>
  <c r="D168" i="6"/>
  <c r="AU168" i="6" s="1"/>
  <c r="D169" i="6"/>
  <c r="AU169" i="6" s="1"/>
  <c r="D170" i="6"/>
  <c r="AU170" i="6" s="1"/>
  <c r="D171" i="6"/>
  <c r="AU171" i="6" s="1"/>
  <c r="D172" i="6"/>
  <c r="AU172" i="6" s="1"/>
  <c r="D173" i="6"/>
  <c r="AU173" i="6" s="1"/>
  <c r="D174" i="6"/>
  <c r="AU174" i="6" s="1"/>
  <c r="D175" i="6"/>
  <c r="AU175" i="6" s="1"/>
  <c r="D5" i="6"/>
  <c r="B79" i="3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70" i="3"/>
  <c r="B71" i="3" s="1"/>
  <c r="B72" i="3" s="1"/>
  <c r="B73" i="3" s="1"/>
  <c r="B74" i="3" s="1"/>
  <c r="B75" i="3" s="1"/>
  <c r="B50" i="3"/>
  <c r="B40" i="3"/>
  <c r="B41" i="3" s="1"/>
  <c r="B42" i="3" s="1"/>
  <c r="B43" i="3" s="1"/>
  <c r="B25" i="3"/>
  <c r="B26" i="3" s="1"/>
  <c r="B27" i="3" s="1"/>
  <c r="B28" i="3" s="1"/>
  <c r="B29" i="3" s="1"/>
  <c r="B30" i="3" s="1"/>
  <c r="B31" i="3" s="1"/>
  <c r="B32" i="3" s="1"/>
  <c r="B33" i="3" s="1"/>
  <c r="B18" i="3"/>
  <c r="B19" i="3" s="1"/>
  <c r="B10" i="3"/>
  <c r="B11" i="3" s="1"/>
  <c r="B12" i="3" s="1"/>
  <c r="B13" i="3" s="1"/>
  <c r="B14" i="3" s="1"/>
  <c r="B7" i="3"/>
  <c r="AT71" i="6" l="1"/>
  <c r="AV71" i="6" s="1"/>
  <c r="AT59" i="6"/>
  <c r="AT47" i="6"/>
  <c r="AV47" i="6" s="1"/>
  <c r="AT12" i="6"/>
  <c r="AV12" i="6" s="1"/>
  <c r="AT167" i="6"/>
  <c r="AV167" i="6" s="1"/>
  <c r="AT155" i="6"/>
  <c r="AV155" i="6" s="1"/>
  <c r="AT143" i="6"/>
  <c r="AV143" i="6" s="1"/>
  <c r="AT82" i="6"/>
  <c r="AV82" i="6" s="1"/>
  <c r="AT165" i="6"/>
  <c r="AV165" i="6" s="1"/>
  <c r="AT21" i="6"/>
  <c r="AV21" i="6" s="1"/>
  <c r="AT116" i="6"/>
  <c r="AV116" i="6" s="1"/>
  <c r="AT67" i="6"/>
  <c r="AV67" i="6" s="1"/>
  <c r="AT126" i="6"/>
  <c r="AV126" i="6" s="1"/>
  <c r="AT41" i="6"/>
  <c r="AV41" i="6" s="1"/>
  <c r="AT100" i="6"/>
  <c r="AV100" i="6" s="1"/>
  <c r="AT159" i="6"/>
  <c r="AV159" i="6" s="1"/>
  <c r="AT15" i="6"/>
  <c r="AV15" i="6" s="1"/>
  <c r="AT38" i="6"/>
  <c r="AV38" i="6" s="1"/>
  <c r="AT61" i="6"/>
  <c r="AV61" i="6" s="1"/>
  <c r="AT84" i="6"/>
  <c r="AV84" i="6" s="1"/>
  <c r="AT70" i="6"/>
  <c r="AV70" i="6" s="1"/>
  <c r="AT153" i="6"/>
  <c r="AV153" i="6" s="1"/>
  <c r="AT9" i="6"/>
  <c r="AV9" i="6" s="1"/>
  <c r="AT104" i="6"/>
  <c r="AV104" i="6" s="1"/>
  <c r="AT55" i="6"/>
  <c r="AV55" i="6" s="1"/>
  <c r="AT114" i="6"/>
  <c r="AV114" i="6" s="1"/>
  <c r="AT173" i="6"/>
  <c r="AV173" i="6" s="1"/>
  <c r="AT29" i="6"/>
  <c r="AV29" i="6" s="1"/>
  <c r="AT88" i="6"/>
  <c r="AV88" i="6" s="1"/>
  <c r="AT147" i="6"/>
  <c r="AV147" i="6" s="1"/>
  <c r="AT170" i="6"/>
  <c r="AV170" i="6" s="1"/>
  <c r="AT26" i="6"/>
  <c r="AV26" i="6" s="1"/>
  <c r="AT49" i="6"/>
  <c r="AV49" i="6" s="1"/>
  <c r="AT72" i="6"/>
  <c r="AV72" i="6" s="1"/>
  <c r="AT58" i="6"/>
  <c r="AV58" i="6" s="1"/>
  <c r="AT141" i="6"/>
  <c r="AV141" i="6" s="1"/>
  <c r="AT92" i="6"/>
  <c r="AV92" i="6" s="1"/>
  <c r="AT43" i="6"/>
  <c r="AT102" i="6"/>
  <c r="AV102" i="6" s="1"/>
  <c r="AT161" i="6"/>
  <c r="AV161" i="6" s="1"/>
  <c r="AT17" i="6"/>
  <c r="AV17" i="6" s="1"/>
  <c r="AT76" i="6"/>
  <c r="AV76" i="6" s="1"/>
  <c r="AT135" i="6"/>
  <c r="AV135" i="6" s="1"/>
  <c r="AT158" i="6"/>
  <c r="AV158" i="6" s="1"/>
  <c r="AT14" i="6"/>
  <c r="AV14" i="6" s="1"/>
  <c r="AT37" i="6"/>
  <c r="AV37" i="6" s="1"/>
  <c r="AT60" i="6"/>
  <c r="AV60" i="6" s="1"/>
  <c r="AT24" i="6"/>
  <c r="AV24" i="6" s="1"/>
  <c r="AT10" i="6"/>
  <c r="AV10" i="6" s="1"/>
  <c r="AT44" i="6"/>
  <c r="AT139" i="6"/>
  <c r="AV139" i="6" s="1"/>
  <c r="AT54" i="6"/>
  <c r="AV54" i="6" s="1"/>
  <c r="AT113" i="6"/>
  <c r="AV113" i="6" s="1"/>
  <c r="AT172" i="6"/>
  <c r="AV172" i="6" s="1"/>
  <c r="AT28" i="6"/>
  <c r="AV28" i="6" s="1"/>
  <c r="AT87" i="6"/>
  <c r="AV87" i="6" s="1"/>
  <c r="AT110" i="6"/>
  <c r="AV110" i="6" s="1"/>
  <c r="AT133" i="6"/>
  <c r="AV133" i="6" s="1"/>
  <c r="AT156" i="6"/>
  <c r="AV156" i="6" s="1"/>
  <c r="AT142" i="6"/>
  <c r="AV142" i="6" s="1"/>
  <c r="AT81" i="6"/>
  <c r="AV81" i="6" s="1"/>
  <c r="AT5" i="6"/>
  <c r="AT32" i="6"/>
  <c r="AV32" i="6" s="1"/>
  <c r="AT127" i="6"/>
  <c r="AV127" i="6" s="1"/>
  <c r="AT42" i="6"/>
  <c r="AV42" i="6" s="1"/>
  <c r="AT101" i="6"/>
  <c r="AV101" i="6" s="1"/>
  <c r="AT160" i="6"/>
  <c r="AV160" i="6" s="1"/>
  <c r="AT131" i="6"/>
  <c r="AV131" i="6" s="1"/>
  <c r="AT39" i="6"/>
  <c r="AV39" i="6" s="1"/>
  <c r="AT62" i="6"/>
  <c r="AV62" i="6" s="1"/>
  <c r="AT85" i="6"/>
  <c r="AV85" i="6" s="1"/>
  <c r="AT108" i="6"/>
  <c r="AV108" i="6" s="1"/>
  <c r="AT11" i="6"/>
  <c r="AV11" i="6" s="1"/>
  <c r="AT94" i="6"/>
  <c r="AT33" i="6"/>
  <c r="AV33" i="6" s="1"/>
  <c r="AT128" i="6"/>
  <c r="AV128" i="6" s="1"/>
  <c r="AT79" i="6"/>
  <c r="AV79" i="6" s="1"/>
  <c r="AT138" i="6"/>
  <c r="AV138" i="6" s="1"/>
  <c r="AT53" i="6"/>
  <c r="AV53" i="6" s="1"/>
  <c r="AT112" i="6"/>
  <c r="AV112" i="6" s="1"/>
  <c r="AT171" i="6"/>
  <c r="AV171" i="6" s="1"/>
  <c r="AT27" i="6"/>
  <c r="AV27" i="6" s="1"/>
  <c r="AT50" i="6"/>
  <c r="AV50" i="6" s="1"/>
  <c r="AT73" i="6"/>
  <c r="AV73" i="6" s="1"/>
  <c r="AT96" i="6"/>
  <c r="AV96" i="6" s="1"/>
  <c r="AT119" i="6"/>
  <c r="AT107" i="6"/>
  <c r="AV107" i="6" s="1"/>
  <c r="AT46" i="6"/>
  <c r="AV46" i="6" s="1"/>
  <c r="AT129" i="6"/>
  <c r="AV129" i="6" s="1"/>
  <c r="AT80" i="6"/>
  <c r="AV80" i="6" s="1"/>
  <c r="AT175" i="6"/>
  <c r="AV175" i="6" s="1"/>
  <c r="AT31" i="6"/>
  <c r="AV31" i="6" s="1"/>
  <c r="AT90" i="6"/>
  <c r="AV90" i="6" s="1"/>
  <c r="AT149" i="6"/>
  <c r="AV149" i="6" s="1"/>
  <c r="AU5" i="6"/>
  <c r="AT64" i="6"/>
  <c r="AV64" i="6" s="1"/>
  <c r="AT123" i="6"/>
  <c r="AV123" i="6" s="1"/>
  <c r="AT146" i="6"/>
  <c r="AV146" i="6" s="1"/>
  <c r="AT169" i="6"/>
  <c r="AV169" i="6" s="1"/>
  <c r="AT25" i="6"/>
  <c r="AV25" i="6" s="1"/>
  <c r="AT48" i="6"/>
  <c r="AV48" i="6" s="1"/>
  <c r="AT95" i="6"/>
  <c r="AV95" i="6" s="1"/>
  <c r="AT34" i="6"/>
  <c r="AV34" i="6" s="1"/>
  <c r="AT117" i="6"/>
  <c r="AV117" i="6" s="1"/>
  <c r="AT68" i="6"/>
  <c r="AV68" i="6" s="1"/>
  <c r="AT163" i="6"/>
  <c r="AV163" i="6" s="1"/>
  <c r="AT19" i="6"/>
  <c r="AV19" i="6" s="1"/>
  <c r="AT78" i="6"/>
  <c r="AV78" i="6" s="1"/>
  <c r="AT137" i="6"/>
  <c r="AV137" i="6" s="1"/>
  <c r="AT52" i="6"/>
  <c r="AV52" i="6" s="1"/>
  <c r="AT111" i="6"/>
  <c r="AV111" i="6" s="1"/>
  <c r="AT134" i="6"/>
  <c r="AV134" i="6" s="1"/>
  <c r="AT157" i="6"/>
  <c r="AV157" i="6" s="1"/>
  <c r="AT13" i="6"/>
  <c r="AV13" i="6" s="1"/>
  <c r="AT36" i="6"/>
  <c r="AV36" i="6" s="1"/>
  <c r="AT83" i="6"/>
  <c r="AV83" i="6" s="1"/>
  <c r="AT166" i="6"/>
  <c r="AV166" i="6" s="1"/>
  <c r="AT22" i="6"/>
  <c r="AV22" i="6" s="1"/>
  <c r="AT105" i="6"/>
  <c r="AV105" i="6" s="1"/>
  <c r="AT56" i="6"/>
  <c r="AV56" i="6" s="1"/>
  <c r="AT151" i="6"/>
  <c r="AV151" i="6" s="1"/>
  <c r="AT7" i="6"/>
  <c r="AV7" i="6" s="1"/>
  <c r="AT66" i="6"/>
  <c r="AV66" i="6" s="1"/>
  <c r="AT125" i="6"/>
  <c r="AV125" i="6" s="1"/>
  <c r="AT40" i="6"/>
  <c r="AV40" i="6" s="1"/>
  <c r="AT99" i="6"/>
  <c r="AV99" i="6" s="1"/>
  <c r="AT122" i="6"/>
  <c r="AV122" i="6" s="1"/>
  <c r="AT145" i="6"/>
  <c r="AV145" i="6" s="1"/>
  <c r="AT168" i="6"/>
  <c r="AV168" i="6" s="1"/>
  <c r="AT154" i="6"/>
  <c r="AV154" i="6" s="1"/>
  <c r="AT93" i="6"/>
  <c r="AV93" i="6" s="1"/>
  <c r="AT121" i="6"/>
  <c r="AV121" i="6" s="1"/>
  <c r="AT130" i="6"/>
  <c r="AV130" i="6" s="1"/>
  <c r="AT69" i="6"/>
  <c r="AV69" i="6" s="1"/>
  <c r="AT20" i="6"/>
  <c r="AV20" i="6" s="1"/>
  <c r="AT174" i="6"/>
  <c r="AV174" i="6" s="1"/>
  <c r="AT89" i="6"/>
  <c r="AV89" i="6" s="1"/>
  <c r="AT86" i="6"/>
  <c r="AV86" i="6" s="1"/>
  <c r="AT132" i="6"/>
  <c r="AV132" i="6" s="1"/>
  <c r="AT118" i="6"/>
  <c r="AV118" i="6" s="1"/>
  <c r="AT57" i="6"/>
  <c r="AV57" i="6" s="1"/>
  <c r="AT8" i="6"/>
  <c r="AV8" i="6" s="1"/>
  <c r="AT162" i="6"/>
  <c r="AV162" i="6" s="1"/>
  <c r="AT77" i="6"/>
  <c r="AV77" i="6" s="1"/>
  <c r="AT74" i="6"/>
  <c r="AV74" i="6" s="1"/>
  <c r="AT120" i="6"/>
  <c r="AT106" i="6"/>
  <c r="AV106" i="6" s="1"/>
  <c r="AT45" i="6"/>
  <c r="AV45" i="6" s="1"/>
  <c r="AT140" i="6"/>
  <c r="AV140" i="6" s="1"/>
  <c r="AT91" i="6"/>
  <c r="AV91" i="6" s="1"/>
  <c r="AT150" i="6"/>
  <c r="AV150" i="6" s="1"/>
  <c r="AT6" i="6"/>
  <c r="AV6" i="6" s="1"/>
  <c r="AT65" i="6"/>
  <c r="AV65" i="6" s="1"/>
  <c r="AT124" i="6"/>
  <c r="AV124" i="6" s="1"/>
  <c r="AT16" i="6"/>
  <c r="AV16" i="6" s="1"/>
  <c r="AT75" i="6"/>
  <c r="AV75" i="6" s="1"/>
  <c r="AT98" i="6"/>
  <c r="AV98" i="6" s="1"/>
  <c r="AT144" i="6"/>
  <c r="AV144" i="6" s="1"/>
  <c r="AT164" i="6"/>
  <c r="AV164" i="6" s="1"/>
  <c r="AT115" i="6"/>
  <c r="AV115" i="6" s="1"/>
  <c r="AT30" i="6"/>
  <c r="AV30" i="6" s="1"/>
  <c r="AT148" i="6"/>
  <c r="AV148" i="6" s="1"/>
  <c r="AT63" i="6"/>
  <c r="AV63" i="6" s="1"/>
  <c r="AT109" i="6"/>
  <c r="AV109" i="6" s="1"/>
  <c r="AT35" i="6"/>
  <c r="AV35" i="6" s="1"/>
  <c r="AT152" i="6"/>
  <c r="AV152" i="6" s="1"/>
  <c r="AT103" i="6"/>
  <c r="AV103" i="6" s="1"/>
  <c r="AT18" i="6"/>
  <c r="AV18" i="6" s="1"/>
  <c r="AT136" i="6"/>
  <c r="AV136" i="6" s="1"/>
  <c r="AT51" i="6"/>
  <c r="AV51" i="6" s="1"/>
  <c r="AT97" i="6"/>
  <c r="AV97" i="6" s="1"/>
  <c r="AT23" i="6"/>
  <c r="AV23" i="6" s="1"/>
  <c r="AV44" i="6"/>
  <c r="AV94" i="6"/>
  <c r="AV43" i="6"/>
  <c r="AV120" i="6"/>
  <c r="AV59" i="6"/>
  <c r="AV119" i="6"/>
  <c r="M179" i="6"/>
  <c r="N179" i="6"/>
  <c r="G179" i="6"/>
  <c r="W179" i="6"/>
  <c r="R179" i="6"/>
  <c r="T179" i="6"/>
  <c r="L179" i="6"/>
  <c r="AM179" i="6"/>
  <c r="H179" i="6"/>
  <c r="AA179" i="6"/>
  <c r="AH179" i="6"/>
  <c r="Y179" i="6"/>
  <c r="K179" i="6"/>
  <c r="S179" i="6"/>
  <c r="J179" i="6"/>
  <c r="D178" i="6"/>
  <c r="O179" i="6"/>
  <c r="AB179" i="6"/>
  <c r="U179" i="6"/>
  <c r="D176" i="6"/>
  <c r="AV5" i="6" l="1"/>
  <c r="D179" i="6"/>
  <c r="AW176" i="6"/>
  <c r="AV176" i="6"/>
  <c r="D177" i="6"/>
  <c r="AQ177" i="6" s="1"/>
</calcChain>
</file>

<file path=xl/sharedStrings.xml><?xml version="1.0" encoding="utf-8"?>
<sst xmlns="http://schemas.openxmlformats.org/spreadsheetml/2006/main" count="13124" uniqueCount="243">
  <si>
    <t>TIENE POSTVENTA</t>
  </si>
  <si>
    <t>NO TIENE POSTVENTA</t>
  </si>
  <si>
    <t>POSTVENTA CORREGIDA</t>
  </si>
  <si>
    <t>Item</t>
  </si>
  <si>
    <t>DETALLES</t>
  </si>
  <si>
    <t>CAPITULO ASIGNADO</t>
  </si>
  <si>
    <t>CASA #02</t>
  </si>
  <si>
    <t>CASA #03</t>
  </si>
  <si>
    <t>CASA #04</t>
  </si>
  <si>
    <t>CASA #05</t>
  </si>
  <si>
    <t>CASA #07</t>
  </si>
  <si>
    <t>CASA #11</t>
  </si>
  <si>
    <t>CASA #12</t>
  </si>
  <si>
    <t>CASA #14</t>
  </si>
  <si>
    <t>CASA #15</t>
  </si>
  <si>
    <t>CASA #17</t>
  </si>
  <si>
    <t>CASA #18</t>
  </si>
  <si>
    <t>CASA #19</t>
  </si>
  <si>
    <t>CASA #22</t>
  </si>
  <si>
    <t>CASA #23</t>
  </si>
  <si>
    <t>CASA #24</t>
  </si>
  <si>
    <t>CASA #25</t>
  </si>
  <si>
    <t>CASA #26</t>
  </si>
  <si>
    <t>CASA #27</t>
  </si>
  <si>
    <t>CASA #28</t>
  </si>
  <si>
    <t>CASA #30</t>
  </si>
  <si>
    <t>CASA #31</t>
  </si>
  <si>
    <t>CASA #32</t>
  </si>
  <si>
    <t>CASA #33</t>
  </si>
  <si>
    <t>CASA #35</t>
  </si>
  <si>
    <t>CASA #37</t>
  </si>
  <si>
    <t>CASA #38</t>
  </si>
  <si>
    <t>CASA #42</t>
  </si>
  <si>
    <t>CASA #43</t>
  </si>
  <si>
    <t>CASA #44</t>
  </si>
  <si>
    <t>CASA #45</t>
  </si>
  <si>
    <t>CASA #46</t>
  </si>
  <si>
    <t>CASA #47</t>
  </si>
  <si>
    <t>SALA COMEDOR</t>
  </si>
  <si>
    <t>Puerta en madera acceso p/pal</t>
  </si>
  <si>
    <t>CARPINTERIA EN MADERA</t>
  </si>
  <si>
    <t>Cerradura Puerta Principal con llaves</t>
  </si>
  <si>
    <t>Tope de puerta</t>
  </si>
  <si>
    <t>Timbre</t>
  </si>
  <si>
    <t>REDES ELECTRICAS</t>
  </si>
  <si>
    <t>Luces</t>
  </si>
  <si>
    <t>Tomas</t>
  </si>
  <si>
    <t>Switches</t>
  </si>
  <si>
    <t>Cableado de Citofono</t>
  </si>
  <si>
    <t>Punto de Voz y datos/tv</t>
  </si>
  <si>
    <t>Tablero Electrico</t>
  </si>
  <si>
    <t>Cuñas</t>
  </si>
  <si>
    <t>Puertaventana Corrediza</t>
  </si>
  <si>
    <t>CARPINTERIA METALICA</t>
  </si>
  <si>
    <t>Ventanas fijas</t>
  </si>
  <si>
    <t>Redes Aire Acondicionado</t>
  </si>
  <si>
    <t>REDES A.A.</t>
  </si>
  <si>
    <t>Drenaje AA</t>
  </si>
  <si>
    <t>REDES HS</t>
  </si>
  <si>
    <t>Piso</t>
  </si>
  <si>
    <t>PISOS Y ENCHAPES</t>
  </si>
  <si>
    <t>Guardaescobas</t>
  </si>
  <si>
    <t>Cielorasos</t>
  </si>
  <si>
    <t>CIELO RASO</t>
  </si>
  <si>
    <t>Muros</t>
  </si>
  <si>
    <t>ESTUCOS Y PINTURA</t>
  </si>
  <si>
    <t>COCINA</t>
  </si>
  <si>
    <t>Extractor</t>
  </si>
  <si>
    <t>Griferias</t>
  </si>
  <si>
    <t>APARATOS Y MESONES</t>
  </si>
  <si>
    <t>Lavaplatos</t>
  </si>
  <si>
    <t>mesón</t>
  </si>
  <si>
    <t>salpicadero</t>
  </si>
  <si>
    <t>mueble inferior</t>
  </si>
  <si>
    <t>CARPINTERIA DE MADERA</t>
  </si>
  <si>
    <t>mueble superior</t>
  </si>
  <si>
    <t>Enchape</t>
  </si>
  <si>
    <t>Estado de Muro</t>
  </si>
  <si>
    <t>Tapavalvulas</t>
  </si>
  <si>
    <t>ZONA LABORES</t>
  </si>
  <si>
    <t>Lavadero</t>
  </si>
  <si>
    <t xml:space="preserve">BAÑO SOCIAL </t>
  </si>
  <si>
    <t xml:space="preserve">Puerta </t>
  </si>
  <si>
    <t xml:space="preserve">Cerradura   </t>
  </si>
  <si>
    <t>Espejo</t>
  </si>
  <si>
    <t>Mueble de Bano</t>
  </si>
  <si>
    <t>Lavamano</t>
  </si>
  <si>
    <t>Sanitario</t>
  </si>
  <si>
    <t>Sifon</t>
  </si>
  <si>
    <t>Accesorios de bano</t>
  </si>
  <si>
    <t>BALCON</t>
  </si>
  <si>
    <t>Barandas</t>
  </si>
  <si>
    <t>Pasamano de Barandas</t>
  </si>
  <si>
    <t>Poyo</t>
  </si>
  <si>
    <t>Rejillas de piso</t>
  </si>
  <si>
    <t>BALCON A.A</t>
  </si>
  <si>
    <t>Pisos y plantillas</t>
  </si>
  <si>
    <t>rejillas balcon</t>
  </si>
  <si>
    <t>HABITACIÓN PPAL</t>
  </si>
  <si>
    <t xml:space="preserve">Puerta en madera </t>
  </si>
  <si>
    <t xml:space="preserve">Cerradura </t>
  </si>
  <si>
    <t>Closet</t>
  </si>
  <si>
    <t>BAÑO ALCOBA PPAL</t>
  </si>
  <si>
    <t>Ducha y griferia</t>
  </si>
  <si>
    <t>División ducha</t>
  </si>
  <si>
    <t>Ventanas baño</t>
  </si>
  <si>
    <t>HABITACIÓN 1</t>
  </si>
  <si>
    <t>HABITACIÓN 2</t>
  </si>
  <si>
    <t>BAÑO  COMPARTIDO PISO 2</t>
  </si>
  <si>
    <t>ESCALERA Y PASILLOS PISO 2</t>
  </si>
  <si>
    <t>Pirlan</t>
  </si>
  <si>
    <t>DEPOSITO PISO 2</t>
  </si>
  <si>
    <t>CARACTERIZACIÓN</t>
  </si>
  <si>
    <t>ITEMS</t>
  </si>
  <si>
    <t>%</t>
  </si>
  <si>
    <t>CASA #4</t>
  </si>
  <si>
    <t>NO ENTREGADO</t>
  </si>
  <si>
    <t>OK</t>
  </si>
  <si>
    <t>DETALLE CAMBIO</t>
  </si>
  <si>
    <t>DETALLE FIJADO</t>
  </si>
  <si>
    <t>DETALLE FIJAADO</t>
  </si>
  <si>
    <t>DETALLES BALDOSAS</t>
  </si>
  <si>
    <t>DETALLE BALDOSA</t>
  </si>
  <si>
    <t>DETALLE BALDOSAS</t>
  </si>
  <si>
    <t>DETALLE LIMPIEZA</t>
  </si>
  <si>
    <t>DETALLE FILTRACION</t>
  </si>
  <si>
    <t>DETALLE PINTURA Y ESTUCO</t>
  </si>
  <si>
    <t>DETALLE PINTURA</t>
  </si>
  <si>
    <t>DETALLE PINTURAS</t>
  </si>
  <si>
    <t>DETALLE PUERTAS</t>
  </si>
  <si>
    <t>DETALLE ACABADO</t>
  </si>
  <si>
    <t>DETALLE DE LLAVE</t>
  </si>
  <si>
    <t>DDETALLE ACABADO</t>
  </si>
  <si>
    <t>DETALLAR SOPORTE</t>
  </si>
  <si>
    <t>DETALLE PINTURA Y ESTUCOS</t>
  </si>
  <si>
    <t>DETALLES PUERTAS</t>
  </si>
  <si>
    <t>DETALLES FIJADO</t>
  </si>
  <si>
    <t>DETALLES DE PUERTAS</t>
  </si>
  <si>
    <t>DETALLAR PUERTAS</t>
  </si>
  <si>
    <t>DETALLE LAMINA DESPEGADA</t>
  </si>
  <si>
    <t xml:space="preserve">DETALLE </t>
  </si>
  <si>
    <t>OK
ESTADO DE POSTVENTAS:  POSTVENTA CORREGIDA</t>
  </si>
  <si>
    <t>NO ENTREGADO
ESTADO DE POSTVENTAS:  TIENE POSTVENTA</t>
  </si>
  <si>
    <t>NO ENTREGADO
ESTADO DE POSTVENTAS:  POSTVENTA CORREGIDA</t>
  </si>
  <si>
    <t>ESTADO DE POSTVENTAS:</t>
  </si>
  <si>
    <t>SEMANA 22 - 27 SEPTIEMBRE</t>
  </si>
  <si>
    <t>SEMANA 29 SEPTIEMBRE - 03 OCTUBRE</t>
  </si>
  <si>
    <t>SEMANA 06 - 11 OCTUBRE</t>
  </si>
  <si>
    <t>CANTIDAD DE CASA CON PROBLEMAS</t>
  </si>
  <si>
    <t>CANTIDAD DE CASA CORREGIDAS</t>
  </si>
  <si>
    <t>NO TIENEN DETALLES</t>
  </si>
  <si>
    <t>Cuantos detalles hay</t>
  </si>
  <si>
    <t>cuantos detalles se corrigieron</t>
  </si>
  <si>
    <t>cuantos detalles faltan por cada casa</t>
  </si>
  <si>
    <t>PORCENTAJES DE DETALLES</t>
  </si>
  <si>
    <t>DETALLES QUE FALTAN POR CORREGIR</t>
  </si>
  <si>
    <t>DETALLES PORCENTAJE DE CORRECION</t>
  </si>
  <si>
    <t>POSVENTA</t>
  </si>
  <si>
    <t>ACTIVIDADES</t>
  </si>
  <si>
    <t>CORREGIDAS</t>
  </si>
  <si>
    <t>ESTADOS DE LAS CASAS</t>
  </si>
  <si>
    <t>CASA #06</t>
  </si>
  <si>
    <t>CASA #10</t>
  </si>
  <si>
    <t>CASA #36</t>
  </si>
  <si>
    <t>#02</t>
  </si>
  <si>
    <t>#03</t>
  </si>
  <si>
    <t>#04</t>
  </si>
  <si>
    <t xml:space="preserve"> #05</t>
  </si>
  <si>
    <t xml:space="preserve"> #06</t>
  </si>
  <si>
    <t xml:space="preserve"> #07</t>
  </si>
  <si>
    <t xml:space="preserve"> #9</t>
  </si>
  <si>
    <t xml:space="preserve"> #10</t>
  </si>
  <si>
    <t xml:space="preserve"> #11</t>
  </si>
  <si>
    <t xml:space="preserve"> #12</t>
  </si>
  <si>
    <t xml:space="preserve"> #14</t>
  </si>
  <si>
    <t xml:space="preserve"> #15</t>
  </si>
  <si>
    <t xml:space="preserve"> #17</t>
  </si>
  <si>
    <t>#18</t>
  </si>
  <si>
    <t xml:space="preserve"> #19</t>
  </si>
  <si>
    <t xml:space="preserve"> #21</t>
  </si>
  <si>
    <t xml:space="preserve"> #22</t>
  </si>
  <si>
    <t xml:space="preserve"> #23</t>
  </si>
  <si>
    <t xml:space="preserve"> #24</t>
  </si>
  <si>
    <t xml:space="preserve"> #25</t>
  </si>
  <si>
    <t xml:space="preserve"> #26</t>
  </si>
  <si>
    <t>#27</t>
  </si>
  <si>
    <t xml:space="preserve"> #28</t>
  </si>
  <si>
    <t xml:space="preserve"> #29</t>
  </si>
  <si>
    <t>#30</t>
  </si>
  <si>
    <t xml:space="preserve"> #31</t>
  </si>
  <si>
    <t xml:space="preserve"> #32</t>
  </si>
  <si>
    <t xml:space="preserve"> #33</t>
  </si>
  <si>
    <t xml:space="preserve"> #35</t>
  </si>
  <si>
    <t xml:space="preserve"> #36</t>
  </si>
  <si>
    <t xml:space="preserve"> #37</t>
  </si>
  <si>
    <t xml:space="preserve"> #38</t>
  </si>
  <si>
    <t xml:space="preserve"> #42</t>
  </si>
  <si>
    <t xml:space="preserve"> #43</t>
  </si>
  <si>
    <t xml:space="preserve"> #44</t>
  </si>
  <si>
    <t xml:space="preserve"> #45</t>
  </si>
  <si>
    <t xml:space="preserve"> #46</t>
  </si>
  <si>
    <t xml:space="preserve"> #47</t>
  </si>
  <si>
    <t>TOTAL CASA ENTREGADAS</t>
  </si>
  <si>
    <t>CASAS ENTREGADAS SIN POSTVENTAS ABIERTAS</t>
  </si>
  <si>
    <t>CON POSVENTAS ABIERTA</t>
  </si>
  <si>
    <t>EN EJECUCIÓN Y CIERRE</t>
  </si>
  <si>
    <t>SIN ENTREGA FINAL (ESCRITURADOS)</t>
  </si>
  <si>
    <t>PENDIENTES ACTUALIZACIÓN POR PARTE DE OBRA</t>
  </si>
  <si>
    <t>SIN ENTREGAR</t>
  </si>
  <si>
    <t>casa entregadas</t>
  </si>
  <si>
    <t>CASA #21</t>
  </si>
  <si>
    <t>CASA #29</t>
  </si>
  <si>
    <t>DETALLE HUMEDAD</t>
  </si>
  <si>
    <t>DETALLE NIVEL</t>
  </si>
  <si>
    <t>PINTURAS</t>
  </si>
  <si>
    <t>DETALLE PINTURA ESTUCO</t>
  </si>
  <si>
    <t>DETALEL PINTURA Y ESTUCO</t>
  </si>
  <si>
    <t>DETALLES PIMTURA Y ESTUCO</t>
  </si>
  <si>
    <t>DETALLE FISURA</t>
  </si>
  <si>
    <t>DETALLES DESNIVEL</t>
  </si>
  <si>
    <t>DETALLE MURO</t>
  </si>
  <si>
    <t>DETALLES FISURAS</t>
  </si>
  <si>
    <t>DETALLE DESCOLGADO</t>
  </si>
  <si>
    <t>DETALLE BOQUILLA</t>
  </si>
  <si>
    <t>DETALLES MURO EXTERIOR</t>
  </si>
  <si>
    <t>DETALLE DESNIVEL</t>
  </si>
  <si>
    <t>DETALLE MARCO</t>
  </si>
  <si>
    <t>DETALLE ARREGLO</t>
  </si>
  <si>
    <t>DETALLE CERAMICA</t>
  </si>
  <si>
    <t xml:space="preserve">DETALALR MARCO </t>
  </si>
  <si>
    <t>CASA #40</t>
  </si>
  <si>
    <t>DETALLAR PUERTA</t>
  </si>
  <si>
    <t>DETALLE TORNILLOS</t>
  </si>
  <si>
    <t>DETALLE JUNTAS</t>
  </si>
  <si>
    <t>DETALLE SILICONA Y CONEXIÓN</t>
  </si>
  <si>
    <t>DETALLE COMPRAS</t>
  </si>
  <si>
    <t>DETALLES JUNTAS</t>
  </si>
  <si>
    <t>DETALLES PINTURAS Y ESTUCO</t>
  </si>
  <si>
    <t>DETALLE INCRUSTACIONES</t>
  </si>
  <si>
    <t>DETALLES LUCES</t>
  </si>
  <si>
    <t>DETALEL PUERTAS</t>
  </si>
  <si>
    <t>DETALELS JUNTAS</t>
  </si>
  <si>
    <t xml:space="preserve"> #40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</si>
</sst>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6"/>
      <color theme="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0" fillId="0" borderId="7" xfId="0" applyBorder="1"/>
    <xf numFmtId="0" fontId="4" fillId="0" borderId="11" xfId="0" applyFont="1" applyBorder="1" applyAlignment="1">
      <alignment horizontal="center" vertical="center" textRotation="90"/>
    </xf>
    <xf numFmtId="0" fontId="5" fillId="0" borderId="12" xfId="0" applyFont="1" applyBorder="1" applyAlignment="1">
      <alignment horizontal="center" vertical="center"/>
    </xf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15" xfId="0" applyFont="1" applyBorder="1"/>
    <xf numFmtId="0" fontId="6" fillId="0" borderId="23" xfId="0" applyFont="1" applyBorder="1"/>
    <xf numFmtId="0" fontId="6" fillId="0" borderId="22" xfId="0" applyFont="1" applyBorder="1" applyAlignment="1">
      <alignment horizontal="left"/>
    </xf>
    <xf numFmtId="0" fontId="6" fillId="0" borderId="28" xfId="0" applyFont="1" applyBorder="1"/>
    <xf numFmtId="0" fontId="6" fillId="0" borderId="27" xfId="0" applyFont="1" applyBorder="1"/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30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5" xfId="0" quotePrefix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/>
    <xf numFmtId="0" fontId="0" fillId="0" borderId="44" xfId="0" applyBorder="1"/>
    <xf numFmtId="0" fontId="4" fillId="0" borderId="44" xfId="0" applyFont="1" applyBorder="1" applyAlignment="1">
      <alignment vertical="center"/>
    </xf>
    <xf numFmtId="0" fontId="0" fillId="5" borderId="44" xfId="0" applyFill="1" applyBorder="1"/>
    <xf numFmtId="0" fontId="0" fillId="6" borderId="44" xfId="0" applyFill="1" applyBorder="1"/>
    <xf numFmtId="0" fontId="1" fillId="5" borderId="44" xfId="0" applyFont="1" applyFill="1" applyBorder="1"/>
    <xf numFmtId="0" fontId="0" fillId="5" borderId="46" xfId="0" applyFill="1" applyBorder="1"/>
    <xf numFmtId="0" fontId="0" fillId="5" borderId="47" xfId="0" applyFill="1" applyBorder="1"/>
    <xf numFmtId="0" fontId="0" fillId="5" borderId="48" xfId="0" applyFill="1" applyBorder="1"/>
    <xf numFmtId="0" fontId="0" fillId="8" borderId="44" xfId="0" applyFill="1" applyBorder="1"/>
    <xf numFmtId="0" fontId="0" fillId="9" borderId="44" xfId="0" applyFill="1" applyBorder="1"/>
    <xf numFmtId="0" fontId="0" fillId="7" borderId="44" xfId="0" applyFill="1" applyBorder="1"/>
    <xf numFmtId="0" fontId="0" fillId="10" borderId="44" xfId="0" applyFill="1" applyBorder="1"/>
    <xf numFmtId="0" fontId="0" fillId="10" borderId="45" xfId="0" applyFill="1" applyBorder="1"/>
    <xf numFmtId="0" fontId="0" fillId="5" borderId="49" xfId="0" applyFill="1" applyBorder="1"/>
    <xf numFmtId="0" fontId="0" fillId="5" borderId="51" xfId="0" applyFill="1" applyBorder="1"/>
    <xf numFmtId="9" fontId="0" fillId="0" borderId="0" xfId="1" applyFont="1"/>
    <xf numFmtId="0" fontId="1" fillId="6" borderId="34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0" fillId="12" borderId="44" xfId="0" applyFill="1" applyBorder="1"/>
    <xf numFmtId="0" fontId="1" fillId="12" borderId="44" xfId="0" applyFont="1" applyFill="1" applyBorder="1"/>
    <xf numFmtId="0" fontId="2" fillId="0" borderId="4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0" fillId="9" borderId="44" xfId="0" applyFill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44" xfId="0" applyFont="1" applyBorder="1" applyAlignment="1">
      <alignment horizontal="center"/>
    </xf>
    <xf numFmtId="0" fontId="0" fillId="5" borderId="44" xfId="0" applyFill="1" applyBorder="1" applyAlignment="1">
      <alignment wrapText="1"/>
    </xf>
    <xf numFmtId="0" fontId="0" fillId="12" borderId="44" xfId="0" applyFill="1" applyBorder="1" applyAlignment="1">
      <alignment wrapText="1"/>
    </xf>
    <xf numFmtId="0" fontId="1" fillId="0" borderId="0" xfId="0" applyFont="1" applyAlignment="1">
      <alignment horizontal="center" vertical="center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1" fillId="0" borderId="62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/>
    </xf>
    <xf numFmtId="0" fontId="0" fillId="6" borderId="50" xfId="0" applyFill="1" applyBorder="1"/>
    <xf numFmtId="0" fontId="0" fillId="6" borderId="46" xfId="0" applyFill="1" applyBorder="1"/>
    <xf numFmtId="0" fontId="0" fillId="6" borderId="48" xfId="0" applyFill="1" applyBorder="1"/>
    <xf numFmtId="0" fontId="11" fillId="6" borderId="44" xfId="0" applyFont="1" applyFill="1" applyBorder="1"/>
    <xf numFmtId="0" fontId="0" fillId="6" borderId="47" xfId="0" applyFill="1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  <xf numFmtId="0" fontId="4" fillId="0" borderId="13" xfId="0" applyFont="1" applyBorder="1" applyAlignment="1">
      <alignment horizontal="center" vertical="center" textRotation="90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2" fillId="0" borderId="53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9" fillId="11" borderId="25" xfId="0" applyFont="1" applyFill="1" applyBorder="1" applyAlignment="1">
      <alignment horizontal="center" vertical="center" wrapText="1"/>
    </xf>
    <xf numFmtId="0" fontId="9" fillId="11" borderId="52" xfId="0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center"/>
    </xf>
    <xf numFmtId="0" fontId="10" fillId="0" borderId="35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6">
    <dxf>
      <font>
        <b val="0"/>
        <i val="0"/>
        <color theme="9" tint="-0.499984740745262"/>
      </font>
      <fill>
        <patternFill>
          <bgColor theme="9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9" tint="-0.499984740745262"/>
      </font>
      <fill>
        <patternFill>
          <bgColor theme="9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AF57-EB6D-4A64-9AB0-AE033A68B195}">
  <dimension ref="A1:AN181"/>
  <sheetViews>
    <sheetView topLeftCell="A151" zoomScale="85" zoomScaleNormal="85" workbookViewId="0">
      <pane xSplit="4" topLeftCell="I1" activePane="topRight" state="frozen"/>
      <selection pane="topRight" activeCell="AL144" sqref="AL144"/>
    </sheetView>
  </sheetViews>
  <sheetFormatPr baseColWidth="10" defaultColWidth="11.42578125" defaultRowHeight="15" customHeight="1" x14ac:dyDescent="0.25"/>
  <cols>
    <col min="1" max="2" width="6.28515625" bestFit="1" customWidth="1"/>
    <col min="3" max="3" width="36.140625" bestFit="1" customWidth="1"/>
    <col min="4" max="4" width="36.140625" style="1" customWidth="1"/>
    <col min="5" max="5" width="23.140625" bestFit="1" customWidth="1"/>
    <col min="6" max="6" width="27.28515625" bestFit="1" customWidth="1"/>
    <col min="7" max="7" width="27.28515625" customWidth="1"/>
    <col min="8" max="9" width="23.140625" bestFit="1" customWidth="1"/>
    <col min="10" max="10" width="23.140625" customWidth="1"/>
    <col min="11" max="11" width="23.140625" bestFit="1" customWidth="1"/>
    <col min="12" max="16" width="30.7109375" bestFit="1" customWidth="1"/>
    <col min="17" max="18" width="30.7109375" customWidth="1"/>
    <col min="19" max="22" width="30.7109375" bestFit="1" customWidth="1"/>
    <col min="23" max="23" width="30.7109375" customWidth="1"/>
    <col min="24" max="24" width="30.7109375" bestFit="1" customWidth="1"/>
    <col min="25" max="25" width="30.7109375" customWidth="1"/>
    <col min="26" max="26" width="30.7109375" bestFit="1" customWidth="1"/>
    <col min="27" max="27" width="23.140625" bestFit="1" customWidth="1"/>
    <col min="28" max="29" width="30.7109375" bestFit="1" customWidth="1"/>
    <col min="30" max="30" width="23.140625" bestFit="1" customWidth="1"/>
    <col min="31" max="34" width="23.140625" customWidth="1"/>
    <col min="35" max="35" width="30.7109375" bestFit="1" customWidth="1"/>
    <col min="36" max="39" width="30.7109375" customWidth="1"/>
    <col min="40" max="40" width="30.7109375" bestFit="1" customWidth="1"/>
  </cols>
  <sheetData>
    <row r="1" spans="1:40" x14ac:dyDescent="0.25">
      <c r="AI1" t="s">
        <v>0</v>
      </c>
      <c r="AN1" t="s">
        <v>0</v>
      </c>
    </row>
    <row r="2" spans="1:40" x14ac:dyDescent="0.25">
      <c r="AI2" s="1" t="s">
        <v>1</v>
      </c>
      <c r="AJ2" s="1"/>
      <c r="AK2" s="1"/>
      <c r="AL2" s="1"/>
      <c r="AM2" s="1"/>
      <c r="AN2" s="1" t="s">
        <v>1</v>
      </c>
    </row>
    <row r="3" spans="1:40" ht="15.75" thickBot="1" x14ac:dyDescent="0.3">
      <c r="AI3" t="s">
        <v>2</v>
      </c>
      <c r="AN3" t="s">
        <v>2</v>
      </c>
    </row>
    <row r="4" spans="1:40" x14ac:dyDescent="0.25">
      <c r="A4" s="113"/>
      <c r="B4" s="115" t="s">
        <v>3</v>
      </c>
      <c r="C4" s="117" t="s">
        <v>4</v>
      </c>
      <c r="D4" s="119" t="s">
        <v>5</v>
      </c>
      <c r="E4" s="108" t="s">
        <v>6</v>
      </c>
      <c r="F4" s="108" t="s">
        <v>7</v>
      </c>
      <c r="G4" s="108" t="s">
        <v>8</v>
      </c>
      <c r="H4" s="108" t="s">
        <v>9</v>
      </c>
      <c r="I4" s="108" t="s">
        <v>10</v>
      </c>
      <c r="J4" s="108" t="s">
        <v>11</v>
      </c>
      <c r="K4" s="108" t="s">
        <v>12</v>
      </c>
      <c r="L4" s="108" t="s">
        <v>13</v>
      </c>
      <c r="M4" s="108" t="s">
        <v>14</v>
      </c>
      <c r="N4" s="108" t="s">
        <v>15</v>
      </c>
      <c r="O4" s="108" t="s">
        <v>16</v>
      </c>
      <c r="P4" s="108" t="s">
        <v>17</v>
      </c>
      <c r="Q4" s="108" t="s">
        <v>210</v>
      </c>
      <c r="R4" s="108" t="s">
        <v>18</v>
      </c>
      <c r="S4" s="108" t="s">
        <v>19</v>
      </c>
      <c r="T4" s="108" t="s">
        <v>20</v>
      </c>
      <c r="U4" s="108" t="s">
        <v>21</v>
      </c>
      <c r="V4" s="108" t="s">
        <v>22</v>
      </c>
      <c r="W4" s="108" t="s">
        <v>23</v>
      </c>
      <c r="X4" s="108" t="s">
        <v>24</v>
      </c>
      <c r="Y4" s="108" t="s">
        <v>211</v>
      </c>
      <c r="Z4" s="108" t="s">
        <v>25</v>
      </c>
      <c r="AA4" s="108" t="s">
        <v>26</v>
      </c>
      <c r="AB4" s="108" t="s">
        <v>27</v>
      </c>
      <c r="AC4" s="108" t="s">
        <v>28</v>
      </c>
      <c r="AD4" s="108" t="s">
        <v>29</v>
      </c>
      <c r="AE4" s="108" t="s">
        <v>163</v>
      </c>
      <c r="AF4" s="108" t="s">
        <v>30</v>
      </c>
      <c r="AG4" s="108" t="s">
        <v>31</v>
      </c>
      <c r="AH4" s="108" t="s">
        <v>230</v>
      </c>
      <c r="AI4" s="108" t="s">
        <v>32</v>
      </c>
      <c r="AJ4" s="108" t="s">
        <v>33</v>
      </c>
      <c r="AK4" s="108" t="s">
        <v>34</v>
      </c>
      <c r="AL4" s="108" t="s">
        <v>35</v>
      </c>
      <c r="AM4" s="108" t="s">
        <v>36</v>
      </c>
      <c r="AN4" s="108" t="s">
        <v>37</v>
      </c>
    </row>
    <row r="5" spans="1:40" ht="15.75" thickBot="1" x14ac:dyDescent="0.3">
      <c r="A5" s="114"/>
      <c r="B5" s="116"/>
      <c r="C5" s="118"/>
      <c r="D5" s="120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</row>
    <row r="6" spans="1:40" ht="15.75" thickBot="1" x14ac:dyDescent="0.3">
      <c r="A6" s="112" t="s">
        <v>38</v>
      </c>
      <c r="B6" s="2">
        <v>1</v>
      </c>
      <c r="C6" s="12" t="s">
        <v>39</v>
      </c>
      <c r="D6" s="94" t="s">
        <v>40</v>
      </c>
      <c r="E6" s="28" t="s">
        <v>0</v>
      </c>
      <c r="F6" s="28" t="s">
        <v>2</v>
      </c>
      <c r="G6" s="28" t="s">
        <v>2</v>
      </c>
      <c r="H6" s="28" t="s">
        <v>0</v>
      </c>
      <c r="I6" s="28" t="s">
        <v>2</v>
      </c>
      <c r="J6" s="28" t="s">
        <v>2</v>
      </c>
      <c r="K6" s="28" t="s">
        <v>2</v>
      </c>
      <c r="L6" s="28" t="s">
        <v>2</v>
      </c>
      <c r="M6" s="28" t="s">
        <v>2</v>
      </c>
      <c r="N6" s="28" t="s">
        <v>0</v>
      </c>
      <c r="O6" s="28" t="s">
        <v>2</v>
      </c>
      <c r="P6" s="28" t="s">
        <v>2</v>
      </c>
      <c r="Q6" s="28" t="s">
        <v>0</v>
      </c>
      <c r="R6" s="28" t="s">
        <v>0</v>
      </c>
      <c r="S6" s="28" t="s">
        <v>2</v>
      </c>
      <c r="T6" s="28" t="s">
        <v>2</v>
      </c>
      <c r="U6" s="28" t="s">
        <v>2</v>
      </c>
      <c r="V6" s="28" t="s">
        <v>2</v>
      </c>
      <c r="W6" s="28" t="s">
        <v>2</v>
      </c>
      <c r="X6" s="28" t="s">
        <v>2</v>
      </c>
      <c r="Y6" s="28" t="s">
        <v>2</v>
      </c>
      <c r="Z6" s="28" t="s">
        <v>2</v>
      </c>
      <c r="AA6" s="28" t="s">
        <v>2</v>
      </c>
      <c r="AB6" s="28" t="s">
        <v>2</v>
      </c>
      <c r="AC6" s="28" t="s">
        <v>2</v>
      </c>
      <c r="AD6" s="28" t="s">
        <v>2</v>
      </c>
      <c r="AE6" s="28" t="s">
        <v>0</v>
      </c>
      <c r="AF6" s="28" t="s">
        <v>2</v>
      </c>
      <c r="AG6" s="28" t="s">
        <v>2</v>
      </c>
      <c r="AH6" s="28" t="s">
        <v>0</v>
      </c>
      <c r="AI6" s="28" t="s">
        <v>2</v>
      </c>
      <c r="AJ6" s="28" t="s">
        <v>2</v>
      </c>
      <c r="AK6" s="28" t="s">
        <v>2</v>
      </c>
      <c r="AL6" s="28" t="s">
        <v>2</v>
      </c>
      <c r="AM6" s="28" t="s">
        <v>2</v>
      </c>
      <c r="AN6" s="28" t="s">
        <v>0</v>
      </c>
    </row>
    <row r="7" spans="1:40" ht="15.75" thickBot="1" x14ac:dyDescent="0.3">
      <c r="A7" s="110"/>
      <c r="B7" s="3">
        <f>B6+1</f>
        <v>2</v>
      </c>
      <c r="C7" s="13" t="s">
        <v>41</v>
      </c>
      <c r="D7" s="95" t="s">
        <v>40</v>
      </c>
      <c r="E7" s="28" t="s">
        <v>0</v>
      </c>
      <c r="F7" s="28" t="s">
        <v>2</v>
      </c>
      <c r="G7" s="28" t="s">
        <v>2</v>
      </c>
      <c r="H7" s="28" t="s">
        <v>0</v>
      </c>
      <c r="I7" s="28" t="s">
        <v>2</v>
      </c>
      <c r="J7" s="28" t="s">
        <v>2</v>
      </c>
      <c r="K7" s="28" t="s">
        <v>2</v>
      </c>
      <c r="L7" s="28" t="s">
        <v>2</v>
      </c>
      <c r="M7" s="28" t="s">
        <v>2</v>
      </c>
      <c r="N7" s="28" t="s">
        <v>2</v>
      </c>
      <c r="O7" s="28" t="s">
        <v>2</v>
      </c>
      <c r="P7" s="28" t="s">
        <v>2</v>
      </c>
      <c r="Q7" s="28" t="s">
        <v>2</v>
      </c>
      <c r="R7" s="28" t="s">
        <v>2</v>
      </c>
      <c r="S7" s="28" t="s">
        <v>2</v>
      </c>
      <c r="T7" s="28" t="s">
        <v>2</v>
      </c>
      <c r="U7" s="28" t="s">
        <v>2</v>
      </c>
      <c r="V7" s="28" t="s">
        <v>2</v>
      </c>
      <c r="W7" s="28" t="s">
        <v>2</v>
      </c>
      <c r="X7" s="28" t="s">
        <v>2</v>
      </c>
      <c r="Y7" s="28" t="s">
        <v>2</v>
      </c>
      <c r="Z7" s="28" t="s">
        <v>2</v>
      </c>
      <c r="AA7" s="28" t="s">
        <v>2</v>
      </c>
      <c r="AB7" s="28" t="s">
        <v>2</v>
      </c>
      <c r="AC7" s="28" t="s">
        <v>2</v>
      </c>
      <c r="AD7" s="28" t="s">
        <v>2</v>
      </c>
      <c r="AE7" s="28" t="s">
        <v>2</v>
      </c>
      <c r="AF7" s="28" t="s">
        <v>2</v>
      </c>
      <c r="AG7" s="28" t="s">
        <v>2</v>
      </c>
      <c r="AH7" s="28" t="s">
        <v>2</v>
      </c>
      <c r="AI7" s="28" t="s">
        <v>2</v>
      </c>
      <c r="AJ7" s="28" t="s">
        <v>2</v>
      </c>
      <c r="AK7" s="28" t="s">
        <v>2</v>
      </c>
      <c r="AL7" s="28" t="s">
        <v>2</v>
      </c>
      <c r="AM7" s="28" t="s">
        <v>2</v>
      </c>
      <c r="AN7" s="28" t="s">
        <v>2</v>
      </c>
    </row>
    <row r="8" spans="1:40" ht="15.75" thickBot="1" x14ac:dyDescent="0.3">
      <c r="A8" s="110"/>
      <c r="B8" s="4">
        <v>3</v>
      </c>
      <c r="C8" s="14" t="s">
        <v>42</v>
      </c>
      <c r="D8" s="96" t="s">
        <v>40</v>
      </c>
      <c r="E8" s="28" t="s">
        <v>0</v>
      </c>
      <c r="F8" s="28" t="s">
        <v>2</v>
      </c>
      <c r="G8" s="28" t="s">
        <v>2</v>
      </c>
      <c r="H8" s="28" t="s">
        <v>0</v>
      </c>
      <c r="I8" s="28" t="s">
        <v>2</v>
      </c>
      <c r="J8" s="28" t="s">
        <v>2</v>
      </c>
      <c r="K8" s="28" t="s">
        <v>2</v>
      </c>
      <c r="L8" s="28" t="s">
        <v>2</v>
      </c>
      <c r="M8" s="28" t="s">
        <v>2</v>
      </c>
      <c r="N8" s="28" t="s">
        <v>2</v>
      </c>
      <c r="O8" s="28" t="s">
        <v>2</v>
      </c>
      <c r="P8" s="28" t="s">
        <v>2</v>
      </c>
      <c r="Q8" s="28" t="s">
        <v>2</v>
      </c>
      <c r="R8" s="28" t="s">
        <v>2</v>
      </c>
      <c r="S8" s="28" t="s">
        <v>2</v>
      </c>
      <c r="T8" s="28" t="s">
        <v>2</v>
      </c>
      <c r="U8" s="28" t="s">
        <v>2</v>
      </c>
      <c r="V8" s="28" t="s">
        <v>2</v>
      </c>
      <c r="W8" s="28" t="s">
        <v>2</v>
      </c>
      <c r="X8" s="28" t="s">
        <v>2</v>
      </c>
      <c r="Y8" s="28" t="s">
        <v>2</v>
      </c>
      <c r="Z8" s="28" t="s">
        <v>2</v>
      </c>
      <c r="AA8" s="28" t="s">
        <v>2</v>
      </c>
      <c r="AB8" s="28" t="s">
        <v>2</v>
      </c>
      <c r="AC8" s="28" t="s">
        <v>2</v>
      </c>
      <c r="AD8" s="28" t="s">
        <v>2</v>
      </c>
      <c r="AE8" s="28" t="s">
        <v>2</v>
      </c>
      <c r="AF8" s="28" t="s">
        <v>2</v>
      </c>
      <c r="AG8" s="28" t="s">
        <v>2</v>
      </c>
      <c r="AH8" s="28" t="s">
        <v>2</v>
      </c>
      <c r="AI8" s="28" t="s">
        <v>2</v>
      </c>
      <c r="AJ8" s="28" t="s">
        <v>2</v>
      </c>
      <c r="AK8" s="28" t="s">
        <v>2</v>
      </c>
      <c r="AL8" s="28" t="s">
        <v>2</v>
      </c>
      <c r="AM8" s="28" t="s">
        <v>2</v>
      </c>
      <c r="AN8" s="28" t="s">
        <v>2</v>
      </c>
    </row>
    <row r="9" spans="1:40" ht="15.75" thickBot="1" x14ac:dyDescent="0.3">
      <c r="A9" s="110"/>
      <c r="B9" s="3">
        <v>4</v>
      </c>
      <c r="C9" s="13" t="s">
        <v>43</v>
      </c>
      <c r="D9" s="95" t="s">
        <v>44</v>
      </c>
      <c r="E9" s="28" t="s">
        <v>0</v>
      </c>
      <c r="F9" s="28" t="s">
        <v>2</v>
      </c>
      <c r="G9" s="28" t="s">
        <v>2</v>
      </c>
      <c r="H9" s="28" t="s">
        <v>0</v>
      </c>
      <c r="I9" s="28" t="s">
        <v>2</v>
      </c>
      <c r="J9" s="28" t="s">
        <v>2</v>
      </c>
      <c r="K9" s="28" t="s">
        <v>2</v>
      </c>
      <c r="L9" s="28" t="s">
        <v>2</v>
      </c>
      <c r="M9" s="28" t="s">
        <v>2</v>
      </c>
      <c r="N9" s="28" t="s">
        <v>2</v>
      </c>
      <c r="O9" s="28" t="s">
        <v>2</v>
      </c>
      <c r="P9" s="28" t="s">
        <v>2</v>
      </c>
      <c r="Q9" s="28" t="s">
        <v>2</v>
      </c>
      <c r="R9" s="28" t="s">
        <v>2</v>
      </c>
      <c r="S9" s="28" t="s">
        <v>2</v>
      </c>
      <c r="T9" s="28" t="s">
        <v>2</v>
      </c>
      <c r="U9" s="28" t="s">
        <v>2</v>
      </c>
      <c r="V9" s="28" t="s">
        <v>2</v>
      </c>
      <c r="W9" s="28" t="s">
        <v>2</v>
      </c>
      <c r="X9" s="28" t="s">
        <v>2</v>
      </c>
      <c r="Y9" s="28" t="s">
        <v>2</v>
      </c>
      <c r="Z9" s="28" t="s">
        <v>2</v>
      </c>
      <c r="AA9" s="28" t="s">
        <v>2</v>
      </c>
      <c r="AB9" s="28" t="s">
        <v>2</v>
      </c>
      <c r="AC9" s="28" t="s">
        <v>2</v>
      </c>
      <c r="AD9" s="28" t="s">
        <v>2</v>
      </c>
      <c r="AE9" s="28" t="s">
        <v>2</v>
      </c>
      <c r="AF9" s="28" t="s">
        <v>2</v>
      </c>
      <c r="AG9" s="28" t="s">
        <v>2</v>
      </c>
      <c r="AH9" s="28" t="s">
        <v>2</v>
      </c>
      <c r="AI9" s="28" t="s">
        <v>2</v>
      </c>
      <c r="AJ9" s="28" t="s">
        <v>2</v>
      </c>
      <c r="AK9" s="28" t="s">
        <v>2</v>
      </c>
      <c r="AL9" s="28" t="s">
        <v>2</v>
      </c>
      <c r="AM9" s="28" t="s">
        <v>2</v>
      </c>
      <c r="AN9" s="28" t="s">
        <v>2</v>
      </c>
    </row>
    <row r="10" spans="1:40" ht="15.75" thickBot="1" x14ac:dyDescent="0.3">
      <c r="A10" s="110"/>
      <c r="B10" s="3">
        <f>B9+1</f>
        <v>5</v>
      </c>
      <c r="C10" s="13" t="s">
        <v>45</v>
      </c>
      <c r="D10" s="95" t="s">
        <v>44</v>
      </c>
      <c r="E10" s="28" t="s">
        <v>0</v>
      </c>
      <c r="F10" s="28" t="s">
        <v>2</v>
      </c>
      <c r="G10" s="28" t="s">
        <v>2</v>
      </c>
      <c r="H10" s="28" t="s">
        <v>0</v>
      </c>
      <c r="I10" s="28" t="s">
        <v>2</v>
      </c>
      <c r="J10" s="28" t="s">
        <v>2</v>
      </c>
      <c r="K10" s="28" t="s">
        <v>2</v>
      </c>
      <c r="L10" s="28" t="s">
        <v>2</v>
      </c>
      <c r="M10" s="28" t="s">
        <v>2</v>
      </c>
      <c r="N10" s="28" t="s">
        <v>2</v>
      </c>
      <c r="O10" s="28" t="s">
        <v>2</v>
      </c>
      <c r="P10" s="28" t="s">
        <v>2</v>
      </c>
      <c r="Q10" s="28" t="s">
        <v>2</v>
      </c>
      <c r="R10" s="28" t="s">
        <v>2</v>
      </c>
      <c r="S10" s="28" t="s">
        <v>2</v>
      </c>
      <c r="T10" s="28" t="s">
        <v>2</v>
      </c>
      <c r="U10" s="28" t="s">
        <v>2</v>
      </c>
      <c r="V10" s="28" t="s">
        <v>2</v>
      </c>
      <c r="W10" s="28" t="s">
        <v>2</v>
      </c>
      <c r="X10" s="28" t="s">
        <v>2</v>
      </c>
      <c r="Y10" s="28" t="s">
        <v>2</v>
      </c>
      <c r="Z10" s="28" t="s">
        <v>2</v>
      </c>
      <c r="AA10" s="28" t="s">
        <v>2</v>
      </c>
      <c r="AB10" s="28" t="s">
        <v>2</v>
      </c>
      <c r="AC10" s="28" t="s">
        <v>2</v>
      </c>
      <c r="AD10" s="28" t="s">
        <v>2</v>
      </c>
      <c r="AE10" s="28" t="s">
        <v>2</v>
      </c>
      <c r="AF10" s="28" t="s">
        <v>2</v>
      </c>
      <c r="AG10" s="28" t="s">
        <v>2</v>
      </c>
      <c r="AH10" s="28" t="s">
        <v>2</v>
      </c>
      <c r="AI10" s="28" t="s">
        <v>2</v>
      </c>
      <c r="AJ10" s="28" t="s">
        <v>2</v>
      </c>
      <c r="AK10" s="28" t="s">
        <v>2</v>
      </c>
      <c r="AL10" s="28" t="s">
        <v>2</v>
      </c>
      <c r="AM10" s="28" t="s">
        <v>2</v>
      </c>
      <c r="AN10" s="28" t="s">
        <v>2</v>
      </c>
    </row>
    <row r="11" spans="1:40" ht="15.75" thickBot="1" x14ac:dyDescent="0.3">
      <c r="A11" s="110"/>
      <c r="B11" s="3">
        <f>B10+1</f>
        <v>6</v>
      </c>
      <c r="C11" s="13" t="s">
        <v>46</v>
      </c>
      <c r="D11" s="95" t="s">
        <v>44</v>
      </c>
      <c r="E11" s="28" t="s">
        <v>0</v>
      </c>
      <c r="F11" s="28" t="s">
        <v>2</v>
      </c>
      <c r="G11" s="28" t="s">
        <v>2</v>
      </c>
      <c r="H11" s="28" t="s">
        <v>0</v>
      </c>
      <c r="I11" s="28" t="s">
        <v>2</v>
      </c>
      <c r="J11" s="28" t="s">
        <v>2</v>
      </c>
      <c r="K11" s="28" t="s">
        <v>2</v>
      </c>
      <c r="L11" s="28" t="s">
        <v>2</v>
      </c>
      <c r="M11" s="28" t="s">
        <v>2</v>
      </c>
      <c r="N11" s="28" t="s">
        <v>2</v>
      </c>
      <c r="O11" s="28" t="s">
        <v>2</v>
      </c>
      <c r="P11" s="28" t="s">
        <v>2</v>
      </c>
      <c r="Q11" s="28" t="s">
        <v>2</v>
      </c>
      <c r="R11" s="28" t="s">
        <v>2</v>
      </c>
      <c r="S11" s="28" t="s">
        <v>2</v>
      </c>
      <c r="T11" s="28" t="s">
        <v>2</v>
      </c>
      <c r="U11" s="28" t="s">
        <v>2</v>
      </c>
      <c r="V11" s="28" t="s">
        <v>2</v>
      </c>
      <c r="W11" s="28" t="s">
        <v>2</v>
      </c>
      <c r="X11" s="28" t="s">
        <v>2</v>
      </c>
      <c r="Y11" s="28" t="s">
        <v>2</v>
      </c>
      <c r="Z11" s="28" t="s">
        <v>2</v>
      </c>
      <c r="AA11" s="28" t="s">
        <v>2</v>
      </c>
      <c r="AB11" s="28" t="s">
        <v>2</v>
      </c>
      <c r="AC11" s="28" t="s">
        <v>2</v>
      </c>
      <c r="AD11" s="28" t="s">
        <v>2</v>
      </c>
      <c r="AE11" s="28" t="s">
        <v>2</v>
      </c>
      <c r="AF11" s="28" t="s">
        <v>2</v>
      </c>
      <c r="AG11" s="28" t="s">
        <v>2</v>
      </c>
      <c r="AH11" s="28" t="s">
        <v>2</v>
      </c>
      <c r="AI11" s="28" t="s">
        <v>2</v>
      </c>
      <c r="AJ11" s="28" t="s">
        <v>2</v>
      </c>
      <c r="AK11" s="28" t="s">
        <v>2</v>
      </c>
      <c r="AL11" s="28" t="s">
        <v>2</v>
      </c>
      <c r="AM11" s="28" t="s">
        <v>2</v>
      </c>
      <c r="AN11" s="28" t="s">
        <v>2</v>
      </c>
    </row>
    <row r="12" spans="1:40" ht="15.75" thickBot="1" x14ac:dyDescent="0.3">
      <c r="A12" s="110"/>
      <c r="B12" s="3">
        <f>B11+1</f>
        <v>7</v>
      </c>
      <c r="C12" s="13" t="s">
        <v>47</v>
      </c>
      <c r="D12" s="95" t="s">
        <v>44</v>
      </c>
      <c r="E12" s="28" t="s">
        <v>0</v>
      </c>
      <c r="F12" s="28" t="s">
        <v>2</v>
      </c>
      <c r="G12" s="28" t="s">
        <v>2</v>
      </c>
      <c r="H12" s="28" t="s">
        <v>0</v>
      </c>
      <c r="I12" s="28" t="s">
        <v>2</v>
      </c>
      <c r="J12" s="28" t="s">
        <v>2</v>
      </c>
      <c r="K12" s="28" t="s">
        <v>2</v>
      </c>
      <c r="L12" s="28" t="s">
        <v>2</v>
      </c>
      <c r="M12" s="28" t="s">
        <v>2</v>
      </c>
      <c r="N12" s="28" t="s">
        <v>2</v>
      </c>
      <c r="O12" s="28" t="s">
        <v>2</v>
      </c>
      <c r="P12" s="28" t="s">
        <v>2</v>
      </c>
      <c r="Q12" s="28" t="s">
        <v>2</v>
      </c>
      <c r="R12" s="28" t="s">
        <v>2</v>
      </c>
      <c r="S12" s="28" t="s">
        <v>2</v>
      </c>
      <c r="T12" s="28" t="s">
        <v>2</v>
      </c>
      <c r="U12" s="28" t="s">
        <v>2</v>
      </c>
      <c r="V12" s="28" t="s">
        <v>2</v>
      </c>
      <c r="W12" s="28" t="s">
        <v>2</v>
      </c>
      <c r="X12" s="28" t="s">
        <v>2</v>
      </c>
      <c r="Y12" s="28" t="s">
        <v>2</v>
      </c>
      <c r="Z12" s="28" t="s">
        <v>2</v>
      </c>
      <c r="AA12" s="28" t="s">
        <v>2</v>
      </c>
      <c r="AB12" s="28" t="s">
        <v>2</v>
      </c>
      <c r="AC12" s="28" t="s">
        <v>2</v>
      </c>
      <c r="AD12" s="28" t="s">
        <v>2</v>
      </c>
      <c r="AE12" s="28" t="s">
        <v>2</v>
      </c>
      <c r="AF12" s="28" t="s">
        <v>2</v>
      </c>
      <c r="AG12" s="28" t="s">
        <v>2</v>
      </c>
      <c r="AH12" s="28" t="s">
        <v>2</v>
      </c>
      <c r="AI12" s="28" t="s">
        <v>2</v>
      </c>
      <c r="AJ12" s="28" t="s">
        <v>2</v>
      </c>
      <c r="AK12" s="28" t="s">
        <v>2</v>
      </c>
      <c r="AL12" s="28" t="s">
        <v>2</v>
      </c>
      <c r="AM12" s="28" t="s">
        <v>2</v>
      </c>
      <c r="AN12" s="28" t="s">
        <v>2</v>
      </c>
    </row>
    <row r="13" spans="1:40" ht="15.75" thickBot="1" x14ac:dyDescent="0.3">
      <c r="A13" s="110"/>
      <c r="B13" s="3">
        <f>B12+1</f>
        <v>8</v>
      </c>
      <c r="C13" s="13" t="s">
        <v>48</v>
      </c>
      <c r="D13" s="95" t="s">
        <v>44</v>
      </c>
      <c r="E13" s="28" t="s">
        <v>0</v>
      </c>
      <c r="F13" s="28" t="s">
        <v>2</v>
      </c>
      <c r="G13" s="28" t="s">
        <v>2</v>
      </c>
      <c r="H13" s="28" t="s">
        <v>0</v>
      </c>
      <c r="I13" s="28" t="s">
        <v>2</v>
      </c>
      <c r="J13" s="28" t="s">
        <v>2</v>
      </c>
      <c r="K13" s="28" t="s">
        <v>2</v>
      </c>
      <c r="L13" s="28" t="s">
        <v>2</v>
      </c>
      <c r="M13" s="28" t="s">
        <v>2</v>
      </c>
      <c r="N13" s="28" t="s">
        <v>2</v>
      </c>
      <c r="O13" s="28" t="s">
        <v>2</v>
      </c>
      <c r="P13" s="28" t="s">
        <v>2</v>
      </c>
      <c r="Q13" s="28" t="s">
        <v>2</v>
      </c>
      <c r="R13" s="28" t="s">
        <v>2</v>
      </c>
      <c r="S13" s="28" t="s">
        <v>2</v>
      </c>
      <c r="T13" s="28" t="s">
        <v>2</v>
      </c>
      <c r="U13" s="28" t="s">
        <v>2</v>
      </c>
      <c r="V13" s="28" t="s">
        <v>2</v>
      </c>
      <c r="W13" s="28" t="s">
        <v>2</v>
      </c>
      <c r="X13" s="28" t="s">
        <v>2</v>
      </c>
      <c r="Y13" s="28" t="s">
        <v>2</v>
      </c>
      <c r="Z13" s="28" t="s">
        <v>2</v>
      </c>
      <c r="AA13" s="28" t="s">
        <v>2</v>
      </c>
      <c r="AB13" s="28" t="s">
        <v>2</v>
      </c>
      <c r="AC13" s="28" t="s">
        <v>2</v>
      </c>
      <c r="AD13" s="28" t="s">
        <v>2</v>
      </c>
      <c r="AE13" s="28" t="s">
        <v>2</v>
      </c>
      <c r="AF13" s="28" t="s">
        <v>2</v>
      </c>
      <c r="AG13" s="28" t="s">
        <v>2</v>
      </c>
      <c r="AH13" s="28" t="s">
        <v>2</v>
      </c>
      <c r="AI13" s="28" t="s">
        <v>2</v>
      </c>
      <c r="AJ13" s="28" t="s">
        <v>2</v>
      </c>
      <c r="AK13" s="28" t="s">
        <v>2</v>
      </c>
      <c r="AL13" s="28" t="s">
        <v>2</v>
      </c>
      <c r="AM13" s="28" t="s">
        <v>2</v>
      </c>
      <c r="AN13" s="28" t="s">
        <v>2</v>
      </c>
    </row>
    <row r="14" spans="1:40" ht="15.75" thickBot="1" x14ac:dyDescent="0.3">
      <c r="A14" s="110"/>
      <c r="B14" s="3">
        <f>B13+1</f>
        <v>9</v>
      </c>
      <c r="C14" s="13" t="s">
        <v>49</v>
      </c>
      <c r="D14" s="95" t="s">
        <v>44</v>
      </c>
      <c r="E14" s="28" t="s">
        <v>0</v>
      </c>
      <c r="F14" s="28" t="s">
        <v>2</v>
      </c>
      <c r="G14" s="28" t="s">
        <v>2</v>
      </c>
      <c r="H14" s="28" t="s">
        <v>0</v>
      </c>
      <c r="I14" s="28" t="s">
        <v>2</v>
      </c>
      <c r="J14" s="28" t="s">
        <v>2</v>
      </c>
      <c r="K14" s="28" t="s">
        <v>2</v>
      </c>
      <c r="L14" s="28" t="s">
        <v>2</v>
      </c>
      <c r="M14" s="28" t="s">
        <v>2</v>
      </c>
      <c r="N14" s="28" t="s">
        <v>2</v>
      </c>
      <c r="O14" s="28" t="s">
        <v>2</v>
      </c>
      <c r="P14" s="28" t="s">
        <v>2</v>
      </c>
      <c r="Q14" s="28" t="s">
        <v>2</v>
      </c>
      <c r="R14" s="28" t="s">
        <v>2</v>
      </c>
      <c r="S14" s="28" t="s">
        <v>2</v>
      </c>
      <c r="T14" s="28" t="s">
        <v>2</v>
      </c>
      <c r="U14" s="28" t="s">
        <v>2</v>
      </c>
      <c r="V14" s="28" t="s">
        <v>2</v>
      </c>
      <c r="W14" s="28" t="s">
        <v>2</v>
      </c>
      <c r="X14" s="28" t="s">
        <v>2</v>
      </c>
      <c r="Y14" s="28" t="s">
        <v>2</v>
      </c>
      <c r="Z14" s="28" t="s">
        <v>2</v>
      </c>
      <c r="AA14" s="28" t="s">
        <v>2</v>
      </c>
      <c r="AB14" s="28" t="s">
        <v>2</v>
      </c>
      <c r="AC14" s="28" t="s">
        <v>2</v>
      </c>
      <c r="AD14" s="28" t="s">
        <v>2</v>
      </c>
      <c r="AE14" s="28" t="s">
        <v>2</v>
      </c>
      <c r="AF14" s="28" t="s">
        <v>2</v>
      </c>
      <c r="AG14" s="28" t="s">
        <v>2</v>
      </c>
      <c r="AH14" s="28" t="s">
        <v>2</v>
      </c>
      <c r="AI14" s="28" t="s">
        <v>2</v>
      </c>
      <c r="AJ14" s="28" t="s">
        <v>2</v>
      </c>
      <c r="AK14" s="28" t="s">
        <v>2</v>
      </c>
      <c r="AL14" s="28" t="s">
        <v>2</v>
      </c>
      <c r="AM14" s="28" t="s">
        <v>2</v>
      </c>
      <c r="AN14" s="28" t="s">
        <v>2</v>
      </c>
    </row>
    <row r="15" spans="1:40" ht="15.75" thickBot="1" x14ac:dyDescent="0.3">
      <c r="A15" s="110"/>
      <c r="B15" s="3">
        <v>10</v>
      </c>
      <c r="C15" s="13" t="s">
        <v>50</v>
      </c>
      <c r="D15" s="95" t="s">
        <v>44</v>
      </c>
      <c r="E15" s="28" t="s">
        <v>0</v>
      </c>
      <c r="F15" s="28" t="s">
        <v>2</v>
      </c>
      <c r="G15" s="28" t="s">
        <v>2</v>
      </c>
      <c r="H15" s="28" t="s">
        <v>0</v>
      </c>
      <c r="I15" s="28" t="s">
        <v>2</v>
      </c>
      <c r="J15" s="28" t="s">
        <v>2</v>
      </c>
      <c r="K15" s="28" t="s">
        <v>2</v>
      </c>
      <c r="L15" s="28" t="s">
        <v>2</v>
      </c>
      <c r="M15" s="28" t="s">
        <v>2</v>
      </c>
      <c r="N15" s="28" t="s">
        <v>2</v>
      </c>
      <c r="O15" s="28" t="s">
        <v>2</v>
      </c>
      <c r="P15" s="28" t="s">
        <v>2</v>
      </c>
      <c r="Q15" s="28" t="s">
        <v>2</v>
      </c>
      <c r="R15" s="28" t="s">
        <v>2</v>
      </c>
      <c r="S15" s="28" t="s">
        <v>2</v>
      </c>
      <c r="T15" s="28" t="s">
        <v>2</v>
      </c>
      <c r="U15" s="28" t="s">
        <v>2</v>
      </c>
      <c r="V15" s="28" t="s">
        <v>2</v>
      </c>
      <c r="W15" s="28" t="s">
        <v>2</v>
      </c>
      <c r="X15" s="28" t="s">
        <v>2</v>
      </c>
      <c r="Y15" s="28" t="s">
        <v>2</v>
      </c>
      <c r="Z15" s="28" t="s">
        <v>2</v>
      </c>
      <c r="AA15" s="28" t="s">
        <v>2</v>
      </c>
      <c r="AB15" s="28" t="s">
        <v>2</v>
      </c>
      <c r="AC15" s="28" t="s">
        <v>2</v>
      </c>
      <c r="AD15" s="28" t="s">
        <v>2</v>
      </c>
      <c r="AE15" s="28" t="s">
        <v>2</v>
      </c>
      <c r="AF15" s="28" t="s">
        <v>2</v>
      </c>
      <c r="AG15" s="28" t="s">
        <v>2</v>
      </c>
      <c r="AH15" s="28" t="s">
        <v>0</v>
      </c>
      <c r="AI15" s="28" t="s">
        <v>2</v>
      </c>
      <c r="AJ15" s="28" t="s">
        <v>2</v>
      </c>
      <c r="AK15" s="28" t="s">
        <v>2</v>
      </c>
      <c r="AL15" s="28" t="s">
        <v>2</v>
      </c>
      <c r="AM15" s="28" t="s">
        <v>2</v>
      </c>
      <c r="AN15" s="28" t="s">
        <v>2</v>
      </c>
    </row>
    <row r="16" spans="1:40" ht="15.75" thickBot="1" x14ac:dyDescent="0.3">
      <c r="A16" s="110"/>
      <c r="B16" s="3">
        <v>11</v>
      </c>
      <c r="C16" s="13" t="s">
        <v>51</v>
      </c>
      <c r="D16" s="95" t="s">
        <v>44</v>
      </c>
      <c r="E16" s="28" t="s">
        <v>0</v>
      </c>
      <c r="F16" s="28" t="s">
        <v>2</v>
      </c>
      <c r="G16" s="28" t="s">
        <v>2</v>
      </c>
      <c r="H16" s="28" t="s">
        <v>0</v>
      </c>
      <c r="I16" s="28" t="s">
        <v>2</v>
      </c>
      <c r="J16" s="28" t="s">
        <v>2</v>
      </c>
      <c r="K16" s="28" t="s">
        <v>2</v>
      </c>
      <c r="L16" s="28" t="s">
        <v>2</v>
      </c>
      <c r="M16" s="28" t="s">
        <v>2</v>
      </c>
      <c r="N16" s="28" t="s">
        <v>2</v>
      </c>
      <c r="O16" s="28" t="s">
        <v>2</v>
      </c>
      <c r="P16" s="28" t="s">
        <v>2</v>
      </c>
      <c r="Q16" s="28" t="s">
        <v>2</v>
      </c>
      <c r="R16" s="28" t="s">
        <v>2</v>
      </c>
      <c r="S16" s="28" t="s">
        <v>2</v>
      </c>
      <c r="T16" s="28" t="s">
        <v>2</v>
      </c>
      <c r="U16" s="28" t="s">
        <v>2</v>
      </c>
      <c r="V16" s="28" t="s">
        <v>2</v>
      </c>
      <c r="W16" s="28" t="s">
        <v>2</v>
      </c>
      <c r="X16" s="28" t="s">
        <v>2</v>
      </c>
      <c r="Y16" s="28" t="s">
        <v>2</v>
      </c>
      <c r="Z16" s="28" t="s">
        <v>2</v>
      </c>
      <c r="AA16" s="28" t="s">
        <v>2</v>
      </c>
      <c r="AB16" s="28" t="s">
        <v>2</v>
      </c>
      <c r="AC16" s="28" t="s">
        <v>2</v>
      </c>
      <c r="AD16" s="28" t="s">
        <v>2</v>
      </c>
      <c r="AE16" s="28" t="s">
        <v>2</v>
      </c>
      <c r="AF16" s="28" t="s">
        <v>2</v>
      </c>
      <c r="AG16" s="28" t="s">
        <v>2</v>
      </c>
      <c r="AH16" s="28" t="s">
        <v>2</v>
      </c>
      <c r="AI16" s="28" t="s">
        <v>2</v>
      </c>
      <c r="AJ16" s="28" t="s">
        <v>2</v>
      </c>
      <c r="AK16" s="28" t="s">
        <v>2</v>
      </c>
      <c r="AL16" s="28" t="s">
        <v>2</v>
      </c>
      <c r="AM16" s="28" t="s">
        <v>2</v>
      </c>
      <c r="AN16" s="28" t="s">
        <v>2</v>
      </c>
    </row>
    <row r="17" spans="1:40" ht="15.75" thickBot="1" x14ac:dyDescent="0.3">
      <c r="A17" s="110"/>
      <c r="B17" s="3">
        <v>12</v>
      </c>
      <c r="C17" s="13" t="s">
        <v>52</v>
      </c>
      <c r="D17" s="95" t="s">
        <v>53</v>
      </c>
      <c r="E17" s="28" t="s">
        <v>0</v>
      </c>
      <c r="F17" s="28" t="s">
        <v>2</v>
      </c>
      <c r="G17" s="28" t="s">
        <v>2</v>
      </c>
      <c r="H17" s="28" t="s">
        <v>0</v>
      </c>
      <c r="I17" s="28" t="s">
        <v>2</v>
      </c>
      <c r="J17" s="28" t="s">
        <v>2</v>
      </c>
      <c r="K17" s="28" t="s">
        <v>2</v>
      </c>
      <c r="L17" s="28" t="s">
        <v>2</v>
      </c>
      <c r="M17" s="28" t="s">
        <v>2</v>
      </c>
      <c r="N17" s="28" t="s">
        <v>2</v>
      </c>
      <c r="O17" s="28" t="s">
        <v>2</v>
      </c>
      <c r="P17" s="28" t="s">
        <v>2</v>
      </c>
      <c r="Q17" s="28" t="s">
        <v>2</v>
      </c>
      <c r="R17" s="28" t="s">
        <v>2</v>
      </c>
      <c r="S17" s="28" t="s">
        <v>2</v>
      </c>
      <c r="T17" s="28" t="s">
        <v>2</v>
      </c>
      <c r="U17" s="28" t="s">
        <v>2</v>
      </c>
      <c r="V17" s="28" t="s">
        <v>2</v>
      </c>
      <c r="W17" s="28" t="s">
        <v>2</v>
      </c>
      <c r="X17" s="28" t="s">
        <v>2</v>
      </c>
      <c r="Y17" s="28" t="s">
        <v>2</v>
      </c>
      <c r="Z17" s="28" t="s">
        <v>2</v>
      </c>
      <c r="AA17" s="28" t="s">
        <v>2</v>
      </c>
      <c r="AB17" s="28" t="s">
        <v>0</v>
      </c>
      <c r="AC17" s="28" t="s">
        <v>2</v>
      </c>
      <c r="AD17" s="28" t="s">
        <v>2</v>
      </c>
      <c r="AE17" s="28" t="s">
        <v>2</v>
      </c>
      <c r="AF17" s="28" t="s">
        <v>2</v>
      </c>
      <c r="AG17" s="28" t="s">
        <v>2</v>
      </c>
      <c r="AH17" s="28" t="s">
        <v>2</v>
      </c>
      <c r="AI17" s="28" t="s">
        <v>2</v>
      </c>
      <c r="AJ17" s="28" t="s">
        <v>2</v>
      </c>
      <c r="AK17" s="28" t="s">
        <v>2</v>
      </c>
      <c r="AL17" s="28" t="s">
        <v>2</v>
      </c>
      <c r="AM17" s="28" t="s">
        <v>2</v>
      </c>
      <c r="AN17" s="28" t="s">
        <v>2</v>
      </c>
    </row>
    <row r="18" spans="1:40" ht="15.75" thickBot="1" x14ac:dyDescent="0.3">
      <c r="A18" s="110"/>
      <c r="B18" s="3">
        <f>B17+1</f>
        <v>13</v>
      </c>
      <c r="C18" s="13" t="s">
        <v>54</v>
      </c>
      <c r="D18" s="95" t="s">
        <v>53</v>
      </c>
      <c r="E18" s="28" t="s">
        <v>0</v>
      </c>
      <c r="F18" s="28" t="s">
        <v>2</v>
      </c>
      <c r="G18" s="28" t="s">
        <v>2</v>
      </c>
      <c r="H18" s="28" t="s">
        <v>0</v>
      </c>
      <c r="I18" s="28" t="s">
        <v>2</v>
      </c>
      <c r="J18" s="28" t="s">
        <v>2</v>
      </c>
      <c r="K18" s="28" t="s">
        <v>2</v>
      </c>
      <c r="L18" s="28" t="s">
        <v>2</v>
      </c>
      <c r="M18" s="28" t="s">
        <v>2</v>
      </c>
      <c r="N18" s="28" t="s">
        <v>2</v>
      </c>
      <c r="O18" s="28" t="s">
        <v>2</v>
      </c>
      <c r="P18" s="28" t="s">
        <v>2</v>
      </c>
      <c r="Q18" s="28" t="s">
        <v>2</v>
      </c>
      <c r="R18" s="28" t="s">
        <v>0</v>
      </c>
      <c r="S18" s="28" t="s">
        <v>2</v>
      </c>
      <c r="T18" s="28" t="s">
        <v>2</v>
      </c>
      <c r="U18" s="28" t="s">
        <v>2</v>
      </c>
      <c r="V18" s="28" t="s">
        <v>2</v>
      </c>
      <c r="W18" s="28" t="s">
        <v>2</v>
      </c>
      <c r="X18" s="28" t="s">
        <v>2</v>
      </c>
      <c r="Y18" s="28" t="s">
        <v>2</v>
      </c>
      <c r="Z18" s="28" t="s">
        <v>2</v>
      </c>
      <c r="AA18" s="28" t="s">
        <v>2</v>
      </c>
      <c r="AB18" s="28" t="s">
        <v>2</v>
      </c>
      <c r="AC18" s="28" t="s">
        <v>2</v>
      </c>
      <c r="AD18" s="28" t="s">
        <v>2</v>
      </c>
      <c r="AE18" s="28" t="s">
        <v>2</v>
      </c>
      <c r="AF18" s="28" t="s">
        <v>2</v>
      </c>
      <c r="AG18" s="28" t="s">
        <v>2</v>
      </c>
      <c r="AH18" s="28" t="s">
        <v>2</v>
      </c>
      <c r="AI18" s="28" t="s">
        <v>2</v>
      </c>
      <c r="AJ18" s="28" t="s">
        <v>2</v>
      </c>
      <c r="AK18" s="28" t="s">
        <v>2</v>
      </c>
      <c r="AL18" s="28" t="s">
        <v>2</v>
      </c>
      <c r="AM18" s="28" t="s">
        <v>2</v>
      </c>
      <c r="AN18" s="28" t="s">
        <v>2</v>
      </c>
    </row>
    <row r="19" spans="1:40" ht="15.75" thickBot="1" x14ac:dyDescent="0.3">
      <c r="A19" s="110"/>
      <c r="B19" s="3">
        <f>B18+1</f>
        <v>14</v>
      </c>
      <c r="C19" s="13" t="s">
        <v>55</v>
      </c>
      <c r="D19" s="95" t="s">
        <v>56</v>
      </c>
      <c r="E19" s="28" t="s">
        <v>0</v>
      </c>
      <c r="F19" s="28" t="s">
        <v>2</v>
      </c>
      <c r="G19" s="28" t="s">
        <v>2</v>
      </c>
      <c r="H19" s="28" t="s">
        <v>0</v>
      </c>
      <c r="I19" s="28" t="s">
        <v>2</v>
      </c>
      <c r="J19" s="28" t="s">
        <v>2</v>
      </c>
      <c r="K19" s="28" t="s">
        <v>2</v>
      </c>
      <c r="L19" s="28" t="s">
        <v>2</v>
      </c>
      <c r="M19" s="28" t="s">
        <v>2</v>
      </c>
      <c r="N19" s="28" t="s">
        <v>2</v>
      </c>
      <c r="O19" s="28" t="s">
        <v>2</v>
      </c>
      <c r="P19" s="28" t="s">
        <v>2</v>
      </c>
      <c r="Q19" s="28" t="s">
        <v>2</v>
      </c>
      <c r="R19" s="28" t="s">
        <v>2</v>
      </c>
      <c r="S19" s="28" t="s">
        <v>2</v>
      </c>
      <c r="T19" s="28" t="s">
        <v>2</v>
      </c>
      <c r="U19" s="28" t="s">
        <v>2</v>
      </c>
      <c r="V19" s="28" t="s">
        <v>2</v>
      </c>
      <c r="W19" s="28" t="s">
        <v>2</v>
      </c>
      <c r="X19" s="28" t="s">
        <v>2</v>
      </c>
      <c r="Y19" s="28" t="s">
        <v>2</v>
      </c>
      <c r="Z19" s="28" t="s">
        <v>2</v>
      </c>
      <c r="AA19" s="28" t="s">
        <v>2</v>
      </c>
      <c r="AB19" s="28" t="s">
        <v>2</v>
      </c>
      <c r="AC19" s="28" t="s">
        <v>2</v>
      </c>
      <c r="AD19" s="28" t="s">
        <v>2</v>
      </c>
      <c r="AE19" s="28" t="s">
        <v>2</v>
      </c>
      <c r="AF19" s="28" t="s">
        <v>2</v>
      </c>
      <c r="AG19" s="28" t="s">
        <v>2</v>
      </c>
      <c r="AH19" s="28" t="s">
        <v>2</v>
      </c>
      <c r="AI19" s="28" t="s">
        <v>2</v>
      </c>
      <c r="AJ19" s="28" t="s">
        <v>2</v>
      </c>
      <c r="AK19" s="28" t="s">
        <v>2</v>
      </c>
      <c r="AL19" s="28" t="s">
        <v>2</v>
      </c>
      <c r="AM19" s="28" t="s">
        <v>2</v>
      </c>
      <c r="AN19" s="28" t="s">
        <v>2</v>
      </c>
    </row>
    <row r="20" spans="1:40" ht="15.75" thickBot="1" x14ac:dyDescent="0.3">
      <c r="A20" s="110"/>
      <c r="B20" s="3">
        <v>15</v>
      </c>
      <c r="C20" s="13" t="s">
        <v>57</v>
      </c>
      <c r="D20" s="95" t="s">
        <v>58</v>
      </c>
      <c r="E20" s="28" t="s">
        <v>0</v>
      </c>
      <c r="F20" s="28" t="s">
        <v>2</v>
      </c>
      <c r="G20" s="28" t="s">
        <v>2</v>
      </c>
      <c r="H20" s="28" t="s">
        <v>0</v>
      </c>
      <c r="I20" s="28" t="s">
        <v>2</v>
      </c>
      <c r="J20" s="28" t="s">
        <v>2</v>
      </c>
      <c r="K20" s="28" t="s">
        <v>2</v>
      </c>
      <c r="L20" s="28" t="s">
        <v>2</v>
      </c>
      <c r="M20" s="28" t="s">
        <v>2</v>
      </c>
      <c r="N20" s="28" t="s">
        <v>2</v>
      </c>
      <c r="O20" s="28" t="s">
        <v>2</v>
      </c>
      <c r="P20" s="28" t="s">
        <v>2</v>
      </c>
      <c r="Q20" s="28" t="s">
        <v>2</v>
      </c>
      <c r="R20" s="28" t="s">
        <v>2</v>
      </c>
      <c r="S20" s="28" t="s">
        <v>2</v>
      </c>
      <c r="T20" s="28" t="s">
        <v>2</v>
      </c>
      <c r="U20" s="28" t="s">
        <v>2</v>
      </c>
      <c r="V20" s="28" t="s">
        <v>2</v>
      </c>
      <c r="W20" s="28" t="s">
        <v>2</v>
      </c>
      <c r="X20" s="28" t="s">
        <v>2</v>
      </c>
      <c r="Y20" s="28" t="s">
        <v>2</v>
      </c>
      <c r="Z20" s="28" t="s">
        <v>2</v>
      </c>
      <c r="AA20" s="28" t="s">
        <v>2</v>
      </c>
      <c r="AB20" s="28" t="s">
        <v>2</v>
      </c>
      <c r="AC20" s="28" t="s">
        <v>2</v>
      </c>
      <c r="AD20" s="28" t="s">
        <v>2</v>
      </c>
      <c r="AE20" s="28" t="s">
        <v>2</v>
      </c>
      <c r="AF20" s="28" t="s">
        <v>2</v>
      </c>
      <c r="AG20" s="28" t="s">
        <v>2</v>
      </c>
      <c r="AH20" s="28" t="s">
        <v>2</v>
      </c>
      <c r="AI20" s="28" t="s">
        <v>2</v>
      </c>
      <c r="AJ20" s="28" t="s">
        <v>2</v>
      </c>
      <c r="AK20" s="28" t="s">
        <v>2</v>
      </c>
      <c r="AL20" s="28" t="s">
        <v>2</v>
      </c>
      <c r="AM20" s="28" t="s">
        <v>2</v>
      </c>
      <c r="AN20" s="28" t="s">
        <v>2</v>
      </c>
    </row>
    <row r="21" spans="1:40" ht="15.75" thickBot="1" x14ac:dyDescent="0.3">
      <c r="A21" s="110"/>
      <c r="B21" s="3">
        <v>17</v>
      </c>
      <c r="C21" s="13" t="s">
        <v>59</v>
      </c>
      <c r="D21" s="95" t="s">
        <v>60</v>
      </c>
      <c r="E21" s="28" t="s">
        <v>0</v>
      </c>
      <c r="F21" s="28" t="s">
        <v>2</v>
      </c>
      <c r="G21" s="28" t="s">
        <v>2</v>
      </c>
      <c r="H21" s="28" t="s">
        <v>0</v>
      </c>
      <c r="I21" s="28" t="s">
        <v>2</v>
      </c>
      <c r="J21" s="28" t="s">
        <v>2</v>
      </c>
      <c r="K21" s="28" t="s">
        <v>2</v>
      </c>
      <c r="L21" s="28" t="s">
        <v>0</v>
      </c>
      <c r="M21" s="28" t="s">
        <v>2</v>
      </c>
      <c r="N21" s="28" t="s">
        <v>2</v>
      </c>
      <c r="O21" s="28" t="s">
        <v>0</v>
      </c>
      <c r="P21" s="28" t="s">
        <v>2</v>
      </c>
      <c r="Q21" s="28" t="s">
        <v>0</v>
      </c>
      <c r="R21" s="28" t="s">
        <v>2</v>
      </c>
      <c r="S21" s="28" t="s">
        <v>2</v>
      </c>
      <c r="T21" s="28" t="s">
        <v>2</v>
      </c>
      <c r="U21" s="28" t="s">
        <v>2</v>
      </c>
      <c r="V21" s="28" t="s">
        <v>2</v>
      </c>
      <c r="W21" s="28" t="s">
        <v>0</v>
      </c>
      <c r="X21" s="28" t="s">
        <v>2</v>
      </c>
      <c r="Y21" s="28" t="s">
        <v>2</v>
      </c>
      <c r="Z21" s="28" t="s">
        <v>2</v>
      </c>
      <c r="AA21" s="28" t="s">
        <v>2</v>
      </c>
      <c r="AB21" s="28" t="s">
        <v>0</v>
      </c>
      <c r="AC21" s="28" t="s">
        <v>2</v>
      </c>
      <c r="AD21" s="28" t="s">
        <v>2</v>
      </c>
      <c r="AE21" s="28" t="s">
        <v>0</v>
      </c>
      <c r="AF21" s="28" t="s">
        <v>2</v>
      </c>
      <c r="AG21" s="28" t="s">
        <v>2</v>
      </c>
      <c r="AH21" s="28" t="s">
        <v>0</v>
      </c>
      <c r="AI21" s="28" t="s">
        <v>2</v>
      </c>
      <c r="AJ21" s="28" t="s">
        <v>0</v>
      </c>
      <c r="AK21" s="28" t="s">
        <v>2</v>
      </c>
      <c r="AL21" s="28" t="s">
        <v>2</v>
      </c>
      <c r="AM21" s="28" t="s">
        <v>2</v>
      </c>
      <c r="AN21" s="28" t="s">
        <v>0</v>
      </c>
    </row>
    <row r="22" spans="1:40" ht="15.75" thickBot="1" x14ac:dyDescent="0.3">
      <c r="A22" s="110"/>
      <c r="B22" s="3">
        <v>18</v>
      </c>
      <c r="C22" s="13" t="s">
        <v>61</v>
      </c>
      <c r="D22" s="95" t="s">
        <v>60</v>
      </c>
      <c r="E22" s="28" t="s">
        <v>0</v>
      </c>
      <c r="F22" s="28" t="s">
        <v>2</v>
      </c>
      <c r="G22" s="28" t="s">
        <v>2</v>
      </c>
      <c r="H22" s="28" t="s">
        <v>0</v>
      </c>
      <c r="I22" s="28" t="s">
        <v>2</v>
      </c>
      <c r="J22" s="28" t="s">
        <v>2</v>
      </c>
      <c r="K22" s="28" t="s">
        <v>2</v>
      </c>
      <c r="L22" s="28" t="s">
        <v>2</v>
      </c>
      <c r="M22" s="28" t="s">
        <v>2</v>
      </c>
      <c r="N22" s="28" t="s">
        <v>2</v>
      </c>
      <c r="O22" s="28" t="s">
        <v>2</v>
      </c>
      <c r="P22" s="28" t="s">
        <v>2</v>
      </c>
      <c r="Q22" s="28" t="s">
        <v>2</v>
      </c>
      <c r="R22" s="28" t="s">
        <v>2</v>
      </c>
      <c r="S22" s="28" t="s">
        <v>2</v>
      </c>
      <c r="T22" s="28" t="s">
        <v>2</v>
      </c>
      <c r="U22" s="28" t="s">
        <v>2</v>
      </c>
      <c r="V22" s="28" t="s">
        <v>2</v>
      </c>
      <c r="W22" s="28" t="s">
        <v>2</v>
      </c>
      <c r="X22" s="28" t="s">
        <v>2</v>
      </c>
      <c r="Y22" s="28" t="s">
        <v>2</v>
      </c>
      <c r="Z22" s="28" t="s">
        <v>2</v>
      </c>
      <c r="AA22" s="28" t="s">
        <v>2</v>
      </c>
      <c r="AB22" s="28" t="s">
        <v>2</v>
      </c>
      <c r="AC22" s="28" t="s">
        <v>2</v>
      </c>
      <c r="AD22" s="28" t="s">
        <v>2</v>
      </c>
      <c r="AE22" s="28" t="s">
        <v>2</v>
      </c>
      <c r="AF22" s="28" t="s">
        <v>2</v>
      </c>
      <c r="AG22" s="28" t="s">
        <v>2</v>
      </c>
      <c r="AH22" s="28" t="s">
        <v>0</v>
      </c>
      <c r="AI22" s="28" t="s">
        <v>2</v>
      </c>
      <c r="AJ22" s="28" t="s">
        <v>2</v>
      </c>
      <c r="AK22" s="28" t="s">
        <v>2</v>
      </c>
      <c r="AL22" s="28" t="s">
        <v>2</v>
      </c>
      <c r="AM22" s="28" t="s">
        <v>2</v>
      </c>
      <c r="AN22" s="28" t="s">
        <v>2</v>
      </c>
    </row>
    <row r="23" spans="1:40" ht="15.75" thickBot="1" x14ac:dyDescent="0.3">
      <c r="A23" s="110"/>
      <c r="B23" s="3">
        <v>19</v>
      </c>
      <c r="C23" s="13" t="s">
        <v>62</v>
      </c>
      <c r="D23" s="95" t="s">
        <v>63</v>
      </c>
      <c r="E23" s="28" t="s">
        <v>0</v>
      </c>
      <c r="F23" s="28" t="s">
        <v>2</v>
      </c>
      <c r="G23" s="28" t="s">
        <v>2</v>
      </c>
      <c r="H23" s="28" t="s">
        <v>0</v>
      </c>
      <c r="I23" s="28" t="s">
        <v>2</v>
      </c>
      <c r="J23" s="28" t="s">
        <v>2</v>
      </c>
      <c r="K23" s="28" t="s">
        <v>2</v>
      </c>
      <c r="L23" s="28" t="s">
        <v>2</v>
      </c>
      <c r="M23" s="28" t="s">
        <v>2</v>
      </c>
      <c r="N23" s="28" t="s">
        <v>2</v>
      </c>
      <c r="O23" s="28" t="s">
        <v>2</v>
      </c>
      <c r="P23" s="28" t="s">
        <v>2</v>
      </c>
      <c r="Q23" s="28" t="s">
        <v>0</v>
      </c>
      <c r="R23" s="28" t="s">
        <v>2</v>
      </c>
      <c r="S23" s="28" t="s">
        <v>2</v>
      </c>
      <c r="T23" s="28" t="s">
        <v>2</v>
      </c>
      <c r="U23" s="28" t="s">
        <v>2</v>
      </c>
      <c r="V23" s="28" t="s">
        <v>0</v>
      </c>
      <c r="W23" s="28" t="s">
        <v>2</v>
      </c>
      <c r="X23" s="28" t="s">
        <v>2</v>
      </c>
      <c r="Y23" s="28" t="s">
        <v>0</v>
      </c>
      <c r="Z23" s="28" t="s">
        <v>2</v>
      </c>
      <c r="AA23" s="28" t="s">
        <v>2</v>
      </c>
      <c r="AB23" s="28" t="s">
        <v>2</v>
      </c>
      <c r="AC23" s="28" t="s">
        <v>2</v>
      </c>
      <c r="AD23" s="28" t="s">
        <v>2</v>
      </c>
      <c r="AE23" s="28" t="s">
        <v>2</v>
      </c>
      <c r="AF23" s="28" t="s">
        <v>2</v>
      </c>
      <c r="AG23" s="28" t="s">
        <v>2</v>
      </c>
      <c r="AH23" s="28" t="s">
        <v>0</v>
      </c>
      <c r="AI23" s="28" t="s">
        <v>2</v>
      </c>
      <c r="AJ23" s="28" t="s">
        <v>2</v>
      </c>
      <c r="AK23" s="28" t="s">
        <v>2</v>
      </c>
      <c r="AL23" s="28" t="s">
        <v>2</v>
      </c>
      <c r="AM23" s="28" t="s">
        <v>2</v>
      </c>
      <c r="AN23" s="28" t="s">
        <v>2</v>
      </c>
    </row>
    <row r="24" spans="1:40" ht="15.75" thickBot="1" x14ac:dyDescent="0.3">
      <c r="A24" s="111"/>
      <c r="B24" s="5">
        <v>21</v>
      </c>
      <c r="C24" s="15" t="s">
        <v>64</v>
      </c>
      <c r="D24" s="97" t="s">
        <v>65</v>
      </c>
      <c r="E24" s="28" t="s">
        <v>0</v>
      </c>
      <c r="F24" s="28" t="s">
        <v>2</v>
      </c>
      <c r="G24" s="28" t="s">
        <v>2</v>
      </c>
      <c r="H24" s="28" t="s">
        <v>0</v>
      </c>
      <c r="I24" s="28" t="s">
        <v>2</v>
      </c>
      <c r="J24" s="28" t="s">
        <v>2</v>
      </c>
      <c r="K24" s="28" t="s">
        <v>2</v>
      </c>
      <c r="L24" s="28" t="s">
        <v>0</v>
      </c>
      <c r="M24" s="28" t="s">
        <v>2</v>
      </c>
      <c r="N24" s="28" t="s">
        <v>2</v>
      </c>
      <c r="O24" s="28" t="s">
        <v>2</v>
      </c>
      <c r="P24" s="28" t="s">
        <v>2</v>
      </c>
      <c r="Q24" s="28" t="s">
        <v>0</v>
      </c>
      <c r="R24" s="28" t="s">
        <v>2</v>
      </c>
      <c r="S24" s="28" t="s">
        <v>2</v>
      </c>
      <c r="T24" s="28" t="s">
        <v>0</v>
      </c>
      <c r="U24" s="28" t="s">
        <v>0</v>
      </c>
      <c r="V24" s="28" t="s">
        <v>0</v>
      </c>
      <c r="W24" s="28" t="s">
        <v>0</v>
      </c>
      <c r="X24" s="28" t="s">
        <v>0</v>
      </c>
      <c r="Y24" s="28" t="s">
        <v>0</v>
      </c>
      <c r="Z24" s="28" t="s">
        <v>2</v>
      </c>
      <c r="AA24" s="28" t="s">
        <v>2</v>
      </c>
      <c r="AB24" s="28" t="s">
        <v>2</v>
      </c>
      <c r="AC24" s="28" t="s">
        <v>2</v>
      </c>
      <c r="AD24" s="28" t="s">
        <v>2</v>
      </c>
      <c r="AE24" s="28" t="s">
        <v>2</v>
      </c>
      <c r="AF24" s="28" t="s">
        <v>0</v>
      </c>
      <c r="AG24" s="28" t="s">
        <v>2</v>
      </c>
      <c r="AH24" s="28" t="s">
        <v>2</v>
      </c>
      <c r="AI24" s="28" t="s">
        <v>0</v>
      </c>
      <c r="AJ24" s="28" t="s">
        <v>2</v>
      </c>
      <c r="AK24" s="28" t="s">
        <v>0</v>
      </c>
      <c r="AL24" s="28" t="s">
        <v>2</v>
      </c>
      <c r="AM24" s="28" t="s">
        <v>2</v>
      </c>
      <c r="AN24" s="28" t="s">
        <v>2</v>
      </c>
    </row>
    <row r="25" spans="1:40" ht="15.75" thickBot="1" x14ac:dyDescent="0.3">
      <c r="A25" s="110" t="s">
        <v>66</v>
      </c>
      <c r="B25" s="6">
        <f>+B24+1</f>
        <v>22</v>
      </c>
      <c r="C25" s="16" t="s">
        <v>45</v>
      </c>
      <c r="D25" s="95" t="s">
        <v>44</v>
      </c>
      <c r="E25" s="28" t="s">
        <v>0</v>
      </c>
      <c r="F25" s="28" t="s">
        <v>2</v>
      </c>
      <c r="G25" s="28" t="s">
        <v>2</v>
      </c>
      <c r="H25" s="28" t="s">
        <v>0</v>
      </c>
      <c r="I25" s="28" t="s">
        <v>2</v>
      </c>
      <c r="J25" s="28" t="s">
        <v>2</v>
      </c>
      <c r="K25" s="28" t="s">
        <v>2</v>
      </c>
      <c r="L25" s="28" t="s">
        <v>2</v>
      </c>
      <c r="M25" s="28" t="s">
        <v>2</v>
      </c>
      <c r="N25" s="28" t="s">
        <v>2</v>
      </c>
      <c r="O25" s="28" t="s">
        <v>2</v>
      </c>
      <c r="P25" s="28" t="s">
        <v>2</v>
      </c>
      <c r="Q25" s="28" t="s">
        <v>2</v>
      </c>
      <c r="R25" s="28" t="s">
        <v>2</v>
      </c>
      <c r="S25" s="28" t="s">
        <v>2</v>
      </c>
      <c r="T25" s="28" t="s">
        <v>2</v>
      </c>
      <c r="U25" s="28" t="s">
        <v>2</v>
      </c>
      <c r="V25" s="28" t="s">
        <v>2</v>
      </c>
      <c r="W25" s="28" t="s">
        <v>2</v>
      </c>
      <c r="X25" s="28" t="s">
        <v>2</v>
      </c>
      <c r="Y25" s="28" t="s">
        <v>2</v>
      </c>
      <c r="Z25" s="28" t="s">
        <v>2</v>
      </c>
      <c r="AA25" s="28" t="s">
        <v>2</v>
      </c>
      <c r="AB25" s="28" t="s">
        <v>2</v>
      </c>
      <c r="AC25" s="28" t="s">
        <v>2</v>
      </c>
      <c r="AD25" s="28" t="s">
        <v>2</v>
      </c>
      <c r="AE25" s="28" t="s">
        <v>2</v>
      </c>
      <c r="AF25" s="28" t="s">
        <v>2</v>
      </c>
      <c r="AG25" s="28" t="s">
        <v>2</v>
      </c>
      <c r="AH25" s="28" t="s">
        <v>2</v>
      </c>
      <c r="AI25" s="28" t="s">
        <v>2</v>
      </c>
      <c r="AJ25" s="28" t="s">
        <v>2</v>
      </c>
      <c r="AK25" s="28" t="s">
        <v>2</v>
      </c>
      <c r="AL25" s="28" t="s">
        <v>2</v>
      </c>
      <c r="AM25" s="28" t="s">
        <v>2</v>
      </c>
      <c r="AN25" s="28" t="s">
        <v>2</v>
      </c>
    </row>
    <row r="26" spans="1:40" ht="15.75" thickBot="1" x14ac:dyDescent="0.3">
      <c r="A26" s="110"/>
      <c r="B26" s="6">
        <f t="shared" ref="B26:B33" si="0">+B25+1</f>
        <v>23</v>
      </c>
      <c r="C26" s="13" t="s">
        <v>47</v>
      </c>
      <c r="D26" s="95" t="s">
        <v>44</v>
      </c>
      <c r="E26" s="28" t="s">
        <v>0</v>
      </c>
      <c r="F26" s="28" t="s">
        <v>2</v>
      </c>
      <c r="G26" s="28" t="s">
        <v>2</v>
      </c>
      <c r="H26" s="28" t="s">
        <v>0</v>
      </c>
      <c r="I26" s="28" t="s">
        <v>2</v>
      </c>
      <c r="J26" s="28" t="s">
        <v>2</v>
      </c>
      <c r="K26" s="28" t="s">
        <v>2</v>
      </c>
      <c r="L26" s="28" t="s">
        <v>2</v>
      </c>
      <c r="M26" s="28" t="s">
        <v>2</v>
      </c>
      <c r="N26" s="28" t="s">
        <v>2</v>
      </c>
      <c r="O26" s="28" t="s">
        <v>2</v>
      </c>
      <c r="P26" s="28" t="s">
        <v>2</v>
      </c>
      <c r="Q26" s="28" t="s">
        <v>2</v>
      </c>
      <c r="R26" s="28" t="s">
        <v>2</v>
      </c>
      <c r="S26" s="28" t="s">
        <v>2</v>
      </c>
      <c r="T26" s="28" t="s">
        <v>2</v>
      </c>
      <c r="U26" s="28" t="s">
        <v>2</v>
      </c>
      <c r="V26" s="28" t="s">
        <v>2</v>
      </c>
      <c r="W26" s="28" t="s">
        <v>2</v>
      </c>
      <c r="X26" s="28" t="s">
        <v>2</v>
      </c>
      <c r="Y26" s="28" t="s">
        <v>2</v>
      </c>
      <c r="Z26" s="28" t="s">
        <v>2</v>
      </c>
      <c r="AA26" s="28" t="s">
        <v>2</v>
      </c>
      <c r="AB26" s="28" t="s">
        <v>2</v>
      </c>
      <c r="AC26" s="28" t="s">
        <v>2</v>
      </c>
      <c r="AD26" s="28" t="s">
        <v>2</v>
      </c>
      <c r="AE26" s="28" t="s">
        <v>2</v>
      </c>
      <c r="AF26" s="28" t="s">
        <v>2</v>
      </c>
      <c r="AG26" s="28" t="s">
        <v>2</v>
      </c>
      <c r="AH26" s="28" t="s">
        <v>2</v>
      </c>
      <c r="AI26" s="28" t="s">
        <v>2</v>
      </c>
      <c r="AJ26" s="28" t="s">
        <v>2</v>
      </c>
      <c r="AK26" s="28" t="s">
        <v>2</v>
      </c>
      <c r="AL26" s="28" t="s">
        <v>2</v>
      </c>
      <c r="AM26" s="28" t="s">
        <v>2</v>
      </c>
      <c r="AN26" s="28" t="s">
        <v>2</v>
      </c>
    </row>
    <row r="27" spans="1:40" ht="15.75" thickBot="1" x14ac:dyDescent="0.3">
      <c r="A27" s="110"/>
      <c r="B27" s="6">
        <f t="shared" si="0"/>
        <v>24</v>
      </c>
      <c r="C27" s="13" t="s">
        <v>67</v>
      </c>
      <c r="D27" s="95" t="s">
        <v>44</v>
      </c>
      <c r="E27" s="28" t="s">
        <v>0</v>
      </c>
      <c r="F27" s="28" t="s">
        <v>2</v>
      </c>
      <c r="G27" s="28" t="s">
        <v>2</v>
      </c>
      <c r="H27" s="28" t="s">
        <v>0</v>
      </c>
      <c r="I27" s="28" t="s">
        <v>2</v>
      </c>
      <c r="J27" s="28" t="s">
        <v>2</v>
      </c>
      <c r="K27" s="28" t="s">
        <v>2</v>
      </c>
      <c r="L27" s="28" t="s">
        <v>2</v>
      </c>
      <c r="M27" s="28" t="s">
        <v>2</v>
      </c>
      <c r="N27" s="28" t="s">
        <v>2</v>
      </c>
      <c r="O27" s="28" t="s">
        <v>2</v>
      </c>
      <c r="P27" s="28" t="s">
        <v>2</v>
      </c>
      <c r="Q27" s="28" t="s">
        <v>2</v>
      </c>
      <c r="R27" s="28" t="s">
        <v>2</v>
      </c>
      <c r="S27" s="28" t="s">
        <v>2</v>
      </c>
      <c r="T27" s="28" t="s">
        <v>2</v>
      </c>
      <c r="U27" s="28" t="s">
        <v>2</v>
      </c>
      <c r="V27" s="28" t="s">
        <v>2</v>
      </c>
      <c r="W27" s="28" t="s">
        <v>2</v>
      </c>
      <c r="X27" s="28" t="s">
        <v>2</v>
      </c>
      <c r="Y27" s="28" t="s">
        <v>2</v>
      </c>
      <c r="Z27" s="28" t="s">
        <v>2</v>
      </c>
      <c r="AA27" s="28" t="s">
        <v>2</v>
      </c>
      <c r="AB27" s="28" t="s">
        <v>2</v>
      </c>
      <c r="AC27" s="28" t="s">
        <v>2</v>
      </c>
      <c r="AD27" s="28" t="s">
        <v>2</v>
      </c>
      <c r="AE27" s="28" t="s">
        <v>2</v>
      </c>
      <c r="AF27" s="28" t="s">
        <v>2</v>
      </c>
      <c r="AG27" s="28" t="s">
        <v>2</v>
      </c>
      <c r="AH27" s="28" t="s">
        <v>2</v>
      </c>
      <c r="AI27" s="28" t="s">
        <v>2</v>
      </c>
      <c r="AJ27" s="28" t="s">
        <v>2</v>
      </c>
      <c r="AK27" s="28" t="s">
        <v>2</v>
      </c>
      <c r="AL27" s="28" t="s">
        <v>2</v>
      </c>
      <c r="AM27" s="28" t="s">
        <v>2</v>
      </c>
      <c r="AN27" s="28" t="s">
        <v>2</v>
      </c>
    </row>
    <row r="28" spans="1:40" ht="15.75" thickBot="1" x14ac:dyDescent="0.3">
      <c r="A28" s="110"/>
      <c r="B28" s="6">
        <f>+B27+1</f>
        <v>25</v>
      </c>
      <c r="C28" s="13" t="s">
        <v>68</v>
      </c>
      <c r="D28" s="95" t="s">
        <v>69</v>
      </c>
      <c r="E28" s="28" t="s">
        <v>0</v>
      </c>
      <c r="F28" s="28" t="s">
        <v>2</v>
      </c>
      <c r="G28" s="28" t="s">
        <v>2</v>
      </c>
      <c r="H28" s="28" t="s">
        <v>0</v>
      </c>
      <c r="I28" s="28" t="s">
        <v>2</v>
      </c>
      <c r="J28" s="28" t="s">
        <v>2</v>
      </c>
      <c r="K28" s="28" t="s">
        <v>2</v>
      </c>
      <c r="L28" s="28" t="s">
        <v>2</v>
      </c>
      <c r="M28" s="28" t="s">
        <v>2</v>
      </c>
      <c r="N28" s="28" t="s">
        <v>2</v>
      </c>
      <c r="O28" s="28" t="s">
        <v>2</v>
      </c>
      <c r="P28" s="28" t="s">
        <v>2</v>
      </c>
      <c r="Q28" s="28" t="s">
        <v>2</v>
      </c>
      <c r="R28" s="28" t="s">
        <v>2</v>
      </c>
      <c r="S28" s="28" t="s">
        <v>2</v>
      </c>
      <c r="T28" s="28" t="s">
        <v>2</v>
      </c>
      <c r="U28" s="28" t="s">
        <v>2</v>
      </c>
      <c r="V28" s="28" t="s">
        <v>2</v>
      </c>
      <c r="W28" s="28" t="s">
        <v>2</v>
      </c>
      <c r="X28" s="28" t="s">
        <v>2</v>
      </c>
      <c r="Y28" s="28" t="s">
        <v>2</v>
      </c>
      <c r="Z28" s="28" t="s">
        <v>2</v>
      </c>
      <c r="AA28" s="28" t="s">
        <v>2</v>
      </c>
      <c r="AB28" s="28" t="s">
        <v>2</v>
      </c>
      <c r="AC28" s="28" t="s">
        <v>2</v>
      </c>
      <c r="AD28" s="28" t="s">
        <v>2</v>
      </c>
      <c r="AE28" s="28" t="s">
        <v>2</v>
      </c>
      <c r="AF28" s="28" t="s">
        <v>2</v>
      </c>
      <c r="AG28" s="28" t="s">
        <v>2</v>
      </c>
      <c r="AH28" s="28" t="s">
        <v>2</v>
      </c>
      <c r="AI28" s="28" t="s">
        <v>2</v>
      </c>
      <c r="AJ28" s="28" t="s">
        <v>2</v>
      </c>
      <c r="AK28" s="28" t="s">
        <v>2</v>
      </c>
      <c r="AL28" s="28" t="s">
        <v>2</v>
      </c>
      <c r="AM28" s="28" t="s">
        <v>0</v>
      </c>
      <c r="AN28" s="28" t="s">
        <v>2</v>
      </c>
    </row>
    <row r="29" spans="1:40" ht="15.75" thickBot="1" x14ac:dyDescent="0.3">
      <c r="A29" s="110"/>
      <c r="B29" s="6">
        <f t="shared" si="0"/>
        <v>26</v>
      </c>
      <c r="C29" s="13" t="s">
        <v>70</v>
      </c>
      <c r="D29" s="95" t="s">
        <v>69</v>
      </c>
      <c r="E29" s="28" t="s">
        <v>0</v>
      </c>
      <c r="F29" s="28" t="s">
        <v>2</v>
      </c>
      <c r="G29" s="28" t="s">
        <v>2</v>
      </c>
      <c r="H29" s="28" t="s">
        <v>0</v>
      </c>
      <c r="I29" s="28" t="s">
        <v>2</v>
      </c>
      <c r="J29" s="28" t="s">
        <v>2</v>
      </c>
      <c r="K29" s="28" t="s">
        <v>2</v>
      </c>
      <c r="L29" s="28" t="s">
        <v>2</v>
      </c>
      <c r="M29" s="28" t="s">
        <v>2</v>
      </c>
      <c r="N29" s="28" t="s">
        <v>2</v>
      </c>
      <c r="O29" s="28" t="s">
        <v>2</v>
      </c>
      <c r="P29" s="28" t="s">
        <v>2</v>
      </c>
      <c r="Q29" s="28" t="s">
        <v>2</v>
      </c>
      <c r="R29" s="28" t="s">
        <v>2</v>
      </c>
      <c r="S29" s="28" t="s">
        <v>2</v>
      </c>
      <c r="T29" s="28" t="s">
        <v>2</v>
      </c>
      <c r="U29" s="28" t="s">
        <v>2</v>
      </c>
      <c r="V29" s="28" t="s">
        <v>2</v>
      </c>
      <c r="W29" s="28" t="s">
        <v>2</v>
      </c>
      <c r="X29" s="28" t="s">
        <v>2</v>
      </c>
      <c r="Y29" s="28" t="s">
        <v>2</v>
      </c>
      <c r="Z29" s="28" t="s">
        <v>2</v>
      </c>
      <c r="AA29" s="28" t="s">
        <v>2</v>
      </c>
      <c r="AB29" s="28" t="s">
        <v>2</v>
      </c>
      <c r="AC29" s="28" t="s">
        <v>2</v>
      </c>
      <c r="AD29" s="28" t="s">
        <v>2</v>
      </c>
      <c r="AE29" s="28" t="s">
        <v>2</v>
      </c>
      <c r="AF29" s="28" t="s">
        <v>2</v>
      </c>
      <c r="AG29" s="28" t="s">
        <v>2</v>
      </c>
      <c r="AH29" s="28" t="s">
        <v>0</v>
      </c>
      <c r="AI29" s="28" t="s">
        <v>2</v>
      </c>
      <c r="AJ29" s="28" t="s">
        <v>2</v>
      </c>
      <c r="AK29" s="28" t="s">
        <v>2</v>
      </c>
      <c r="AL29" s="28" t="s">
        <v>2</v>
      </c>
      <c r="AM29" s="28" t="s">
        <v>2</v>
      </c>
      <c r="AN29" s="28" t="s">
        <v>0</v>
      </c>
    </row>
    <row r="30" spans="1:40" ht="15.75" thickBot="1" x14ac:dyDescent="0.3">
      <c r="A30" s="110"/>
      <c r="B30" s="6">
        <f t="shared" si="0"/>
        <v>27</v>
      </c>
      <c r="C30" s="13" t="s">
        <v>71</v>
      </c>
      <c r="D30" s="95" t="s">
        <v>69</v>
      </c>
      <c r="E30" s="28" t="s">
        <v>0</v>
      </c>
      <c r="F30" s="28" t="s">
        <v>2</v>
      </c>
      <c r="G30" s="28" t="s">
        <v>2</v>
      </c>
      <c r="H30" s="28" t="s">
        <v>0</v>
      </c>
      <c r="I30" s="28" t="s">
        <v>2</v>
      </c>
      <c r="J30" s="28" t="s">
        <v>2</v>
      </c>
      <c r="K30" s="28" t="s">
        <v>2</v>
      </c>
      <c r="L30" s="28" t="s">
        <v>2</v>
      </c>
      <c r="M30" s="28" t="s">
        <v>2</v>
      </c>
      <c r="N30" s="28" t="s">
        <v>2</v>
      </c>
      <c r="O30" s="28" t="s">
        <v>2</v>
      </c>
      <c r="P30" s="28" t="s">
        <v>2</v>
      </c>
      <c r="Q30" s="28" t="s">
        <v>2</v>
      </c>
      <c r="R30" s="28" t="s">
        <v>2</v>
      </c>
      <c r="S30" s="28" t="s">
        <v>2</v>
      </c>
      <c r="T30" s="28" t="s">
        <v>2</v>
      </c>
      <c r="U30" s="28" t="s">
        <v>2</v>
      </c>
      <c r="V30" s="28" t="s">
        <v>2</v>
      </c>
      <c r="W30" s="28" t="s">
        <v>2</v>
      </c>
      <c r="X30" s="28" t="s">
        <v>2</v>
      </c>
      <c r="Y30" s="28" t="s">
        <v>2</v>
      </c>
      <c r="Z30" s="28" t="s">
        <v>2</v>
      </c>
      <c r="AA30" s="28" t="s">
        <v>2</v>
      </c>
      <c r="AB30" s="28" t="s">
        <v>2</v>
      </c>
      <c r="AC30" s="28" t="s">
        <v>2</v>
      </c>
      <c r="AD30" s="28" t="s">
        <v>2</v>
      </c>
      <c r="AE30" s="28" t="s">
        <v>2</v>
      </c>
      <c r="AF30" s="28" t="s">
        <v>2</v>
      </c>
      <c r="AG30" s="28" t="s">
        <v>2</v>
      </c>
      <c r="AH30" s="28" t="s">
        <v>2</v>
      </c>
      <c r="AI30" s="28" t="s">
        <v>2</v>
      </c>
      <c r="AJ30" s="28" t="s">
        <v>2</v>
      </c>
      <c r="AK30" s="28" t="s">
        <v>2</v>
      </c>
      <c r="AL30" s="28" t="s">
        <v>2</v>
      </c>
      <c r="AM30" s="28" t="s">
        <v>2</v>
      </c>
      <c r="AN30" s="28" t="s">
        <v>2</v>
      </c>
    </row>
    <row r="31" spans="1:40" ht="15.75" thickBot="1" x14ac:dyDescent="0.3">
      <c r="A31" s="110"/>
      <c r="B31" s="6">
        <f t="shared" si="0"/>
        <v>28</v>
      </c>
      <c r="C31" s="13" t="s">
        <v>72</v>
      </c>
      <c r="D31" s="95" t="s">
        <v>69</v>
      </c>
      <c r="E31" s="28" t="s">
        <v>0</v>
      </c>
      <c r="F31" s="28" t="s">
        <v>2</v>
      </c>
      <c r="G31" s="28" t="s">
        <v>2</v>
      </c>
      <c r="H31" s="28" t="s">
        <v>0</v>
      </c>
      <c r="I31" s="28" t="s">
        <v>2</v>
      </c>
      <c r="J31" s="28" t="s">
        <v>2</v>
      </c>
      <c r="K31" s="28" t="s">
        <v>2</v>
      </c>
      <c r="L31" s="28" t="s">
        <v>2</v>
      </c>
      <c r="M31" s="28" t="s">
        <v>2</v>
      </c>
      <c r="N31" s="28" t="s">
        <v>2</v>
      </c>
      <c r="O31" s="28" t="s">
        <v>2</v>
      </c>
      <c r="P31" s="28" t="s">
        <v>2</v>
      </c>
      <c r="Q31" s="28" t="s">
        <v>2</v>
      </c>
      <c r="R31" s="28" t="s">
        <v>2</v>
      </c>
      <c r="S31" s="28" t="s">
        <v>2</v>
      </c>
      <c r="T31" s="28" t="s">
        <v>2</v>
      </c>
      <c r="U31" s="28" t="s">
        <v>2</v>
      </c>
      <c r="V31" s="28" t="s">
        <v>2</v>
      </c>
      <c r="W31" s="28" t="s">
        <v>0</v>
      </c>
      <c r="X31" s="28" t="s">
        <v>2</v>
      </c>
      <c r="Y31" s="28" t="s">
        <v>2</v>
      </c>
      <c r="Z31" s="28" t="s">
        <v>2</v>
      </c>
      <c r="AA31" s="28" t="s">
        <v>2</v>
      </c>
      <c r="AB31" s="28" t="s">
        <v>2</v>
      </c>
      <c r="AC31" s="28" t="s">
        <v>2</v>
      </c>
      <c r="AD31" s="28" t="s">
        <v>2</v>
      </c>
      <c r="AE31" s="28" t="s">
        <v>2</v>
      </c>
      <c r="AF31" s="28" t="s">
        <v>2</v>
      </c>
      <c r="AG31" s="28" t="s">
        <v>2</v>
      </c>
      <c r="AH31" s="28" t="s">
        <v>2</v>
      </c>
      <c r="AI31" s="28" t="s">
        <v>2</v>
      </c>
      <c r="AJ31" s="28" t="s">
        <v>2</v>
      </c>
      <c r="AK31" s="28" t="s">
        <v>2</v>
      </c>
      <c r="AL31" s="28" t="s">
        <v>2</v>
      </c>
      <c r="AM31" s="28" t="s">
        <v>2</v>
      </c>
      <c r="AN31" s="28" t="s">
        <v>2</v>
      </c>
    </row>
    <row r="32" spans="1:40" ht="15.75" thickBot="1" x14ac:dyDescent="0.3">
      <c r="A32" s="110"/>
      <c r="B32" s="6">
        <f t="shared" si="0"/>
        <v>29</v>
      </c>
      <c r="C32" s="13" t="s">
        <v>73</v>
      </c>
      <c r="D32" s="95" t="s">
        <v>74</v>
      </c>
      <c r="E32" s="28" t="s">
        <v>0</v>
      </c>
      <c r="F32" s="28" t="s">
        <v>2</v>
      </c>
      <c r="G32" s="28" t="s">
        <v>2</v>
      </c>
      <c r="H32" s="28" t="s">
        <v>0</v>
      </c>
      <c r="I32" s="28" t="s">
        <v>2</v>
      </c>
      <c r="J32" s="28" t="s">
        <v>2</v>
      </c>
      <c r="K32" s="28" t="s">
        <v>2</v>
      </c>
      <c r="L32" s="28" t="s">
        <v>2</v>
      </c>
      <c r="M32" s="28" t="s">
        <v>2</v>
      </c>
      <c r="N32" s="28" t="s">
        <v>2</v>
      </c>
      <c r="O32" s="28" t="s">
        <v>0</v>
      </c>
      <c r="P32" s="28" t="s">
        <v>2</v>
      </c>
      <c r="Q32" s="28" t="s">
        <v>2</v>
      </c>
      <c r="R32" s="28" t="s">
        <v>2</v>
      </c>
      <c r="S32" s="28" t="s">
        <v>2</v>
      </c>
      <c r="T32" s="28" t="s">
        <v>2</v>
      </c>
      <c r="U32" s="28" t="s">
        <v>2</v>
      </c>
      <c r="V32" s="28" t="s">
        <v>2</v>
      </c>
      <c r="W32" s="28" t="s">
        <v>2</v>
      </c>
      <c r="X32" s="28" t="s">
        <v>2</v>
      </c>
      <c r="Y32" s="28" t="s">
        <v>2</v>
      </c>
      <c r="Z32" s="28" t="s">
        <v>2</v>
      </c>
      <c r="AA32" s="28" t="s">
        <v>2</v>
      </c>
      <c r="AB32" s="28" t="s">
        <v>0</v>
      </c>
      <c r="AC32" s="28" t="s">
        <v>2</v>
      </c>
      <c r="AD32" s="28" t="s">
        <v>2</v>
      </c>
      <c r="AE32" s="28" t="s">
        <v>2</v>
      </c>
      <c r="AF32" s="28" t="s">
        <v>2</v>
      </c>
      <c r="AG32" s="28" t="s">
        <v>2</v>
      </c>
      <c r="AH32" s="28" t="s">
        <v>0</v>
      </c>
      <c r="AI32" s="28" t="s">
        <v>2</v>
      </c>
      <c r="AJ32" s="28" t="s">
        <v>0</v>
      </c>
      <c r="AK32" s="28" t="s">
        <v>2</v>
      </c>
      <c r="AL32" s="28" t="s">
        <v>2</v>
      </c>
      <c r="AM32" s="28" t="s">
        <v>2</v>
      </c>
      <c r="AN32" s="28" t="s">
        <v>2</v>
      </c>
    </row>
    <row r="33" spans="1:40" ht="15.75" thickBot="1" x14ac:dyDescent="0.3">
      <c r="A33" s="110"/>
      <c r="B33" s="6">
        <f t="shared" si="0"/>
        <v>30</v>
      </c>
      <c r="C33" s="13" t="s">
        <v>75</v>
      </c>
      <c r="D33" s="95"/>
      <c r="E33" s="28" t="s">
        <v>0</v>
      </c>
      <c r="F33" s="28" t="s">
        <v>2</v>
      </c>
      <c r="G33" s="28" t="s">
        <v>2</v>
      </c>
      <c r="H33" s="28" t="s">
        <v>0</v>
      </c>
      <c r="I33" s="28" t="s">
        <v>2</v>
      </c>
      <c r="J33" s="28" t="s">
        <v>2</v>
      </c>
      <c r="K33" s="28" t="s">
        <v>2</v>
      </c>
      <c r="L33" s="28" t="s">
        <v>2</v>
      </c>
      <c r="M33" s="28" t="s">
        <v>2</v>
      </c>
      <c r="N33" s="28" t="s">
        <v>2</v>
      </c>
      <c r="O33" s="28" t="s">
        <v>0</v>
      </c>
      <c r="P33" s="28" t="s">
        <v>2</v>
      </c>
      <c r="Q33" s="28" t="s">
        <v>0</v>
      </c>
      <c r="R33" s="28" t="s">
        <v>2</v>
      </c>
      <c r="S33" s="28" t="s">
        <v>2</v>
      </c>
      <c r="T33" s="28" t="s">
        <v>2</v>
      </c>
      <c r="U33" s="28" t="s">
        <v>2</v>
      </c>
      <c r="V33" s="28" t="s">
        <v>2</v>
      </c>
      <c r="W33" s="28" t="s">
        <v>0</v>
      </c>
      <c r="X33" s="28" t="s">
        <v>2</v>
      </c>
      <c r="Y33" s="28" t="s">
        <v>2</v>
      </c>
      <c r="Z33" s="28" t="s">
        <v>2</v>
      </c>
      <c r="AA33" s="28" t="s">
        <v>2</v>
      </c>
      <c r="AB33" s="28" t="s">
        <v>2</v>
      </c>
      <c r="AC33" s="28" t="s">
        <v>2</v>
      </c>
      <c r="AD33" s="28" t="s">
        <v>2</v>
      </c>
      <c r="AE33" s="28" t="s">
        <v>2</v>
      </c>
      <c r="AF33" s="28" t="s">
        <v>2</v>
      </c>
      <c r="AG33" s="28" t="s">
        <v>2</v>
      </c>
      <c r="AH33" s="28" t="s">
        <v>2</v>
      </c>
      <c r="AI33" s="28" t="s">
        <v>2</v>
      </c>
      <c r="AJ33" s="28" t="s">
        <v>2</v>
      </c>
      <c r="AK33" s="28" t="s">
        <v>2</v>
      </c>
      <c r="AL33" s="28" t="s">
        <v>2</v>
      </c>
      <c r="AM33" s="28" t="s">
        <v>2</v>
      </c>
      <c r="AN33" s="28" t="s">
        <v>2</v>
      </c>
    </row>
    <row r="34" spans="1:40" ht="15.75" thickBot="1" x14ac:dyDescent="0.3">
      <c r="A34" s="110"/>
      <c r="B34" s="6">
        <v>38</v>
      </c>
      <c r="C34" s="13" t="s">
        <v>76</v>
      </c>
      <c r="D34" s="95"/>
      <c r="E34" s="28" t="s">
        <v>0</v>
      </c>
      <c r="F34" s="28" t="s">
        <v>2</v>
      </c>
      <c r="G34" s="28" t="s">
        <v>2</v>
      </c>
      <c r="H34" s="28" t="s">
        <v>0</v>
      </c>
      <c r="I34" s="28" t="s">
        <v>2</v>
      </c>
      <c r="J34" s="28" t="s">
        <v>2</v>
      </c>
      <c r="K34" s="28" t="s">
        <v>2</v>
      </c>
      <c r="L34" s="28" t="s">
        <v>2</v>
      </c>
      <c r="M34" s="28" t="s">
        <v>2</v>
      </c>
      <c r="N34" s="28" t="s">
        <v>2</v>
      </c>
      <c r="O34" s="28" t="s">
        <v>2</v>
      </c>
      <c r="P34" s="28" t="s">
        <v>2</v>
      </c>
      <c r="Q34" s="28" t="s">
        <v>2</v>
      </c>
      <c r="R34" s="28" t="s">
        <v>2</v>
      </c>
      <c r="S34" s="28" t="s">
        <v>2</v>
      </c>
      <c r="T34" s="28" t="s">
        <v>2</v>
      </c>
      <c r="U34" s="28" t="s">
        <v>2</v>
      </c>
      <c r="V34" s="28" t="s">
        <v>2</v>
      </c>
      <c r="W34" s="28" t="s">
        <v>2</v>
      </c>
      <c r="X34" s="28" t="s">
        <v>2</v>
      </c>
      <c r="Y34" s="28" t="s">
        <v>2</v>
      </c>
      <c r="Z34" s="28" t="s">
        <v>2</v>
      </c>
      <c r="AA34" s="28" t="s">
        <v>2</v>
      </c>
      <c r="AB34" s="28" t="s">
        <v>2</v>
      </c>
      <c r="AC34" s="28" t="s">
        <v>2</v>
      </c>
      <c r="AD34" s="28" t="s">
        <v>2</v>
      </c>
      <c r="AE34" s="28" t="s">
        <v>2</v>
      </c>
      <c r="AF34" s="28" t="s">
        <v>2</v>
      </c>
      <c r="AG34" s="28" t="s">
        <v>2</v>
      </c>
      <c r="AH34" s="28" t="s">
        <v>2</v>
      </c>
      <c r="AI34" s="28" t="s">
        <v>2</v>
      </c>
      <c r="AJ34" s="28" t="s">
        <v>2</v>
      </c>
      <c r="AK34" s="28" t="s">
        <v>2</v>
      </c>
      <c r="AL34" s="28" t="s">
        <v>2</v>
      </c>
      <c r="AM34" s="28" t="s">
        <v>2</v>
      </c>
      <c r="AN34" s="28" t="s">
        <v>2</v>
      </c>
    </row>
    <row r="35" spans="1:40" ht="15.75" thickBot="1" x14ac:dyDescent="0.3">
      <c r="A35" s="110"/>
      <c r="B35" s="3">
        <v>39</v>
      </c>
      <c r="C35" s="13" t="s">
        <v>77</v>
      </c>
      <c r="D35" s="95"/>
      <c r="E35" s="28" t="s">
        <v>0</v>
      </c>
      <c r="F35" s="28" t="s">
        <v>2</v>
      </c>
      <c r="G35" s="28" t="s">
        <v>2</v>
      </c>
      <c r="H35" s="28" t="s">
        <v>0</v>
      </c>
      <c r="I35" s="28" t="s">
        <v>2</v>
      </c>
      <c r="J35" s="28" t="s">
        <v>2</v>
      </c>
      <c r="K35" s="28" t="s">
        <v>2</v>
      </c>
      <c r="L35" s="28" t="s">
        <v>2</v>
      </c>
      <c r="M35" s="28" t="s">
        <v>2</v>
      </c>
      <c r="N35" s="28" t="s">
        <v>2</v>
      </c>
      <c r="O35" s="28" t="s">
        <v>2</v>
      </c>
      <c r="P35" s="28" t="s">
        <v>2</v>
      </c>
      <c r="Q35" s="28" t="s">
        <v>2</v>
      </c>
      <c r="R35" s="28" t="s">
        <v>2</v>
      </c>
      <c r="S35" s="28" t="s">
        <v>2</v>
      </c>
      <c r="T35" s="28" t="s">
        <v>0</v>
      </c>
      <c r="U35" s="28" t="s">
        <v>0</v>
      </c>
      <c r="V35" s="28" t="s">
        <v>2</v>
      </c>
      <c r="W35" s="28" t="s">
        <v>2</v>
      </c>
      <c r="X35" s="28" t="s">
        <v>2</v>
      </c>
      <c r="Y35" s="28" t="s">
        <v>2</v>
      </c>
      <c r="Z35" s="28" t="s">
        <v>0</v>
      </c>
      <c r="AA35" s="28" t="s">
        <v>2</v>
      </c>
      <c r="AB35" s="28" t="s">
        <v>2</v>
      </c>
      <c r="AC35" s="28" t="s">
        <v>2</v>
      </c>
      <c r="AD35" s="28" t="s">
        <v>2</v>
      </c>
      <c r="AE35" s="28" t="s">
        <v>2</v>
      </c>
      <c r="AF35" s="28" t="s">
        <v>0</v>
      </c>
      <c r="AG35" s="28" t="s">
        <v>2</v>
      </c>
      <c r="AH35" s="28" t="s">
        <v>2</v>
      </c>
      <c r="AI35" s="28" t="s">
        <v>2</v>
      </c>
      <c r="AJ35" s="28" t="s">
        <v>2</v>
      </c>
      <c r="AK35" s="28" t="s">
        <v>2</v>
      </c>
      <c r="AL35" s="28" t="s">
        <v>2</v>
      </c>
      <c r="AM35" s="28" t="s">
        <v>2</v>
      </c>
      <c r="AN35" s="28" t="s">
        <v>2</v>
      </c>
    </row>
    <row r="36" spans="1:40" ht="15.75" thickBot="1" x14ac:dyDescent="0.3">
      <c r="A36" s="110"/>
      <c r="B36" s="6">
        <v>40</v>
      </c>
      <c r="C36" s="13" t="s">
        <v>59</v>
      </c>
      <c r="D36" s="95"/>
      <c r="E36" s="28" t="s">
        <v>0</v>
      </c>
      <c r="F36" s="28" t="s">
        <v>2</v>
      </c>
      <c r="G36" s="28" t="s">
        <v>2</v>
      </c>
      <c r="H36" s="28" t="s">
        <v>0</v>
      </c>
      <c r="I36" s="28" t="s">
        <v>2</v>
      </c>
      <c r="J36" s="28" t="s">
        <v>2</v>
      </c>
      <c r="K36" s="28" t="s">
        <v>2</v>
      </c>
      <c r="L36" s="28" t="s">
        <v>2</v>
      </c>
      <c r="M36" s="28" t="s">
        <v>2</v>
      </c>
      <c r="N36" s="28" t="s">
        <v>2</v>
      </c>
      <c r="O36" s="28" t="s">
        <v>2</v>
      </c>
      <c r="P36" s="28" t="s">
        <v>2</v>
      </c>
      <c r="Q36" s="28" t="s">
        <v>2</v>
      </c>
      <c r="R36" s="28" t="s">
        <v>2</v>
      </c>
      <c r="S36" s="28" t="s">
        <v>2</v>
      </c>
      <c r="T36" s="28" t="s">
        <v>2</v>
      </c>
      <c r="U36" s="28" t="s">
        <v>2</v>
      </c>
      <c r="V36" s="28" t="s">
        <v>2</v>
      </c>
      <c r="W36" s="28" t="s">
        <v>0</v>
      </c>
      <c r="X36" s="28" t="s">
        <v>2</v>
      </c>
      <c r="Y36" s="28" t="s">
        <v>2</v>
      </c>
      <c r="Z36" s="28" t="s">
        <v>2</v>
      </c>
      <c r="AA36" s="28" t="s">
        <v>2</v>
      </c>
      <c r="AB36" s="28" t="s">
        <v>2</v>
      </c>
      <c r="AC36" s="28" t="s">
        <v>2</v>
      </c>
      <c r="AD36" s="28" t="s">
        <v>2</v>
      </c>
      <c r="AE36" s="28" t="s">
        <v>0</v>
      </c>
      <c r="AF36" s="28" t="s">
        <v>2</v>
      </c>
      <c r="AG36" s="28" t="s">
        <v>2</v>
      </c>
      <c r="AH36" s="28" t="s">
        <v>0</v>
      </c>
      <c r="AI36" s="28" t="s">
        <v>2</v>
      </c>
      <c r="AJ36" s="28" t="s">
        <v>2</v>
      </c>
      <c r="AK36" s="28" t="s">
        <v>2</v>
      </c>
      <c r="AL36" s="28" t="s">
        <v>2</v>
      </c>
      <c r="AM36" s="28" t="s">
        <v>2</v>
      </c>
      <c r="AN36" s="28" t="s">
        <v>2</v>
      </c>
    </row>
    <row r="37" spans="1:40" ht="15.75" thickBot="1" x14ac:dyDescent="0.3">
      <c r="A37" s="110"/>
      <c r="B37" s="3">
        <v>41</v>
      </c>
      <c r="C37" s="13" t="s">
        <v>61</v>
      </c>
      <c r="D37" s="95"/>
      <c r="E37" s="28" t="s">
        <v>0</v>
      </c>
      <c r="F37" s="28" t="s">
        <v>2</v>
      </c>
      <c r="G37" s="28" t="s">
        <v>2</v>
      </c>
      <c r="H37" s="28" t="s">
        <v>0</v>
      </c>
      <c r="I37" s="28" t="s">
        <v>2</v>
      </c>
      <c r="J37" s="28" t="s">
        <v>2</v>
      </c>
      <c r="K37" s="28" t="s">
        <v>2</v>
      </c>
      <c r="L37" s="28" t="s">
        <v>2</v>
      </c>
      <c r="M37" s="28" t="s">
        <v>2</v>
      </c>
      <c r="N37" s="28" t="s">
        <v>2</v>
      </c>
      <c r="O37" s="28" t="s">
        <v>2</v>
      </c>
      <c r="P37" s="28" t="s">
        <v>2</v>
      </c>
      <c r="Q37" s="28" t="s">
        <v>2</v>
      </c>
      <c r="R37" s="28" t="s">
        <v>2</v>
      </c>
      <c r="S37" s="28" t="s">
        <v>2</v>
      </c>
      <c r="T37" s="28" t="s">
        <v>2</v>
      </c>
      <c r="U37" s="28" t="s">
        <v>2</v>
      </c>
      <c r="V37" s="28" t="s">
        <v>2</v>
      </c>
      <c r="W37" s="28" t="s">
        <v>2</v>
      </c>
      <c r="X37" s="28" t="s">
        <v>2</v>
      </c>
      <c r="Y37" s="28" t="s">
        <v>2</v>
      </c>
      <c r="Z37" s="28" t="s">
        <v>2</v>
      </c>
      <c r="AA37" s="28" t="s">
        <v>2</v>
      </c>
      <c r="AB37" s="28" t="s">
        <v>2</v>
      </c>
      <c r="AC37" s="28" t="s">
        <v>2</v>
      </c>
      <c r="AD37" s="28" t="s">
        <v>2</v>
      </c>
      <c r="AE37" s="28" t="s">
        <v>2</v>
      </c>
      <c r="AF37" s="28" t="s">
        <v>2</v>
      </c>
      <c r="AG37" s="28" t="s">
        <v>2</v>
      </c>
      <c r="AH37" s="28" t="s">
        <v>2</v>
      </c>
      <c r="AI37" s="28" t="s">
        <v>2</v>
      </c>
      <c r="AJ37" s="28" t="s">
        <v>2</v>
      </c>
      <c r="AK37" s="28" t="s">
        <v>2</v>
      </c>
      <c r="AL37" s="28" t="s">
        <v>2</v>
      </c>
      <c r="AM37" s="28" t="s">
        <v>2</v>
      </c>
      <c r="AN37" s="28" t="s">
        <v>2</v>
      </c>
    </row>
    <row r="38" spans="1:40" ht="15.75" thickBot="1" x14ac:dyDescent="0.3">
      <c r="A38" s="110"/>
      <c r="B38" s="6">
        <v>42</v>
      </c>
      <c r="C38" s="13" t="s">
        <v>62</v>
      </c>
      <c r="D38" s="95"/>
      <c r="E38" s="28" t="s">
        <v>0</v>
      </c>
      <c r="F38" s="28" t="s">
        <v>2</v>
      </c>
      <c r="G38" s="28" t="s">
        <v>2</v>
      </c>
      <c r="H38" s="28" t="s">
        <v>0</v>
      </c>
      <c r="I38" s="28" t="s">
        <v>2</v>
      </c>
      <c r="J38" s="28" t="s">
        <v>2</v>
      </c>
      <c r="K38" s="28" t="s">
        <v>2</v>
      </c>
      <c r="L38" s="28" t="s">
        <v>2</v>
      </c>
      <c r="M38" s="28" t="s">
        <v>2</v>
      </c>
      <c r="N38" s="28" t="s">
        <v>2</v>
      </c>
      <c r="O38" s="28" t="s">
        <v>2</v>
      </c>
      <c r="P38" s="28" t="s">
        <v>2</v>
      </c>
      <c r="Q38" s="28" t="s">
        <v>2</v>
      </c>
      <c r="R38" s="28" t="s">
        <v>2</v>
      </c>
      <c r="S38" s="28" t="s">
        <v>2</v>
      </c>
      <c r="T38" s="28" t="s">
        <v>2</v>
      </c>
      <c r="U38" s="28" t="s">
        <v>2</v>
      </c>
      <c r="V38" s="28" t="s">
        <v>2</v>
      </c>
      <c r="W38" s="28" t="s">
        <v>0</v>
      </c>
      <c r="X38" s="28" t="s">
        <v>2</v>
      </c>
      <c r="Y38" s="28" t="s">
        <v>2</v>
      </c>
      <c r="Z38" s="28" t="s">
        <v>2</v>
      </c>
      <c r="AA38" s="28" t="s">
        <v>2</v>
      </c>
      <c r="AB38" s="28" t="s">
        <v>2</v>
      </c>
      <c r="AC38" s="28" t="s">
        <v>2</v>
      </c>
      <c r="AD38" s="28" t="s">
        <v>0</v>
      </c>
      <c r="AE38" s="28" t="s">
        <v>2</v>
      </c>
      <c r="AF38" s="28" t="s">
        <v>2</v>
      </c>
      <c r="AG38" s="28" t="s">
        <v>2</v>
      </c>
      <c r="AH38" s="28" t="s">
        <v>2</v>
      </c>
      <c r="AI38" s="28" t="s">
        <v>2</v>
      </c>
      <c r="AJ38" s="28" t="s">
        <v>2</v>
      </c>
      <c r="AK38" s="28" t="s">
        <v>2</v>
      </c>
      <c r="AL38" s="28" t="s">
        <v>2</v>
      </c>
      <c r="AM38" s="28" t="s">
        <v>2</v>
      </c>
      <c r="AN38" s="28" t="s">
        <v>2</v>
      </c>
    </row>
    <row r="39" spans="1:40" ht="15.75" thickBot="1" x14ac:dyDescent="0.3">
      <c r="A39" s="110"/>
      <c r="B39" s="7">
        <v>43</v>
      </c>
      <c r="C39" s="17" t="s">
        <v>78</v>
      </c>
      <c r="D39" s="99"/>
      <c r="E39" s="28" t="s">
        <v>0</v>
      </c>
      <c r="F39" s="28" t="s">
        <v>2</v>
      </c>
      <c r="G39" s="28" t="s">
        <v>2</v>
      </c>
      <c r="H39" s="28" t="s">
        <v>0</v>
      </c>
      <c r="I39" s="28" t="s">
        <v>2</v>
      </c>
      <c r="J39" s="28" t="s">
        <v>2</v>
      </c>
      <c r="K39" s="28" t="s">
        <v>2</v>
      </c>
      <c r="L39" s="28" t="s">
        <v>2</v>
      </c>
      <c r="M39" s="28" t="s">
        <v>2</v>
      </c>
      <c r="N39" s="28" t="s">
        <v>2</v>
      </c>
      <c r="O39" s="28" t="s">
        <v>2</v>
      </c>
      <c r="P39" s="28" t="s">
        <v>2</v>
      </c>
      <c r="Q39" s="28" t="s">
        <v>2</v>
      </c>
      <c r="R39" s="28" t="s">
        <v>2</v>
      </c>
      <c r="S39" s="28" t="s">
        <v>2</v>
      </c>
      <c r="T39" s="28" t="s">
        <v>2</v>
      </c>
      <c r="U39" s="28" t="s">
        <v>2</v>
      </c>
      <c r="V39" s="28" t="s">
        <v>2</v>
      </c>
      <c r="W39" s="28" t="s">
        <v>2</v>
      </c>
      <c r="X39" s="28" t="s">
        <v>2</v>
      </c>
      <c r="Y39" s="28" t="s">
        <v>2</v>
      </c>
      <c r="Z39" s="28" t="s">
        <v>2</v>
      </c>
      <c r="AA39" s="28" t="s">
        <v>2</v>
      </c>
      <c r="AB39" s="28" t="s">
        <v>2</v>
      </c>
      <c r="AC39" s="28" t="s">
        <v>2</v>
      </c>
      <c r="AD39" s="28" t="s">
        <v>2</v>
      </c>
      <c r="AE39" s="28" t="s">
        <v>2</v>
      </c>
      <c r="AF39" s="28" t="s">
        <v>2</v>
      </c>
      <c r="AG39" s="28" t="s">
        <v>2</v>
      </c>
      <c r="AH39" s="28" t="s">
        <v>2</v>
      </c>
      <c r="AI39" s="28" t="s">
        <v>2</v>
      </c>
      <c r="AJ39" s="28" t="s">
        <v>2</v>
      </c>
      <c r="AK39" s="28" t="s">
        <v>2</v>
      </c>
      <c r="AL39" s="28" t="s">
        <v>2</v>
      </c>
      <c r="AM39" s="28" t="s">
        <v>2</v>
      </c>
      <c r="AN39" s="28" t="s">
        <v>2</v>
      </c>
    </row>
    <row r="40" spans="1:40" ht="15.75" thickBot="1" x14ac:dyDescent="0.3">
      <c r="A40" s="112" t="s">
        <v>79</v>
      </c>
      <c r="B40" s="2">
        <f>+B39+1</f>
        <v>44</v>
      </c>
      <c r="C40" s="12" t="s">
        <v>45</v>
      </c>
      <c r="D40" s="94"/>
      <c r="E40" s="28" t="s">
        <v>0</v>
      </c>
      <c r="F40" s="28" t="s">
        <v>2</v>
      </c>
      <c r="G40" s="28" t="s">
        <v>2</v>
      </c>
      <c r="H40" s="28" t="s">
        <v>0</v>
      </c>
      <c r="I40" s="28" t="s">
        <v>2</v>
      </c>
      <c r="J40" s="28" t="s">
        <v>2</v>
      </c>
      <c r="K40" s="28" t="s">
        <v>2</v>
      </c>
      <c r="L40" s="28" t="s">
        <v>2</v>
      </c>
      <c r="M40" s="28" t="s">
        <v>2</v>
      </c>
      <c r="N40" s="28" t="s">
        <v>2</v>
      </c>
      <c r="O40" s="28" t="s">
        <v>2</v>
      </c>
      <c r="P40" s="28" t="s">
        <v>2</v>
      </c>
      <c r="Q40" s="28" t="s">
        <v>2</v>
      </c>
      <c r="R40" s="28" t="s">
        <v>2</v>
      </c>
      <c r="S40" s="28" t="s">
        <v>2</v>
      </c>
      <c r="T40" s="28" t="s">
        <v>2</v>
      </c>
      <c r="U40" s="28" t="s">
        <v>2</v>
      </c>
      <c r="V40" s="28" t="s">
        <v>2</v>
      </c>
      <c r="W40" s="28" t="s">
        <v>2</v>
      </c>
      <c r="X40" s="28" t="s">
        <v>2</v>
      </c>
      <c r="Y40" s="28" t="s">
        <v>2</v>
      </c>
      <c r="Z40" s="28" t="s">
        <v>2</v>
      </c>
      <c r="AA40" s="28" t="s">
        <v>2</v>
      </c>
      <c r="AB40" s="28" t="s">
        <v>2</v>
      </c>
      <c r="AC40" s="28" t="s">
        <v>2</v>
      </c>
      <c r="AD40" s="28" t="s">
        <v>2</v>
      </c>
      <c r="AE40" s="28" t="s">
        <v>2</v>
      </c>
      <c r="AF40" s="28" t="s">
        <v>2</v>
      </c>
      <c r="AG40" s="28" t="s">
        <v>2</v>
      </c>
      <c r="AH40" s="28" t="s">
        <v>2</v>
      </c>
      <c r="AI40" s="28" t="s">
        <v>2</v>
      </c>
      <c r="AJ40" s="28" t="s">
        <v>2</v>
      </c>
      <c r="AK40" s="28" t="s">
        <v>2</v>
      </c>
      <c r="AL40" s="28" t="s">
        <v>2</v>
      </c>
      <c r="AM40" s="28" t="s">
        <v>2</v>
      </c>
      <c r="AN40" s="28" t="s">
        <v>2</v>
      </c>
    </row>
    <row r="41" spans="1:40" ht="15.75" thickBot="1" x14ac:dyDescent="0.3">
      <c r="A41" s="110"/>
      <c r="B41" s="6">
        <f>+B40+1</f>
        <v>45</v>
      </c>
      <c r="C41" s="13" t="s">
        <v>47</v>
      </c>
      <c r="D41" s="95"/>
      <c r="E41" s="28" t="s">
        <v>0</v>
      </c>
      <c r="F41" s="28" t="s">
        <v>2</v>
      </c>
      <c r="G41" s="28" t="s">
        <v>2</v>
      </c>
      <c r="H41" s="28" t="s">
        <v>0</v>
      </c>
      <c r="I41" s="28" t="s">
        <v>2</v>
      </c>
      <c r="J41" s="28" t="s">
        <v>2</v>
      </c>
      <c r="K41" s="28" t="s">
        <v>2</v>
      </c>
      <c r="L41" s="28" t="s">
        <v>2</v>
      </c>
      <c r="M41" s="28" t="s">
        <v>2</v>
      </c>
      <c r="N41" s="28" t="s">
        <v>2</v>
      </c>
      <c r="O41" s="28" t="s">
        <v>2</v>
      </c>
      <c r="P41" s="28" t="s">
        <v>2</v>
      </c>
      <c r="Q41" s="28" t="s">
        <v>2</v>
      </c>
      <c r="R41" s="28" t="s">
        <v>2</v>
      </c>
      <c r="S41" s="28" t="s">
        <v>2</v>
      </c>
      <c r="T41" s="28" t="s">
        <v>2</v>
      </c>
      <c r="U41" s="28" t="s">
        <v>2</v>
      </c>
      <c r="V41" s="28" t="s">
        <v>2</v>
      </c>
      <c r="W41" s="28" t="s">
        <v>2</v>
      </c>
      <c r="X41" s="28" t="s">
        <v>2</v>
      </c>
      <c r="Y41" s="28" t="s">
        <v>2</v>
      </c>
      <c r="Z41" s="28" t="s">
        <v>2</v>
      </c>
      <c r="AA41" s="28" t="s">
        <v>2</v>
      </c>
      <c r="AB41" s="28" t="s">
        <v>2</v>
      </c>
      <c r="AC41" s="28" t="s">
        <v>2</v>
      </c>
      <c r="AD41" s="28" t="s">
        <v>2</v>
      </c>
      <c r="AE41" s="28" t="s">
        <v>2</v>
      </c>
      <c r="AF41" s="28" t="s">
        <v>2</v>
      </c>
      <c r="AG41" s="28" t="s">
        <v>2</v>
      </c>
      <c r="AH41" s="28" t="s">
        <v>2</v>
      </c>
      <c r="AI41" s="28" t="s">
        <v>2</v>
      </c>
      <c r="AJ41" s="28" t="s">
        <v>2</v>
      </c>
      <c r="AK41" s="28" t="s">
        <v>2</v>
      </c>
      <c r="AL41" s="28" t="s">
        <v>2</v>
      </c>
      <c r="AM41" s="28" t="s">
        <v>2</v>
      </c>
      <c r="AN41" s="28" t="s">
        <v>2</v>
      </c>
    </row>
    <row r="42" spans="1:40" ht="15.75" thickBot="1" x14ac:dyDescent="0.3">
      <c r="A42" s="110"/>
      <c r="B42" s="6">
        <f>+B41+1</f>
        <v>46</v>
      </c>
      <c r="C42" s="13" t="s">
        <v>68</v>
      </c>
      <c r="D42" s="95"/>
      <c r="E42" s="28" t="s">
        <v>0</v>
      </c>
      <c r="F42" s="28" t="s">
        <v>2</v>
      </c>
      <c r="G42" s="28" t="s">
        <v>2</v>
      </c>
      <c r="H42" s="28" t="s">
        <v>0</v>
      </c>
      <c r="I42" s="28" t="s">
        <v>2</v>
      </c>
      <c r="J42" s="28" t="s">
        <v>2</v>
      </c>
      <c r="K42" s="28" t="s">
        <v>2</v>
      </c>
      <c r="L42" s="28" t="s">
        <v>2</v>
      </c>
      <c r="M42" s="28" t="s">
        <v>2</v>
      </c>
      <c r="N42" s="28" t="s">
        <v>2</v>
      </c>
      <c r="O42" s="28" t="s">
        <v>2</v>
      </c>
      <c r="P42" s="28" t="s">
        <v>2</v>
      </c>
      <c r="Q42" s="28" t="s">
        <v>2</v>
      </c>
      <c r="R42" s="28" t="s">
        <v>2</v>
      </c>
      <c r="S42" s="28" t="s">
        <v>2</v>
      </c>
      <c r="T42" s="28" t="s">
        <v>2</v>
      </c>
      <c r="U42" s="28" t="s">
        <v>2</v>
      </c>
      <c r="V42" s="28" t="s">
        <v>2</v>
      </c>
      <c r="W42" s="28" t="s">
        <v>2</v>
      </c>
      <c r="X42" s="28" t="s">
        <v>2</v>
      </c>
      <c r="Y42" s="28" t="s">
        <v>2</v>
      </c>
      <c r="Z42" s="28" t="s">
        <v>2</v>
      </c>
      <c r="AA42" s="28" t="s">
        <v>2</v>
      </c>
      <c r="AB42" s="28" t="s">
        <v>2</v>
      </c>
      <c r="AC42" s="28" t="s">
        <v>2</v>
      </c>
      <c r="AD42" s="28" t="s">
        <v>2</v>
      </c>
      <c r="AE42" s="28" t="s">
        <v>0</v>
      </c>
      <c r="AF42" s="28" t="s">
        <v>2</v>
      </c>
      <c r="AG42" s="28" t="s">
        <v>2</v>
      </c>
      <c r="AH42" s="28" t="s">
        <v>2</v>
      </c>
      <c r="AI42" s="28" t="s">
        <v>2</v>
      </c>
      <c r="AJ42" s="28" t="s">
        <v>2</v>
      </c>
      <c r="AK42" s="28" t="s">
        <v>2</v>
      </c>
      <c r="AL42" s="28" t="s">
        <v>2</v>
      </c>
      <c r="AM42" s="28" t="s">
        <v>2</v>
      </c>
      <c r="AN42" s="28" t="s">
        <v>2</v>
      </c>
    </row>
    <row r="43" spans="1:40" ht="15.75" thickBot="1" x14ac:dyDescent="0.3">
      <c r="A43" s="110"/>
      <c r="B43" s="6">
        <f>+B42+1</f>
        <v>47</v>
      </c>
      <c r="C43" s="13" t="s">
        <v>80</v>
      </c>
      <c r="D43" s="95"/>
      <c r="E43" s="28" t="s">
        <v>0</v>
      </c>
      <c r="F43" s="28" t="s">
        <v>2</v>
      </c>
      <c r="G43" s="28" t="s">
        <v>2</v>
      </c>
      <c r="H43" s="28" t="s">
        <v>0</v>
      </c>
      <c r="I43" s="28" t="s">
        <v>2</v>
      </c>
      <c r="J43" s="28" t="s">
        <v>2</v>
      </c>
      <c r="K43" s="28" t="s">
        <v>2</v>
      </c>
      <c r="L43" s="28" t="s">
        <v>2</v>
      </c>
      <c r="M43" s="28" t="s">
        <v>2</v>
      </c>
      <c r="N43" s="28" t="s">
        <v>2</v>
      </c>
      <c r="O43" s="28" t="s">
        <v>0</v>
      </c>
      <c r="P43" s="28" t="s">
        <v>2</v>
      </c>
      <c r="Q43" s="28" t="s">
        <v>2</v>
      </c>
      <c r="R43" s="28" t="s">
        <v>2</v>
      </c>
      <c r="S43" s="28" t="s">
        <v>2</v>
      </c>
      <c r="T43" s="28" t="s">
        <v>2</v>
      </c>
      <c r="U43" s="28" t="s">
        <v>2</v>
      </c>
      <c r="V43" s="28" t="s">
        <v>2</v>
      </c>
      <c r="W43" s="28" t="s">
        <v>2</v>
      </c>
      <c r="X43" s="28" t="s">
        <v>2</v>
      </c>
      <c r="Y43" s="28" t="s">
        <v>2</v>
      </c>
      <c r="Z43" s="28" t="s">
        <v>2</v>
      </c>
      <c r="AA43" s="28" t="s">
        <v>2</v>
      </c>
      <c r="AB43" s="28" t="s">
        <v>2</v>
      </c>
      <c r="AC43" s="28" t="s">
        <v>2</v>
      </c>
      <c r="AD43" s="28" t="s">
        <v>2</v>
      </c>
      <c r="AE43" s="28" t="s">
        <v>2</v>
      </c>
      <c r="AF43" s="28" t="s">
        <v>2</v>
      </c>
      <c r="AG43" s="28" t="s">
        <v>2</v>
      </c>
      <c r="AH43" s="28" t="s">
        <v>0</v>
      </c>
      <c r="AI43" s="28" t="s">
        <v>2</v>
      </c>
      <c r="AJ43" s="28" t="s">
        <v>2</v>
      </c>
      <c r="AK43" s="28" t="s">
        <v>2</v>
      </c>
      <c r="AL43" s="28" t="s">
        <v>2</v>
      </c>
      <c r="AM43" s="28" t="s">
        <v>2</v>
      </c>
      <c r="AN43" s="28" t="s">
        <v>2</v>
      </c>
    </row>
    <row r="44" spans="1:40" ht="15.75" thickBot="1" x14ac:dyDescent="0.3">
      <c r="A44" s="110"/>
      <c r="B44" s="6">
        <v>38</v>
      </c>
      <c r="C44" s="13" t="s">
        <v>76</v>
      </c>
      <c r="D44" s="95"/>
      <c r="E44" s="28" t="s">
        <v>0</v>
      </c>
      <c r="F44" s="28" t="s">
        <v>2</v>
      </c>
      <c r="G44" s="28" t="s">
        <v>2</v>
      </c>
      <c r="H44" s="28" t="s">
        <v>0</v>
      </c>
      <c r="I44" s="28" t="s">
        <v>2</v>
      </c>
      <c r="J44" s="28" t="s">
        <v>2</v>
      </c>
      <c r="K44" s="28" t="s">
        <v>2</v>
      </c>
      <c r="L44" s="28" t="s">
        <v>2</v>
      </c>
      <c r="M44" s="28" t="s">
        <v>2</v>
      </c>
      <c r="N44" s="28" t="s">
        <v>2</v>
      </c>
      <c r="O44" s="28" t="s">
        <v>2</v>
      </c>
      <c r="P44" s="28" t="s">
        <v>2</v>
      </c>
      <c r="Q44" s="28" t="s">
        <v>2</v>
      </c>
      <c r="R44" s="28" t="s">
        <v>2</v>
      </c>
      <c r="S44" s="28" t="s">
        <v>2</v>
      </c>
      <c r="T44" s="28" t="s">
        <v>2</v>
      </c>
      <c r="U44" s="28" t="s">
        <v>2</v>
      </c>
      <c r="V44" s="28" t="s">
        <v>2</v>
      </c>
      <c r="W44" s="28" t="s">
        <v>2</v>
      </c>
      <c r="X44" s="28" t="s">
        <v>2</v>
      </c>
      <c r="Y44" s="28" t="s">
        <v>2</v>
      </c>
      <c r="Z44" s="28" t="s">
        <v>2</v>
      </c>
      <c r="AA44" s="28" t="s">
        <v>2</v>
      </c>
      <c r="AB44" s="28" t="s">
        <v>2</v>
      </c>
      <c r="AC44" s="28" t="s">
        <v>2</v>
      </c>
      <c r="AD44" s="28" t="s">
        <v>2</v>
      </c>
      <c r="AE44" s="28" t="s">
        <v>2</v>
      </c>
      <c r="AF44" s="28" t="s">
        <v>2</v>
      </c>
      <c r="AG44" s="28" t="s">
        <v>2</v>
      </c>
      <c r="AH44" s="28" t="s">
        <v>2</v>
      </c>
      <c r="AI44" s="28" t="s">
        <v>2</v>
      </c>
      <c r="AJ44" s="28" t="s">
        <v>2</v>
      </c>
      <c r="AK44" s="28" t="s">
        <v>2</v>
      </c>
      <c r="AL44" s="28" t="s">
        <v>2</v>
      </c>
      <c r="AM44" s="28" t="s">
        <v>2</v>
      </c>
      <c r="AN44" s="28" t="s">
        <v>2</v>
      </c>
    </row>
    <row r="45" spans="1:40" ht="15.75" thickBot="1" x14ac:dyDescent="0.3">
      <c r="A45" s="110"/>
      <c r="B45" s="3">
        <v>39</v>
      </c>
      <c r="C45" s="13" t="s">
        <v>77</v>
      </c>
      <c r="D45" s="95"/>
      <c r="E45" s="28" t="s">
        <v>0</v>
      </c>
      <c r="F45" s="28" t="s">
        <v>2</v>
      </c>
      <c r="G45" s="28" t="s">
        <v>2</v>
      </c>
      <c r="H45" s="28" t="s">
        <v>0</v>
      </c>
      <c r="I45" s="28" t="s">
        <v>2</v>
      </c>
      <c r="J45" s="28" t="s">
        <v>2</v>
      </c>
      <c r="K45" s="28" t="s">
        <v>2</v>
      </c>
      <c r="L45" s="28" t="s">
        <v>2</v>
      </c>
      <c r="M45" s="28" t="s">
        <v>2</v>
      </c>
      <c r="N45" s="28" t="s">
        <v>2</v>
      </c>
      <c r="O45" s="28" t="s">
        <v>2</v>
      </c>
      <c r="P45" s="28" t="s">
        <v>2</v>
      </c>
      <c r="Q45" s="28" t="s">
        <v>2</v>
      </c>
      <c r="R45" s="28" t="s">
        <v>2</v>
      </c>
      <c r="S45" s="28" t="s">
        <v>2</v>
      </c>
      <c r="T45" s="28" t="s">
        <v>0</v>
      </c>
      <c r="U45" s="28" t="s">
        <v>0</v>
      </c>
      <c r="V45" s="28" t="s">
        <v>2</v>
      </c>
      <c r="W45" s="28" t="s">
        <v>0</v>
      </c>
      <c r="X45" s="28" t="s">
        <v>2</v>
      </c>
      <c r="Y45" s="28" t="s">
        <v>2</v>
      </c>
      <c r="Z45" s="28" t="s">
        <v>0</v>
      </c>
      <c r="AA45" s="28" t="s">
        <v>2</v>
      </c>
      <c r="AB45" s="28" t="s">
        <v>2</v>
      </c>
      <c r="AC45" s="28" t="s">
        <v>2</v>
      </c>
      <c r="AD45" s="28" t="s">
        <v>2</v>
      </c>
      <c r="AE45" s="28" t="s">
        <v>2</v>
      </c>
      <c r="AF45" s="28" t="s">
        <v>0</v>
      </c>
      <c r="AG45" s="28" t="s">
        <v>2</v>
      </c>
      <c r="AH45" s="28" t="s">
        <v>2</v>
      </c>
      <c r="AI45" s="28" t="s">
        <v>2</v>
      </c>
      <c r="AJ45" s="28" t="s">
        <v>2</v>
      </c>
      <c r="AK45" s="28" t="s">
        <v>2</v>
      </c>
      <c r="AL45" s="28" t="s">
        <v>2</v>
      </c>
      <c r="AM45" s="28" t="s">
        <v>2</v>
      </c>
      <c r="AN45" s="28" t="s">
        <v>0</v>
      </c>
    </row>
    <row r="46" spans="1:40" ht="15.75" thickBot="1" x14ac:dyDescent="0.3">
      <c r="A46" s="110"/>
      <c r="B46" s="6">
        <v>40</v>
      </c>
      <c r="C46" s="13" t="s">
        <v>59</v>
      </c>
      <c r="D46" s="95"/>
      <c r="E46" s="28" t="s">
        <v>0</v>
      </c>
      <c r="F46" s="28" t="s">
        <v>2</v>
      </c>
      <c r="G46" s="28" t="s">
        <v>2</v>
      </c>
      <c r="H46" s="28" t="s">
        <v>0</v>
      </c>
      <c r="I46" s="28" t="s">
        <v>0</v>
      </c>
      <c r="J46" s="28" t="s">
        <v>2</v>
      </c>
      <c r="K46" s="28" t="s">
        <v>2</v>
      </c>
      <c r="L46" s="28" t="s">
        <v>2</v>
      </c>
      <c r="M46" s="28" t="s">
        <v>2</v>
      </c>
      <c r="N46" s="28" t="s">
        <v>2</v>
      </c>
      <c r="O46" s="28" t="s">
        <v>2</v>
      </c>
      <c r="P46" s="28" t="s">
        <v>2</v>
      </c>
      <c r="Q46" s="28" t="s">
        <v>2</v>
      </c>
      <c r="R46" s="28" t="s">
        <v>2</v>
      </c>
      <c r="S46" s="28" t="s">
        <v>2</v>
      </c>
      <c r="T46" s="28" t="s">
        <v>2</v>
      </c>
      <c r="U46" s="28" t="s">
        <v>2</v>
      </c>
      <c r="V46" s="28" t="s">
        <v>2</v>
      </c>
      <c r="W46" s="28" t="s">
        <v>2</v>
      </c>
      <c r="X46" s="28" t="s">
        <v>2</v>
      </c>
      <c r="Y46" s="28" t="s">
        <v>2</v>
      </c>
      <c r="Z46" s="28" t="s">
        <v>2</v>
      </c>
      <c r="AA46" s="28" t="s">
        <v>2</v>
      </c>
      <c r="AB46" s="28" t="s">
        <v>0</v>
      </c>
      <c r="AC46" s="28" t="s">
        <v>2</v>
      </c>
      <c r="AD46" s="28" t="s">
        <v>2</v>
      </c>
      <c r="AE46" s="28" t="s">
        <v>2</v>
      </c>
      <c r="AF46" s="28" t="s">
        <v>2</v>
      </c>
      <c r="AG46" s="28" t="s">
        <v>2</v>
      </c>
      <c r="AH46" s="28" t="s">
        <v>0</v>
      </c>
      <c r="AI46" s="28" t="s">
        <v>2</v>
      </c>
      <c r="AJ46" s="28" t="s">
        <v>2</v>
      </c>
      <c r="AK46" s="28" t="s">
        <v>2</v>
      </c>
      <c r="AL46" s="28" t="s">
        <v>2</v>
      </c>
      <c r="AM46" s="28" t="s">
        <v>2</v>
      </c>
      <c r="AN46" s="28" t="s">
        <v>2</v>
      </c>
    </row>
    <row r="47" spans="1:40" ht="15.75" thickBot="1" x14ac:dyDescent="0.3">
      <c r="A47" s="110"/>
      <c r="B47" s="3">
        <v>41</v>
      </c>
      <c r="C47" s="13" t="s">
        <v>61</v>
      </c>
      <c r="D47" s="95"/>
      <c r="E47" s="28" t="s">
        <v>0</v>
      </c>
      <c r="F47" s="28" t="s">
        <v>2</v>
      </c>
      <c r="G47" s="28" t="s">
        <v>2</v>
      </c>
      <c r="H47" s="28" t="s">
        <v>0</v>
      </c>
      <c r="I47" s="28" t="s">
        <v>2</v>
      </c>
      <c r="J47" s="28" t="s">
        <v>2</v>
      </c>
      <c r="K47" s="28" t="s">
        <v>2</v>
      </c>
      <c r="L47" s="28" t="s">
        <v>2</v>
      </c>
      <c r="M47" s="28" t="s">
        <v>2</v>
      </c>
      <c r="N47" s="28" t="s">
        <v>2</v>
      </c>
      <c r="O47" s="28" t="s">
        <v>2</v>
      </c>
      <c r="P47" s="28" t="s">
        <v>2</v>
      </c>
      <c r="Q47" s="28" t="s">
        <v>2</v>
      </c>
      <c r="R47" s="28" t="s">
        <v>2</v>
      </c>
      <c r="S47" s="28" t="s">
        <v>2</v>
      </c>
      <c r="T47" s="28" t="s">
        <v>2</v>
      </c>
      <c r="U47" s="28" t="s">
        <v>2</v>
      </c>
      <c r="V47" s="28" t="s">
        <v>2</v>
      </c>
      <c r="W47" s="28" t="s">
        <v>2</v>
      </c>
      <c r="X47" s="28" t="s">
        <v>2</v>
      </c>
      <c r="Y47" s="28" t="s">
        <v>2</v>
      </c>
      <c r="Z47" s="28" t="s">
        <v>2</v>
      </c>
      <c r="AA47" s="28" t="s">
        <v>2</v>
      </c>
      <c r="AB47" s="28" t="s">
        <v>2</v>
      </c>
      <c r="AC47" s="28" t="s">
        <v>2</v>
      </c>
      <c r="AD47" s="28" t="s">
        <v>2</v>
      </c>
      <c r="AE47" s="28" t="s">
        <v>2</v>
      </c>
      <c r="AF47" s="28" t="s">
        <v>2</v>
      </c>
      <c r="AG47" s="28" t="s">
        <v>2</v>
      </c>
      <c r="AH47" s="28" t="s">
        <v>2</v>
      </c>
      <c r="AI47" s="28" t="s">
        <v>2</v>
      </c>
      <c r="AJ47" s="28" t="s">
        <v>2</v>
      </c>
      <c r="AK47" s="28" t="s">
        <v>2</v>
      </c>
      <c r="AL47" s="28" t="s">
        <v>2</v>
      </c>
      <c r="AM47" s="28" t="s">
        <v>2</v>
      </c>
      <c r="AN47" s="28" t="s">
        <v>2</v>
      </c>
    </row>
    <row r="48" spans="1:40" ht="15.75" thickBot="1" x14ac:dyDescent="0.3">
      <c r="A48" s="110"/>
      <c r="B48" s="6">
        <v>42</v>
      </c>
      <c r="C48" s="13" t="s">
        <v>62</v>
      </c>
      <c r="D48" s="95"/>
      <c r="E48" s="28" t="s">
        <v>0</v>
      </c>
      <c r="F48" s="28" t="s">
        <v>2</v>
      </c>
      <c r="G48" s="28" t="s">
        <v>2</v>
      </c>
      <c r="H48" s="28" t="s">
        <v>0</v>
      </c>
      <c r="I48" s="28" t="s">
        <v>2</v>
      </c>
      <c r="J48" s="28" t="s">
        <v>2</v>
      </c>
      <c r="K48" s="28" t="s">
        <v>2</v>
      </c>
      <c r="L48" s="28" t="s">
        <v>2</v>
      </c>
      <c r="M48" s="28" t="s">
        <v>2</v>
      </c>
      <c r="N48" s="28" t="s">
        <v>2</v>
      </c>
      <c r="O48" s="28" t="s">
        <v>2</v>
      </c>
      <c r="P48" s="28" t="s">
        <v>2</v>
      </c>
      <c r="Q48" s="28" t="s">
        <v>2</v>
      </c>
      <c r="R48" s="28" t="s">
        <v>2</v>
      </c>
      <c r="S48" s="28" t="s">
        <v>2</v>
      </c>
      <c r="T48" s="28" t="s">
        <v>2</v>
      </c>
      <c r="U48" s="28" t="s">
        <v>2</v>
      </c>
      <c r="V48" s="28" t="s">
        <v>2</v>
      </c>
      <c r="W48" s="28" t="s">
        <v>0</v>
      </c>
      <c r="X48" s="28" t="s">
        <v>2</v>
      </c>
      <c r="Y48" s="28" t="s">
        <v>2</v>
      </c>
      <c r="Z48" s="28" t="s">
        <v>2</v>
      </c>
      <c r="AA48" s="28" t="s">
        <v>2</v>
      </c>
      <c r="AB48" s="28" t="s">
        <v>2</v>
      </c>
      <c r="AC48" s="28" t="s">
        <v>2</v>
      </c>
      <c r="AD48" s="28" t="s">
        <v>2</v>
      </c>
      <c r="AE48" s="28" t="s">
        <v>2</v>
      </c>
      <c r="AF48" s="28" t="s">
        <v>2</v>
      </c>
      <c r="AG48" s="28" t="s">
        <v>2</v>
      </c>
      <c r="AH48" s="28" t="s">
        <v>2</v>
      </c>
      <c r="AI48" s="28" t="s">
        <v>2</v>
      </c>
      <c r="AJ48" s="28" t="s">
        <v>2</v>
      </c>
      <c r="AK48" s="28" t="s">
        <v>2</v>
      </c>
      <c r="AL48" s="28" t="s">
        <v>2</v>
      </c>
      <c r="AM48" s="28" t="s">
        <v>2</v>
      </c>
      <c r="AN48" s="28" t="s">
        <v>2</v>
      </c>
    </row>
    <row r="49" spans="1:40" ht="15.75" thickBot="1" x14ac:dyDescent="0.3">
      <c r="A49" s="111"/>
      <c r="B49" s="8">
        <v>43</v>
      </c>
      <c r="C49" s="18" t="s">
        <v>78</v>
      </c>
      <c r="D49" s="100"/>
      <c r="E49" s="28" t="s">
        <v>0</v>
      </c>
      <c r="F49" s="28" t="s">
        <v>2</v>
      </c>
      <c r="G49" s="28" t="s">
        <v>2</v>
      </c>
      <c r="H49" s="28" t="s">
        <v>0</v>
      </c>
      <c r="I49" s="28" t="s">
        <v>2</v>
      </c>
      <c r="J49" s="28" t="s">
        <v>2</v>
      </c>
      <c r="K49" s="28" t="s">
        <v>2</v>
      </c>
      <c r="L49" s="28" t="s">
        <v>2</v>
      </c>
      <c r="M49" s="28" t="s">
        <v>2</v>
      </c>
      <c r="N49" s="28" t="s">
        <v>2</v>
      </c>
      <c r="O49" s="28" t="s">
        <v>2</v>
      </c>
      <c r="P49" s="28" t="s">
        <v>2</v>
      </c>
      <c r="Q49" s="28" t="s">
        <v>2</v>
      </c>
      <c r="R49" s="28" t="s">
        <v>2</v>
      </c>
      <c r="S49" s="28" t="s">
        <v>2</v>
      </c>
      <c r="T49" s="28" t="s">
        <v>2</v>
      </c>
      <c r="U49" s="28" t="s">
        <v>2</v>
      </c>
      <c r="V49" s="28" t="s">
        <v>2</v>
      </c>
      <c r="W49" s="28" t="s">
        <v>2</v>
      </c>
      <c r="X49" s="28" t="s">
        <v>2</v>
      </c>
      <c r="Y49" s="28" t="s">
        <v>2</v>
      </c>
      <c r="Z49" s="28" t="s">
        <v>2</v>
      </c>
      <c r="AA49" s="28" t="s">
        <v>2</v>
      </c>
      <c r="AB49" s="28" t="s">
        <v>2</v>
      </c>
      <c r="AC49" s="28" t="s">
        <v>2</v>
      </c>
      <c r="AD49" s="28" t="s">
        <v>2</v>
      </c>
      <c r="AE49" s="28" t="s">
        <v>2</v>
      </c>
      <c r="AF49" s="28" t="s">
        <v>2</v>
      </c>
      <c r="AG49" s="28" t="s">
        <v>2</v>
      </c>
      <c r="AH49" s="28" t="s">
        <v>2</v>
      </c>
      <c r="AI49" s="28" t="s">
        <v>2</v>
      </c>
      <c r="AJ49" s="28" t="s">
        <v>2</v>
      </c>
      <c r="AK49" s="28" t="s">
        <v>2</v>
      </c>
      <c r="AL49" s="28" t="s">
        <v>2</v>
      </c>
      <c r="AM49" s="28" t="s">
        <v>2</v>
      </c>
      <c r="AN49" s="28" t="s">
        <v>2</v>
      </c>
    </row>
    <row r="50" spans="1:40" ht="15.75" thickBot="1" x14ac:dyDescent="0.3">
      <c r="A50" s="112" t="s">
        <v>81</v>
      </c>
      <c r="B50" s="2">
        <f>+B24+1</f>
        <v>22</v>
      </c>
      <c r="C50" s="12" t="s">
        <v>82</v>
      </c>
      <c r="D50" s="94"/>
      <c r="E50" s="28" t="s">
        <v>0</v>
      </c>
      <c r="F50" s="28" t="s">
        <v>2</v>
      </c>
      <c r="G50" s="28" t="s">
        <v>2</v>
      </c>
      <c r="H50" s="28" t="s">
        <v>0</v>
      </c>
      <c r="I50" s="28" t="s">
        <v>2</v>
      </c>
      <c r="J50" s="28" t="s">
        <v>2</v>
      </c>
      <c r="K50" s="28" t="s">
        <v>2</v>
      </c>
      <c r="L50" s="28" t="s">
        <v>2</v>
      </c>
      <c r="M50" s="28" t="s">
        <v>2</v>
      </c>
      <c r="N50" s="28" t="s">
        <v>2</v>
      </c>
      <c r="O50" s="28" t="s">
        <v>2</v>
      </c>
      <c r="P50" s="28" t="s">
        <v>0</v>
      </c>
      <c r="Q50" s="28" t="s">
        <v>2</v>
      </c>
      <c r="R50" s="28" t="s">
        <v>2</v>
      </c>
      <c r="S50" s="28" t="s">
        <v>2</v>
      </c>
      <c r="T50" s="28" t="s">
        <v>2</v>
      </c>
      <c r="U50" s="28" t="s">
        <v>0</v>
      </c>
      <c r="V50" s="28" t="s">
        <v>2</v>
      </c>
      <c r="W50" s="28" t="s">
        <v>2</v>
      </c>
      <c r="X50" s="28" t="s">
        <v>2</v>
      </c>
      <c r="Y50" s="28" t="s">
        <v>2</v>
      </c>
      <c r="Z50" s="28" t="s">
        <v>2</v>
      </c>
      <c r="AA50" s="28" t="s">
        <v>2</v>
      </c>
      <c r="AB50" s="28" t="s">
        <v>2</v>
      </c>
      <c r="AC50" s="28" t="s">
        <v>2</v>
      </c>
      <c r="AD50" s="28" t="s">
        <v>2</v>
      </c>
      <c r="AE50" s="28" t="s">
        <v>2</v>
      </c>
      <c r="AF50" s="28" t="s">
        <v>2</v>
      </c>
      <c r="AG50" s="28" t="s">
        <v>2</v>
      </c>
      <c r="AH50" s="28" t="s">
        <v>2</v>
      </c>
      <c r="AI50" s="28" t="s">
        <v>2</v>
      </c>
      <c r="AJ50" s="28" t="s">
        <v>2</v>
      </c>
      <c r="AK50" s="28" t="s">
        <v>2</v>
      </c>
      <c r="AL50" s="28" t="s">
        <v>2</v>
      </c>
      <c r="AM50" s="28" t="s">
        <v>2</v>
      </c>
      <c r="AN50" s="28" t="s">
        <v>2</v>
      </c>
    </row>
    <row r="51" spans="1:40" ht="15.75" thickBot="1" x14ac:dyDescent="0.3">
      <c r="A51" s="110"/>
      <c r="B51" s="6">
        <v>27</v>
      </c>
      <c r="C51" s="16" t="s">
        <v>83</v>
      </c>
      <c r="D51" s="98"/>
      <c r="E51" s="28" t="s">
        <v>0</v>
      </c>
      <c r="F51" s="28" t="s">
        <v>2</v>
      </c>
      <c r="G51" s="28" t="s">
        <v>2</v>
      </c>
      <c r="H51" s="28" t="s">
        <v>0</v>
      </c>
      <c r="I51" s="28" t="s">
        <v>2</v>
      </c>
      <c r="J51" s="28" t="s">
        <v>2</v>
      </c>
      <c r="K51" s="28" t="s">
        <v>2</v>
      </c>
      <c r="L51" s="28" t="s">
        <v>2</v>
      </c>
      <c r="M51" s="28" t="s">
        <v>2</v>
      </c>
      <c r="N51" s="28" t="s">
        <v>2</v>
      </c>
      <c r="O51" s="28" t="s">
        <v>2</v>
      </c>
      <c r="P51" s="28" t="s">
        <v>2</v>
      </c>
      <c r="Q51" s="28" t="s">
        <v>2</v>
      </c>
      <c r="R51" s="28" t="s">
        <v>2</v>
      </c>
      <c r="S51" s="28" t="s">
        <v>2</v>
      </c>
      <c r="T51" s="28" t="s">
        <v>2</v>
      </c>
      <c r="U51" s="28" t="s">
        <v>2</v>
      </c>
      <c r="V51" s="28" t="s">
        <v>2</v>
      </c>
      <c r="W51" s="28" t="s">
        <v>2</v>
      </c>
      <c r="X51" s="28" t="s">
        <v>2</v>
      </c>
      <c r="Y51" s="28" t="s">
        <v>2</v>
      </c>
      <c r="Z51" s="28" t="s">
        <v>2</v>
      </c>
      <c r="AA51" s="28" t="s">
        <v>2</v>
      </c>
      <c r="AB51" s="28" t="s">
        <v>2</v>
      </c>
      <c r="AC51" s="28" t="s">
        <v>2</v>
      </c>
      <c r="AD51" s="28" t="s">
        <v>2</v>
      </c>
      <c r="AE51" s="28" t="s">
        <v>2</v>
      </c>
      <c r="AF51" s="28" t="s">
        <v>2</v>
      </c>
      <c r="AG51" s="28" t="s">
        <v>2</v>
      </c>
      <c r="AH51" s="28" t="s">
        <v>2</v>
      </c>
      <c r="AI51" s="28" t="s">
        <v>2</v>
      </c>
      <c r="AJ51" s="28" t="s">
        <v>2</v>
      </c>
      <c r="AK51" s="28" t="s">
        <v>2</v>
      </c>
      <c r="AL51" s="28" t="s">
        <v>2</v>
      </c>
      <c r="AM51" s="28" t="s">
        <v>2</v>
      </c>
      <c r="AN51" s="28" t="s">
        <v>2</v>
      </c>
    </row>
    <row r="52" spans="1:40" ht="15.75" thickBot="1" x14ac:dyDescent="0.3">
      <c r="A52" s="110"/>
      <c r="B52" s="3">
        <v>28</v>
      </c>
      <c r="C52" s="13" t="s">
        <v>45</v>
      </c>
      <c r="D52" s="95"/>
      <c r="E52" s="28" t="s">
        <v>0</v>
      </c>
      <c r="F52" s="28" t="s">
        <v>2</v>
      </c>
      <c r="G52" s="28" t="s">
        <v>2</v>
      </c>
      <c r="H52" s="28" t="s">
        <v>0</v>
      </c>
      <c r="I52" s="28" t="s">
        <v>2</v>
      </c>
      <c r="J52" s="28" t="s">
        <v>2</v>
      </c>
      <c r="K52" s="28" t="s">
        <v>2</v>
      </c>
      <c r="L52" s="28" t="s">
        <v>2</v>
      </c>
      <c r="M52" s="28" t="s">
        <v>2</v>
      </c>
      <c r="N52" s="28" t="s">
        <v>2</v>
      </c>
      <c r="O52" s="28" t="s">
        <v>2</v>
      </c>
      <c r="P52" s="28" t="s">
        <v>2</v>
      </c>
      <c r="Q52" s="28" t="s">
        <v>2</v>
      </c>
      <c r="R52" s="28" t="s">
        <v>2</v>
      </c>
      <c r="S52" s="28" t="s">
        <v>2</v>
      </c>
      <c r="T52" s="28" t="s">
        <v>2</v>
      </c>
      <c r="U52" s="28" t="s">
        <v>2</v>
      </c>
      <c r="V52" s="28" t="s">
        <v>2</v>
      </c>
      <c r="W52" s="28" t="s">
        <v>2</v>
      </c>
      <c r="X52" s="28" t="s">
        <v>2</v>
      </c>
      <c r="Y52" s="28" t="s">
        <v>2</v>
      </c>
      <c r="Z52" s="28" t="s">
        <v>2</v>
      </c>
      <c r="AA52" s="28" t="s">
        <v>2</v>
      </c>
      <c r="AB52" s="28" t="s">
        <v>2</v>
      </c>
      <c r="AC52" s="28" t="s">
        <v>2</v>
      </c>
      <c r="AD52" s="28" t="s">
        <v>2</v>
      </c>
      <c r="AE52" s="28" t="s">
        <v>2</v>
      </c>
      <c r="AF52" s="28" t="s">
        <v>2</v>
      </c>
      <c r="AG52" s="28" t="s">
        <v>2</v>
      </c>
      <c r="AH52" s="28" t="s">
        <v>2</v>
      </c>
      <c r="AI52" s="28" t="s">
        <v>2</v>
      </c>
      <c r="AJ52" s="28" t="s">
        <v>2</v>
      </c>
      <c r="AK52" s="28" t="s">
        <v>2</v>
      </c>
      <c r="AL52" s="28" t="s">
        <v>2</v>
      </c>
      <c r="AM52" s="28" t="s">
        <v>2</v>
      </c>
      <c r="AN52" s="28" t="s">
        <v>2</v>
      </c>
    </row>
    <row r="53" spans="1:40" ht="15.75" thickBot="1" x14ac:dyDescent="0.3">
      <c r="A53" s="110"/>
      <c r="B53" s="6">
        <v>29</v>
      </c>
      <c r="C53" s="13" t="s">
        <v>47</v>
      </c>
      <c r="D53" s="95"/>
      <c r="E53" s="28" t="s">
        <v>0</v>
      </c>
      <c r="F53" s="28" t="s">
        <v>2</v>
      </c>
      <c r="G53" s="28" t="s">
        <v>2</v>
      </c>
      <c r="H53" s="28" t="s">
        <v>0</v>
      </c>
      <c r="I53" s="28" t="s">
        <v>2</v>
      </c>
      <c r="J53" s="28" t="s">
        <v>2</v>
      </c>
      <c r="K53" s="28" t="s">
        <v>2</v>
      </c>
      <c r="L53" s="28" t="s">
        <v>2</v>
      </c>
      <c r="M53" s="28" t="s">
        <v>2</v>
      </c>
      <c r="N53" s="28" t="s">
        <v>2</v>
      </c>
      <c r="O53" s="28" t="s">
        <v>2</v>
      </c>
      <c r="P53" s="28" t="s">
        <v>2</v>
      </c>
      <c r="Q53" s="28" t="s">
        <v>2</v>
      </c>
      <c r="R53" s="28" t="s">
        <v>2</v>
      </c>
      <c r="S53" s="28" t="s">
        <v>2</v>
      </c>
      <c r="T53" s="28" t="s">
        <v>2</v>
      </c>
      <c r="U53" s="28" t="s">
        <v>2</v>
      </c>
      <c r="V53" s="28" t="s">
        <v>2</v>
      </c>
      <c r="W53" s="28" t="s">
        <v>2</v>
      </c>
      <c r="X53" s="28" t="s">
        <v>2</v>
      </c>
      <c r="Y53" s="28" t="s">
        <v>2</v>
      </c>
      <c r="Z53" s="28" t="s">
        <v>2</v>
      </c>
      <c r="AA53" s="28" t="s">
        <v>2</v>
      </c>
      <c r="AB53" s="28" t="s">
        <v>2</v>
      </c>
      <c r="AC53" s="28" t="s">
        <v>2</v>
      </c>
      <c r="AD53" s="28" t="s">
        <v>2</v>
      </c>
      <c r="AE53" s="28" t="s">
        <v>2</v>
      </c>
      <c r="AF53" s="28" t="s">
        <v>2</v>
      </c>
      <c r="AG53" s="28" t="s">
        <v>2</v>
      </c>
      <c r="AH53" s="28" t="s">
        <v>2</v>
      </c>
      <c r="AI53" s="28" t="s">
        <v>2</v>
      </c>
      <c r="AJ53" s="28" t="s">
        <v>2</v>
      </c>
      <c r="AK53" s="28" t="s">
        <v>2</v>
      </c>
      <c r="AL53" s="28" t="s">
        <v>2</v>
      </c>
      <c r="AM53" s="28" t="s">
        <v>2</v>
      </c>
      <c r="AN53" s="28" t="s">
        <v>2</v>
      </c>
    </row>
    <row r="54" spans="1:40" ht="15.75" thickBot="1" x14ac:dyDescent="0.3">
      <c r="A54" s="110"/>
      <c r="B54" s="3">
        <v>30</v>
      </c>
      <c r="C54" s="13" t="s">
        <v>67</v>
      </c>
      <c r="D54" s="95"/>
      <c r="E54" s="28" t="s">
        <v>0</v>
      </c>
      <c r="F54" s="28" t="s">
        <v>2</v>
      </c>
      <c r="G54" s="28" t="s">
        <v>2</v>
      </c>
      <c r="H54" s="28" t="s">
        <v>0</v>
      </c>
      <c r="I54" s="28" t="s">
        <v>2</v>
      </c>
      <c r="J54" s="28" t="s">
        <v>2</v>
      </c>
      <c r="K54" s="28" t="s">
        <v>2</v>
      </c>
      <c r="L54" s="28" t="s">
        <v>2</v>
      </c>
      <c r="M54" s="28" t="s">
        <v>2</v>
      </c>
      <c r="N54" s="28" t="s">
        <v>2</v>
      </c>
      <c r="O54" s="28" t="s">
        <v>2</v>
      </c>
      <c r="P54" s="28" t="s">
        <v>2</v>
      </c>
      <c r="Q54" s="28" t="s">
        <v>2</v>
      </c>
      <c r="R54" s="28" t="s">
        <v>2</v>
      </c>
      <c r="S54" s="28" t="s">
        <v>2</v>
      </c>
      <c r="T54" s="28" t="s">
        <v>2</v>
      </c>
      <c r="U54" s="28" t="s">
        <v>2</v>
      </c>
      <c r="V54" s="28" t="s">
        <v>2</v>
      </c>
      <c r="W54" s="28" t="s">
        <v>2</v>
      </c>
      <c r="X54" s="28" t="s">
        <v>2</v>
      </c>
      <c r="Y54" s="28" t="s">
        <v>2</v>
      </c>
      <c r="Z54" s="28" t="s">
        <v>2</v>
      </c>
      <c r="AA54" s="28" t="s">
        <v>2</v>
      </c>
      <c r="AB54" s="28" t="s">
        <v>2</v>
      </c>
      <c r="AC54" s="28" t="s">
        <v>2</v>
      </c>
      <c r="AD54" s="28" t="s">
        <v>2</v>
      </c>
      <c r="AE54" s="28" t="s">
        <v>2</v>
      </c>
      <c r="AF54" s="28" t="s">
        <v>2</v>
      </c>
      <c r="AG54" s="28" t="s">
        <v>2</v>
      </c>
      <c r="AH54" s="28" t="s">
        <v>2</v>
      </c>
      <c r="AI54" s="28" t="s">
        <v>2</v>
      </c>
      <c r="AJ54" s="28" t="s">
        <v>2</v>
      </c>
      <c r="AK54" s="28" t="s">
        <v>2</v>
      </c>
      <c r="AL54" s="28" t="s">
        <v>2</v>
      </c>
      <c r="AM54" s="28" t="s">
        <v>2</v>
      </c>
      <c r="AN54" s="28" t="s">
        <v>2</v>
      </c>
    </row>
    <row r="55" spans="1:40" ht="15.75" thickBot="1" x14ac:dyDescent="0.3">
      <c r="A55" s="110"/>
      <c r="B55" s="6">
        <v>31</v>
      </c>
      <c r="C55" s="13" t="s">
        <v>84</v>
      </c>
      <c r="D55" s="95"/>
      <c r="E55" s="28" t="s">
        <v>0</v>
      </c>
      <c r="F55" s="28" t="s">
        <v>2</v>
      </c>
      <c r="G55" s="28" t="s">
        <v>2</v>
      </c>
      <c r="H55" s="28" t="s">
        <v>0</v>
      </c>
      <c r="I55" s="28" t="s">
        <v>2</v>
      </c>
      <c r="J55" s="28" t="s">
        <v>2</v>
      </c>
      <c r="K55" s="28" t="s">
        <v>2</v>
      </c>
      <c r="L55" s="28" t="s">
        <v>2</v>
      </c>
      <c r="M55" s="28" t="s">
        <v>2</v>
      </c>
      <c r="N55" s="28" t="s">
        <v>2</v>
      </c>
      <c r="O55" s="28" t="s">
        <v>2</v>
      </c>
      <c r="P55" s="28" t="s">
        <v>2</v>
      </c>
      <c r="Q55" s="28" t="s">
        <v>2</v>
      </c>
      <c r="R55" s="28" t="s">
        <v>2</v>
      </c>
      <c r="S55" s="28" t="s">
        <v>2</v>
      </c>
      <c r="T55" s="28" t="s">
        <v>2</v>
      </c>
      <c r="U55" s="28" t="s">
        <v>2</v>
      </c>
      <c r="V55" s="28" t="s">
        <v>2</v>
      </c>
      <c r="W55" s="28" t="s">
        <v>2</v>
      </c>
      <c r="X55" s="28" t="s">
        <v>2</v>
      </c>
      <c r="Y55" s="28" t="s">
        <v>2</v>
      </c>
      <c r="Z55" s="28" t="s">
        <v>2</v>
      </c>
      <c r="AA55" s="28" t="s">
        <v>2</v>
      </c>
      <c r="AB55" s="28" t="s">
        <v>2</v>
      </c>
      <c r="AC55" s="28" t="s">
        <v>2</v>
      </c>
      <c r="AD55" s="28" t="s">
        <v>2</v>
      </c>
      <c r="AE55" s="28" t="s">
        <v>2</v>
      </c>
      <c r="AF55" s="28" t="s">
        <v>2</v>
      </c>
      <c r="AG55" s="28" t="s">
        <v>2</v>
      </c>
      <c r="AH55" s="28" t="s">
        <v>2</v>
      </c>
      <c r="AI55" s="28" t="s">
        <v>2</v>
      </c>
      <c r="AJ55" s="28" t="s">
        <v>2</v>
      </c>
      <c r="AK55" s="28" t="s">
        <v>2</v>
      </c>
      <c r="AL55" s="28" t="s">
        <v>2</v>
      </c>
      <c r="AM55" s="28" t="s">
        <v>2</v>
      </c>
      <c r="AN55" s="28" t="s">
        <v>2</v>
      </c>
    </row>
    <row r="56" spans="1:40" ht="15.75" thickBot="1" x14ac:dyDescent="0.3">
      <c r="A56" s="110"/>
      <c r="B56" s="3">
        <v>32</v>
      </c>
      <c r="C56" s="13" t="s">
        <v>85</v>
      </c>
      <c r="D56" s="95"/>
      <c r="E56" s="28" t="s">
        <v>0</v>
      </c>
      <c r="F56" s="28" t="s">
        <v>2</v>
      </c>
      <c r="G56" s="28" t="s">
        <v>2</v>
      </c>
      <c r="H56" s="28" t="s">
        <v>0</v>
      </c>
      <c r="I56" s="28" t="s">
        <v>2</v>
      </c>
      <c r="J56" s="28" t="s">
        <v>2</v>
      </c>
      <c r="K56" s="28" t="s">
        <v>2</v>
      </c>
      <c r="L56" s="28" t="s">
        <v>2</v>
      </c>
      <c r="M56" s="28" t="s">
        <v>2</v>
      </c>
      <c r="N56" s="28" t="s">
        <v>2</v>
      </c>
      <c r="O56" s="28" t="s">
        <v>2</v>
      </c>
      <c r="P56" s="28" t="s">
        <v>2</v>
      </c>
      <c r="Q56" s="28" t="s">
        <v>2</v>
      </c>
      <c r="R56" s="28" t="s">
        <v>2</v>
      </c>
      <c r="S56" s="28" t="s">
        <v>2</v>
      </c>
      <c r="T56" s="28" t="s">
        <v>2</v>
      </c>
      <c r="U56" s="28" t="s">
        <v>2</v>
      </c>
      <c r="V56" s="28" t="s">
        <v>2</v>
      </c>
      <c r="W56" s="28" t="s">
        <v>2</v>
      </c>
      <c r="X56" s="28" t="s">
        <v>2</v>
      </c>
      <c r="Y56" s="28" t="s">
        <v>2</v>
      </c>
      <c r="Z56" s="28" t="s">
        <v>2</v>
      </c>
      <c r="AA56" s="28" t="s">
        <v>2</v>
      </c>
      <c r="AB56" s="28" t="s">
        <v>2</v>
      </c>
      <c r="AC56" s="28" t="s">
        <v>2</v>
      </c>
      <c r="AD56" s="28" t="s">
        <v>2</v>
      </c>
      <c r="AE56" s="28" t="s">
        <v>2</v>
      </c>
      <c r="AF56" s="28" t="s">
        <v>2</v>
      </c>
      <c r="AG56" s="28" t="s">
        <v>2</v>
      </c>
      <c r="AH56" s="28" t="s">
        <v>0</v>
      </c>
      <c r="AI56" s="28" t="s">
        <v>2</v>
      </c>
      <c r="AJ56" s="28" t="s">
        <v>2</v>
      </c>
      <c r="AK56" s="28" t="s">
        <v>2</v>
      </c>
      <c r="AL56" s="28" t="s">
        <v>2</v>
      </c>
      <c r="AM56" s="28" t="s">
        <v>2</v>
      </c>
      <c r="AN56" s="28" t="s">
        <v>2</v>
      </c>
    </row>
    <row r="57" spans="1:40" ht="15.75" thickBot="1" x14ac:dyDescent="0.3">
      <c r="A57" s="110"/>
      <c r="B57" s="6">
        <v>33</v>
      </c>
      <c r="C57" s="13" t="s">
        <v>68</v>
      </c>
      <c r="D57" s="95"/>
      <c r="E57" s="28" t="s">
        <v>0</v>
      </c>
      <c r="F57" s="28" t="s">
        <v>2</v>
      </c>
      <c r="G57" s="28" t="s">
        <v>2</v>
      </c>
      <c r="H57" s="28" t="s">
        <v>0</v>
      </c>
      <c r="I57" s="28" t="s">
        <v>2</v>
      </c>
      <c r="J57" s="28" t="s">
        <v>2</v>
      </c>
      <c r="K57" s="28" t="s">
        <v>2</v>
      </c>
      <c r="L57" s="28" t="s">
        <v>2</v>
      </c>
      <c r="M57" s="28" t="s">
        <v>2</v>
      </c>
      <c r="N57" s="28" t="s">
        <v>2</v>
      </c>
      <c r="O57" s="28" t="s">
        <v>2</v>
      </c>
      <c r="P57" s="28" t="s">
        <v>2</v>
      </c>
      <c r="Q57" s="28" t="s">
        <v>2</v>
      </c>
      <c r="R57" s="28" t="s">
        <v>2</v>
      </c>
      <c r="S57" s="28" t="s">
        <v>2</v>
      </c>
      <c r="T57" s="28" t="s">
        <v>2</v>
      </c>
      <c r="U57" s="28" t="s">
        <v>2</v>
      </c>
      <c r="V57" s="28" t="s">
        <v>2</v>
      </c>
      <c r="W57" s="28" t="s">
        <v>2</v>
      </c>
      <c r="X57" s="28" t="s">
        <v>2</v>
      </c>
      <c r="Y57" s="28" t="s">
        <v>2</v>
      </c>
      <c r="Z57" s="28" t="s">
        <v>2</v>
      </c>
      <c r="AA57" s="28" t="s">
        <v>2</v>
      </c>
      <c r="AB57" s="28" t="s">
        <v>2</v>
      </c>
      <c r="AC57" s="28" t="s">
        <v>2</v>
      </c>
      <c r="AD57" s="28" t="s">
        <v>2</v>
      </c>
      <c r="AE57" s="28" t="s">
        <v>2</v>
      </c>
      <c r="AF57" s="28" t="s">
        <v>2</v>
      </c>
      <c r="AG57" s="28" t="s">
        <v>2</v>
      </c>
      <c r="AH57" s="28" t="s">
        <v>2</v>
      </c>
      <c r="AI57" s="28" t="s">
        <v>2</v>
      </c>
      <c r="AJ57" s="28" t="s">
        <v>2</v>
      </c>
      <c r="AK57" s="28" t="s">
        <v>2</v>
      </c>
      <c r="AL57" s="28" t="s">
        <v>2</v>
      </c>
      <c r="AM57" s="28" t="s">
        <v>2</v>
      </c>
      <c r="AN57" s="28" t="s">
        <v>2</v>
      </c>
    </row>
    <row r="58" spans="1:40" ht="15.75" thickBot="1" x14ac:dyDescent="0.3">
      <c r="A58" s="110"/>
      <c r="B58" s="3">
        <v>34</v>
      </c>
      <c r="C58" s="13" t="s">
        <v>86</v>
      </c>
      <c r="D58" s="95"/>
      <c r="E58" s="28" t="s">
        <v>0</v>
      </c>
      <c r="F58" s="28" t="s">
        <v>2</v>
      </c>
      <c r="G58" s="28" t="s">
        <v>2</v>
      </c>
      <c r="H58" s="28" t="s">
        <v>0</v>
      </c>
      <c r="I58" s="28" t="s">
        <v>2</v>
      </c>
      <c r="J58" s="28" t="s">
        <v>2</v>
      </c>
      <c r="K58" s="28" t="s">
        <v>2</v>
      </c>
      <c r="L58" s="28" t="s">
        <v>2</v>
      </c>
      <c r="M58" s="28" t="s">
        <v>2</v>
      </c>
      <c r="N58" s="28" t="s">
        <v>2</v>
      </c>
      <c r="O58" s="28" t="s">
        <v>2</v>
      </c>
      <c r="P58" s="28" t="s">
        <v>2</v>
      </c>
      <c r="Q58" s="28" t="s">
        <v>2</v>
      </c>
      <c r="R58" s="28" t="s">
        <v>2</v>
      </c>
      <c r="S58" s="28" t="s">
        <v>2</v>
      </c>
      <c r="T58" s="28" t="s">
        <v>2</v>
      </c>
      <c r="U58" s="28" t="s">
        <v>2</v>
      </c>
      <c r="V58" s="28" t="s">
        <v>2</v>
      </c>
      <c r="W58" s="28" t="s">
        <v>2</v>
      </c>
      <c r="X58" s="28" t="s">
        <v>2</v>
      </c>
      <c r="Y58" s="28" t="s">
        <v>2</v>
      </c>
      <c r="Z58" s="28" t="s">
        <v>2</v>
      </c>
      <c r="AA58" s="28" t="s">
        <v>2</v>
      </c>
      <c r="AB58" s="28" t="s">
        <v>2</v>
      </c>
      <c r="AC58" s="28" t="s">
        <v>2</v>
      </c>
      <c r="AD58" s="28" t="s">
        <v>2</v>
      </c>
      <c r="AE58" s="28" t="s">
        <v>2</v>
      </c>
      <c r="AF58" s="28" t="s">
        <v>2</v>
      </c>
      <c r="AG58" s="28" t="s">
        <v>2</v>
      </c>
      <c r="AH58" s="28" t="s">
        <v>2</v>
      </c>
      <c r="AI58" s="28" t="s">
        <v>2</v>
      </c>
      <c r="AJ58" s="28" t="s">
        <v>2</v>
      </c>
      <c r="AK58" s="28" t="s">
        <v>2</v>
      </c>
      <c r="AL58" s="28" t="s">
        <v>2</v>
      </c>
      <c r="AM58" s="28" t="s">
        <v>2</v>
      </c>
      <c r="AN58" s="28" t="s">
        <v>2</v>
      </c>
    </row>
    <row r="59" spans="1:40" ht="15.75" thickBot="1" x14ac:dyDescent="0.3">
      <c r="A59" s="110"/>
      <c r="B59" s="6">
        <v>35</v>
      </c>
      <c r="C59" s="13" t="s">
        <v>87</v>
      </c>
      <c r="D59" s="95"/>
      <c r="E59" s="28" t="s">
        <v>0</v>
      </c>
      <c r="F59" s="28" t="s">
        <v>2</v>
      </c>
      <c r="G59" s="28" t="s">
        <v>2</v>
      </c>
      <c r="H59" s="28" t="s">
        <v>0</v>
      </c>
      <c r="I59" s="28" t="s">
        <v>2</v>
      </c>
      <c r="J59" s="28" t="s">
        <v>2</v>
      </c>
      <c r="K59" s="28" t="s">
        <v>2</v>
      </c>
      <c r="L59" s="28" t="s">
        <v>2</v>
      </c>
      <c r="M59" s="28" t="s">
        <v>2</v>
      </c>
      <c r="N59" s="28" t="s">
        <v>2</v>
      </c>
      <c r="O59" s="28" t="s">
        <v>2</v>
      </c>
      <c r="P59" s="28" t="s">
        <v>2</v>
      </c>
      <c r="Q59" s="28" t="s">
        <v>2</v>
      </c>
      <c r="R59" s="28" t="s">
        <v>2</v>
      </c>
      <c r="S59" s="28" t="s">
        <v>2</v>
      </c>
      <c r="T59" s="28" t="s">
        <v>2</v>
      </c>
      <c r="U59" s="28" t="s">
        <v>2</v>
      </c>
      <c r="V59" s="28" t="s">
        <v>2</v>
      </c>
      <c r="W59" s="28" t="s">
        <v>2</v>
      </c>
      <c r="X59" s="28" t="s">
        <v>2</v>
      </c>
      <c r="Y59" s="28" t="s">
        <v>2</v>
      </c>
      <c r="Z59" s="28" t="s">
        <v>2</v>
      </c>
      <c r="AA59" s="28" t="s">
        <v>2</v>
      </c>
      <c r="AB59" s="28" t="s">
        <v>2</v>
      </c>
      <c r="AC59" s="28" t="s">
        <v>2</v>
      </c>
      <c r="AD59" s="28" t="s">
        <v>2</v>
      </c>
      <c r="AE59" s="28" t="s">
        <v>2</v>
      </c>
      <c r="AF59" s="28" t="s">
        <v>2</v>
      </c>
      <c r="AG59" s="28" t="s">
        <v>2</v>
      </c>
      <c r="AH59" s="28" t="s">
        <v>2</v>
      </c>
      <c r="AI59" s="28" t="s">
        <v>2</v>
      </c>
      <c r="AJ59" s="28" t="s">
        <v>2</v>
      </c>
      <c r="AK59" s="28" t="s">
        <v>2</v>
      </c>
      <c r="AL59" s="28" t="s">
        <v>2</v>
      </c>
      <c r="AM59" s="28" t="s">
        <v>2</v>
      </c>
      <c r="AN59" s="28" t="s">
        <v>2</v>
      </c>
    </row>
    <row r="60" spans="1:40" ht="15.75" thickBot="1" x14ac:dyDescent="0.3">
      <c r="A60" s="110"/>
      <c r="B60" s="3">
        <v>36</v>
      </c>
      <c r="C60" s="13" t="s">
        <v>88</v>
      </c>
      <c r="D60" s="95"/>
      <c r="E60" s="28" t="s">
        <v>0</v>
      </c>
      <c r="F60" s="28" t="s">
        <v>2</v>
      </c>
      <c r="G60" s="28" t="s">
        <v>2</v>
      </c>
      <c r="H60" s="28" t="s">
        <v>0</v>
      </c>
      <c r="I60" s="28" t="s">
        <v>2</v>
      </c>
      <c r="J60" s="28" t="s">
        <v>2</v>
      </c>
      <c r="K60" s="28" t="s">
        <v>2</v>
      </c>
      <c r="L60" s="28" t="s">
        <v>2</v>
      </c>
      <c r="M60" s="28" t="s">
        <v>2</v>
      </c>
      <c r="N60" s="28" t="s">
        <v>2</v>
      </c>
      <c r="O60" s="28" t="s">
        <v>2</v>
      </c>
      <c r="P60" s="28" t="s">
        <v>2</v>
      </c>
      <c r="Q60" s="28" t="s">
        <v>2</v>
      </c>
      <c r="R60" s="28" t="s">
        <v>2</v>
      </c>
      <c r="S60" s="28" t="s">
        <v>2</v>
      </c>
      <c r="T60" s="28" t="s">
        <v>2</v>
      </c>
      <c r="U60" s="28" t="s">
        <v>2</v>
      </c>
      <c r="V60" s="28" t="s">
        <v>2</v>
      </c>
      <c r="W60" s="28" t="s">
        <v>2</v>
      </c>
      <c r="X60" s="28" t="s">
        <v>2</v>
      </c>
      <c r="Y60" s="28" t="s">
        <v>2</v>
      </c>
      <c r="Z60" s="28" t="s">
        <v>2</v>
      </c>
      <c r="AA60" s="28" t="s">
        <v>2</v>
      </c>
      <c r="AB60" s="28" t="s">
        <v>2</v>
      </c>
      <c r="AC60" s="28" t="s">
        <v>2</v>
      </c>
      <c r="AD60" s="28" t="s">
        <v>2</v>
      </c>
      <c r="AE60" s="28" t="s">
        <v>2</v>
      </c>
      <c r="AF60" s="28" t="s">
        <v>2</v>
      </c>
      <c r="AG60" s="28" t="s">
        <v>2</v>
      </c>
      <c r="AH60" s="28" t="s">
        <v>2</v>
      </c>
      <c r="AI60" s="28" t="s">
        <v>2</v>
      </c>
      <c r="AJ60" s="28" t="s">
        <v>2</v>
      </c>
      <c r="AK60" s="28" t="s">
        <v>2</v>
      </c>
      <c r="AL60" s="28" t="s">
        <v>2</v>
      </c>
      <c r="AM60" s="28" t="s">
        <v>2</v>
      </c>
      <c r="AN60" s="28" t="s">
        <v>2</v>
      </c>
    </row>
    <row r="61" spans="1:40" ht="15.75" thickBot="1" x14ac:dyDescent="0.3">
      <c r="A61" s="110"/>
      <c r="B61" s="6">
        <v>37</v>
      </c>
      <c r="C61" s="13" t="s">
        <v>89</v>
      </c>
      <c r="D61" s="95"/>
      <c r="E61" s="28" t="s">
        <v>0</v>
      </c>
      <c r="F61" s="28" t="s">
        <v>2</v>
      </c>
      <c r="G61" s="28" t="s">
        <v>2</v>
      </c>
      <c r="H61" s="28" t="s">
        <v>0</v>
      </c>
      <c r="I61" s="28" t="s">
        <v>2</v>
      </c>
      <c r="J61" s="28" t="s">
        <v>2</v>
      </c>
      <c r="K61" s="28" t="s">
        <v>2</v>
      </c>
      <c r="L61" s="28" t="s">
        <v>2</v>
      </c>
      <c r="M61" s="28" t="s">
        <v>2</v>
      </c>
      <c r="N61" s="28" t="s">
        <v>2</v>
      </c>
      <c r="O61" s="28" t="s">
        <v>2</v>
      </c>
      <c r="P61" s="28" t="s">
        <v>2</v>
      </c>
      <c r="Q61" s="28" t="s">
        <v>2</v>
      </c>
      <c r="R61" s="28" t="s">
        <v>2</v>
      </c>
      <c r="S61" s="28" t="s">
        <v>2</v>
      </c>
      <c r="T61" s="28" t="s">
        <v>2</v>
      </c>
      <c r="U61" s="28" t="s">
        <v>2</v>
      </c>
      <c r="V61" s="28" t="s">
        <v>2</v>
      </c>
      <c r="W61" s="28" t="s">
        <v>2</v>
      </c>
      <c r="X61" s="28" t="s">
        <v>2</v>
      </c>
      <c r="Y61" s="28" t="s">
        <v>2</v>
      </c>
      <c r="Z61" s="28" t="s">
        <v>2</v>
      </c>
      <c r="AA61" s="28" t="s">
        <v>2</v>
      </c>
      <c r="AB61" s="28" t="s">
        <v>2</v>
      </c>
      <c r="AC61" s="28" t="s">
        <v>2</v>
      </c>
      <c r="AD61" s="28" t="s">
        <v>2</v>
      </c>
      <c r="AE61" s="28" t="s">
        <v>2</v>
      </c>
      <c r="AF61" s="28" t="s">
        <v>2</v>
      </c>
      <c r="AG61" s="28" t="s">
        <v>2</v>
      </c>
      <c r="AH61" s="28" t="s">
        <v>0</v>
      </c>
      <c r="AI61" s="28" t="s">
        <v>2</v>
      </c>
      <c r="AJ61" s="28" t="s">
        <v>2</v>
      </c>
      <c r="AK61" s="28" t="s">
        <v>2</v>
      </c>
      <c r="AL61" s="28" t="s">
        <v>2</v>
      </c>
      <c r="AM61" s="28" t="s">
        <v>2</v>
      </c>
      <c r="AN61" s="28" t="s">
        <v>2</v>
      </c>
    </row>
    <row r="62" spans="1:40" ht="15.75" thickBot="1" x14ac:dyDescent="0.3">
      <c r="A62" s="110"/>
      <c r="B62" s="6">
        <v>38</v>
      </c>
      <c r="C62" s="13" t="s">
        <v>76</v>
      </c>
      <c r="D62" s="95"/>
      <c r="E62" s="28" t="s">
        <v>0</v>
      </c>
      <c r="F62" s="28" t="s">
        <v>2</v>
      </c>
      <c r="G62" s="28" t="s">
        <v>2</v>
      </c>
      <c r="H62" s="28" t="s">
        <v>0</v>
      </c>
      <c r="I62" s="28" t="s">
        <v>2</v>
      </c>
      <c r="J62" s="28" t="s">
        <v>2</v>
      </c>
      <c r="K62" s="28" t="s">
        <v>2</v>
      </c>
      <c r="L62" s="28" t="s">
        <v>2</v>
      </c>
      <c r="M62" s="28" t="s">
        <v>2</v>
      </c>
      <c r="N62" s="28" t="s">
        <v>2</v>
      </c>
      <c r="O62" s="28" t="s">
        <v>2</v>
      </c>
      <c r="P62" s="28" t="s">
        <v>2</v>
      </c>
      <c r="Q62" s="28" t="s">
        <v>2</v>
      </c>
      <c r="R62" s="28" t="s">
        <v>2</v>
      </c>
      <c r="S62" s="28" t="s">
        <v>2</v>
      </c>
      <c r="T62" s="28" t="s">
        <v>2</v>
      </c>
      <c r="U62" s="28" t="s">
        <v>2</v>
      </c>
      <c r="V62" s="28" t="s">
        <v>2</v>
      </c>
      <c r="W62" s="28" t="s">
        <v>2</v>
      </c>
      <c r="X62" s="28" t="s">
        <v>2</v>
      </c>
      <c r="Y62" s="28" t="s">
        <v>2</v>
      </c>
      <c r="Z62" s="28" t="s">
        <v>2</v>
      </c>
      <c r="AA62" s="28" t="s">
        <v>2</v>
      </c>
      <c r="AB62" s="28" t="s">
        <v>2</v>
      </c>
      <c r="AC62" s="28" t="s">
        <v>2</v>
      </c>
      <c r="AD62" s="28" t="s">
        <v>2</v>
      </c>
      <c r="AE62" s="28" t="s">
        <v>2</v>
      </c>
      <c r="AF62" s="28" t="s">
        <v>2</v>
      </c>
      <c r="AG62" s="28" t="s">
        <v>2</v>
      </c>
      <c r="AH62" s="28" t="s">
        <v>2</v>
      </c>
      <c r="AI62" s="28" t="s">
        <v>2</v>
      </c>
      <c r="AJ62" s="28" t="s">
        <v>2</v>
      </c>
      <c r="AK62" s="28" t="s">
        <v>2</v>
      </c>
      <c r="AL62" s="28" t="s">
        <v>2</v>
      </c>
      <c r="AM62" s="28" t="s">
        <v>2</v>
      </c>
      <c r="AN62" s="28" t="s">
        <v>2</v>
      </c>
    </row>
    <row r="63" spans="1:40" ht="15.75" thickBot="1" x14ac:dyDescent="0.3">
      <c r="A63" s="110"/>
      <c r="B63" s="3">
        <v>39</v>
      </c>
      <c r="C63" s="13" t="s">
        <v>77</v>
      </c>
      <c r="D63" s="95"/>
      <c r="E63" s="28" t="s">
        <v>0</v>
      </c>
      <c r="F63" s="28" t="s">
        <v>2</v>
      </c>
      <c r="G63" s="28" t="s">
        <v>2</v>
      </c>
      <c r="H63" s="28" t="s">
        <v>0</v>
      </c>
      <c r="I63" s="28" t="s">
        <v>2</v>
      </c>
      <c r="J63" s="28" t="s">
        <v>2</v>
      </c>
      <c r="K63" s="28" t="s">
        <v>2</v>
      </c>
      <c r="L63" s="28" t="s">
        <v>2</v>
      </c>
      <c r="M63" s="28" t="s">
        <v>2</v>
      </c>
      <c r="N63" s="28" t="s">
        <v>2</v>
      </c>
      <c r="O63" s="28" t="s">
        <v>2</v>
      </c>
      <c r="P63" s="28" t="s">
        <v>0</v>
      </c>
      <c r="Q63" s="28" t="s">
        <v>2</v>
      </c>
      <c r="R63" s="28" t="s">
        <v>2</v>
      </c>
      <c r="S63" s="28" t="s">
        <v>2</v>
      </c>
      <c r="T63" s="28" t="s">
        <v>2</v>
      </c>
      <c r="U63" s="28" t="s">
        <v>0</v>
      </c>
      <c r="V63" s="28" t="s">
        <v>2</v>
      </c>
      <c r="W63" s="28" t="s">
        <v>0</v>
      </c>
      <c r="X63" s="28" t="s">
        <v>2</v>
      </c>
      <c r="Y63" s="28" t="s">
        <v>2</v>
      </c>
      <c r="Z63" s="28" t="s">
        <v>0</v>
      </c>
      <c r="AA63" s="28" t="s">
        <v>2</v>
      </c>
      <c r="AB63" s="28" t="s">
        <v>2</v>
      </c>
      <c r="AC63" s="28" t="s">
        <v>2</v>
      </c>
      <c r="AD63" s="28" t="s">
        <v>2</v>
      </c>
      <c r="AE63" s="28" t="s">
        <v>2</v>
      </c>
      <c r="AF63" s="28" t="s">
        <v>0</v>
      </c>
      <c r="AG63" s="28" t="s">
        <v>2</v>
      </c>
      <c r="AH63" s="28" t="s">
        <v>2</v>
      </c>
      <c r="AI63" s="28" t="s">
        <v>2</v>
      </c>
      <c r="AJ63" s="28" t="s">
        <v>2</v>
      </c>
      <c r="AK63" s="28" t="s">
        <v>2</v>
      </c>
      <c r="AL63" s="28" t="s">
        <v>2</v>
      </c>
      <c r="AM63" s="28" t="s">
        <v>2</v>
      </c>
      <c r="AN63" s="28" t="s">
        <v>0</v>
      </c>
    </row>
    <row r="64" spans="1:40" ht="15.75" thickBot="1" x14ac:dyDescent="0.3">
      <c r="A64" s="110"/>
      <c r="B64" s="6">
        <v>40</v>
      </c>
      <c r="C64" s="13" t="s">
        <v>59</v>
      </c>
      <c r="D64" s="95"/>
      <c r="E64" s="28" t="s">
        <v>0</v>
      </c>
      <c r="F64" s="28" t="s">
        <v>2</v>
      </c>
      <c r="G64" s="28" t="s">
        <v>2</v>
      </c>
      <c r="H64" s="28" t="s">
        <v>0</v>
      </c>
      <c r="I64" s="28" t="s">
        <v>2</v>
      </c>
      <c r="J64" s="28" t="s">
        <v>2</v>
      </c>
      <c r="K64" s="28" t="s">
        <v>2</v>
      </c>
      <c r="L64" s="28" t="s">
        <v>2</v>
      </c>
      <c r="M64" s="28" t="s">
        <v>2</v>
      </c>
      <c r="N64" s="28" t="s">
        <v>2</v>
      </c>
      <c r="O64" s="28" t="s">
        <v>2</v>
      </c>
      <c r="P64" s="28" t="s">
        <v>2</v>
      </c>
      <c r="Q64" s="28" t="s">
        <v>0</v>
      </c>
      <c r="R64" s="28" t="s">
        <v>2</v>
      </c>
      <c r="S64" s="28" t="s">
        <v>2</v>
      </c>
      <c r="T64" s="28" t="s">
        <v>0</v>
      </c>
      <c r="U64" s="28" t="s">
        <v>2</v>
      </c>
      <c r="V64" s="28" t="s">
        <v>2</v>
      </c>
      <c r="W64" s="28" t="s">
        <v>2</v>
      </c>
      <c r="X64" s="28" t="s">
        <v>2</v>
      </c>
      <c r="Y64" s="28" t="s">
        <v>2</v>
      </c>
      <c r="Z64" s="28" t="s">
        <v>2</v>
      </c>
      <c r="AA64" s="28" t="s">
        <v>2</v>
      </c>
      <c r="AB64" s="28" t="s">
        <v>2</v>
      </c>
      <c r="AC64" s="28" t="s">
        <v>2</v>
      </c>
      <c r="AD64" s="28" t="s">
        <v>2</v>
      </c>
      <c r="AE64" s="28" t="s">
        <v>2</v>
      </c>
      <c r="AF64" s="28" t="s">
        <v>2</v>
      </c>
      <c r="AG64" s="28" t="s">
        <v>2</v>
      </c>
      <c r="AH64" s="28" t="s">
        <v>2</v>
      </c>
      <c r="AI64" s="28" t="s">
        <v>2</v>
      </c>
      <c r="AJ64" s="28" t="s">
        <v>2</v>
      </c>
      <c r="AK64" s="28" t="s">
        <v>2</v>
      </c>
      <c r="AL64" s="28" t="s">
        <v>2</v>
      </c>
      <c r="AM64" s="28" t="s">
        <v>2</v>
      </c>
      <c r="AN64" s="28" t="s">
        <v>2</v>
      </c>
    </row>
    <row r="65" spans="1:40" ht="15.75" thickBot="1" x14ac:dyDescent="0.3">
      <c r="A65" s="110"/>
      <c r="B65" s="3">
        <v>41</v>
      </c>
      <c r="C65" s="13" t="s">
        <v>61</v>
      </c>
      <c r="D65" s="95"/>
      <c r="E65" s="28" t="s">
        <v>0</v>
      </c>
      <c r="F65" s="28" t="s">
        <v>2</v>
      </c>
      <c r="G65" s="28" t="s">
        <v>2</v>
      </c>
      <c r="H65" s="28" t="s">
        <v>0</v>
      </c>
      <c r="I65" s="28" t="s">
        <v>2</v>
      </c>
      <c r="J65" s="28" t="s">
        <v>2</v>
      </c>
      <c r="K65" s="28" t="s">
        <v>2</v>
      </c>
      <c r="L65" s="28" t="s">
        <v>2</v>
      </c>
      <c r="M65" s="28" t="s">
        <v>2</v>
      </c>
      <c r="N65" s="28" t="s">
        <v>2</v>
      </c>
      <c r="O65" s="28" t="s">
        <v>2</v>
      </c>
      <c r="P65" s="28" t="s">
        <v>2</v>
      </c>
      <c r="Q65" s="28" t="s">
        <v>2</v>
      </c>
      <c r="R65" s="28" t="s">
        <v>2</v>
      </c>
      <c r="S65" s="28" t="s">
        <v>2</v>
      </c>
      <c r="T65" s="28" t="s">
        <v>2</v>
      </c>
      <c r="U65" s="28" t="s">
        <v>2</v>
      </c>
      <c r="V65" s="28" t="s">
        <v>2</v>
      </c>
      <c r="W65" s="28" t="s">
        <v>0</v>
      </c>
      <c r="X65" s="28" t="s">
        <v>2</v>
      </c>
      <c r="Y65" s="28" t="s">
        <v>2</v>
      </c>
      <c r="Z65" s="28" t="s">
        <v>2</v>
      </c>
      <c r="AA65" s="28" t="s">
        <v>2</v>
      </c>
      <c r="AB65" s="28" t="s">
        <v>2</v>
      </c>
      <c r="AC65" s="28" t="s">
        <v>2</v>
      </c>
      <c r="AD65" s="28" t="s">
        <v>2</v>
      </c>
      <c r="AE65" s="28" t="s">
        <v>2</v>
      </c>
      <c r="AF65" s="28" t="s">
        <v>2</v>
      </c>
      <c r="AG65" s="28" t="s">
        <v>2</v>
      </c>
      <c r="AH65" s="28" t="s">
        <v>2</v>
      </c>
      <c r="AI65" s="28" t="s">
        <v>2</v>
      </c>
      <c r="AJ65" s="28" t="s">
        <v>2</v>
      </c>
      <c r="AK65" s="28" t="s">
        <v>2</v>
      </c>
      <c r="AL65" s="28" t="s">
        <v>2</v>
      </c>
      <c r="AM65" s="28" t="s">
        <v>2</v>
      </c>
      <c r="AN65" s="28" t="s">
        <v>2</v>
      </c>
    </row>
    <row r="66" spans="1:40" ht="15.75" thickBot="1" x14ac:dyDescent="0.3">
      <c r="A66" s="110"/>
      <c r="B66" s="6">
        <v>42</v>
      </c>
      <c r="C66" s="13" t="s">
        <v>62</v>
      </c>
      <c r="D66" s="95"/>
      <c r="E66" s="28" t="s">
        <v>0</v>
      </c>
      <c r="F66" s="28" t="s">
        <v>2</v>
      </c>
      <c r="G66" s="28" t="s">
        <v>2</v>
      </c>
      <c r="H66" s="28" t="s">
        <v>0</v>
      </c>
      <c r="I66" s="28" t="s">
        <v>2</v>
      </c>
      <c r="J66" s="28" t="s">
        <v>2</v>
      </c>
      <c r="K66" s="28" t="s">
        <v>2</v>
      </c>
      <c r="L66" s="28" t="s">
        <v>2</v>
      </c>
      <c r="M66" s="28" t="s">
        <v>2</v>
      </c>
      <c r="N66" s="28" t="s">
        <v>2</v>
      </c>
      <c r="O66" s="28" t="s">
        <v>2</v>
      </c>
      <c r="P66" s="28" t="s">
        <v>2</v>
      </c>
      <c r="Q66" s="28" t="s">
        <v>2</v>
      </c>
      <c r="R66" s="28" t="s">
        <v>2</v>
      </c>
      <c r="S66" s="28" t="s">
        <v>2</v>
      </c>
      <c r="T66" s="28" t="s">
        <v>2</v>
      </c>
      <c r="U66" s="28" t="s">
        <v>2</v>
      </c>
      <c r="V66" s="28" t="s">
        <v>2</v>
      </c>
      <c r="W66" s="28" t="s">
        <v>2</v>
      </c>
      <c r="X66" s="28" t="s">
        <v>2</v>
      </c>
      <c r="Y66" s="28" t="s">
        <v>2</v>
      </c>
      <c r="Z66" s="28" t="s">
        <v>2</v>
      </c>
      <c r="AA66" s="28" t="s">
        <v>2</v>
      </c>
      <c r="AB66" s="28" t="s">
        <v>2</v>
      </c>
      <c r="AC66" s="28" t="s">
        <v>2</v>
      </c>
      <c r="AD66" s="28" t="s">
        <v>2</v>
      </c>
      <c r="AE66" s="28" t="s">
        <v>2</v>
      </c>
      <c r="AF66" s="28" t="s">
        <v>2</v>
      </c>
      <c r="AG66" s="28" t="s">
        <v>2</v>
      </c>
      <c r="AH66" s="28" t="s">
        <v>2</v>
      </c>
      <c r="AI66" s="28" t="s">
        <v>2</v>
      </c>
      <c r="AJ66" s="28" t="s">
        <v>2</v>
      </c>
      <c r="AK66" s="28" t="s">
        <v>2</v>
      </c>
      <c r="AL66" s="28" t="s">
        <v>2</v>
      </c>
      <c r="AM66" s="28" t="s">
        <v>2</v>
      </c>
      <c r="AN66" s="28" t="s">
        <v>2</v>
      </c>
    </row>
    <row r="67" spans="1:40" ht="15.75" thickBot="1" x14ac:dyDescent="0.3">
      <c r="A67" s="111"/>
      <c r="B67" s="8">
        <v>43</v>
      </c>
      <c r="C67" s="18" t="s">
        <v>78</v>
      </c>
      <c r="D67" s="100"/>
      <c r="E67" s="28" t="s">
        <v>0</v>
      </c>
      <c r="F67" s="28" t="s">
        <v>2</v>
      </c>
      <c r="G67" s="28" t="s">
        <v>2</v>
      </c>
      <c r="H67" s="28" t="s">
        <v>0</v>
      </c>
      <c r="I67" s="28" t="s">
        <v>2</v>
      </c>
      <c r="J67" s="28" t="s">
        <v>2</v>
      </c>
      <c r="K67" s="28" t="s">
        <v>2</v>
      </c>
      <c r="L67" s="28" t="s">
        <v>2</v>
      </c>
      <c r="M67" s="28" t="s">
        <v>2</v>
      </c>
      <c r="N67" s="28" t="s">
        <v>2</v>
      </c>
      <c r="O67" s="28" t="s">
        <v>2</v>
      </c>
      <c r="P67" s="28" t="s">
        <v>2</v>
      </c>
      <c r="Q67" s="28" t="s">
        <v>2</v>
      </c>
      <c r="R67" s="28" t="s">
        <v>2</v>
      </c>
      <c r="S67" s="28" t="s">
        <v>2</v>
      </c>
      <c r="T67" s="28" t="s">
        <v>2</v>
      </c>
      <c r="U67" s="28" t="s">
        <v>2</v>
      </c>
      <c r="V67" s="28" t="s">
        <v>2</v>
      </c>
      <c r="W67" s="28" t="s">
        <v>2</v>
      </c>
      <c r="X67" s="28" t="s">
        <v>2</v>
      </c>
      <c r="Y67" s="28" t="s">
        <v>2</v>
      </c>
      <c r="Z67" s="28" t="s">
        <v>2</v>
      </c>
      <c r="AA67" s="28" t="s">
        <v>2</v>
      </c>
      <c r="AB67" s="28" t="s">
        <v>2</v>
      </c>
      <c r="AC67" s="28" t="s">
        <v>2</v>
      </c>
      <c r="AD67" s="28" t="s">
        <v>2</v>
      </c>
      <c r="AE67" s="28" t="s">
        <v>2</v>
      </c>
      <c r="AF67" s="28" t="s">
        <v>2</v>
      </c>
      <c r="AG67" s="28" t="s">
        <v>2</v>
      </c>
      <c r="AH67" s="28" t="s">
        <v>2</v>
      </c>
      <c r="AI67" s="28" t="s">
        <v>2</v>
      </c>
      <c r="AJ67" s="28" t="s">
        <v>2</v>
      </c>
      <c r="AK67" s="28" t="s">
        <v>2</v>
      </c>
      <c r="AL67" s="28" t="s">
        <v>2</v>
      </c>
      <c r="AM67" s="28" t="s">
        <v>2</v>
      </c>
      <c r="AN67" s="28" t="s">
        <v>2</v>
      </c>
    </row>
    <row r="68" spans="1:40" ht="15.75" thickBot="1" x14ac:dyDescent="0.3">
      <c r="A68" s="110" t="s">
        <v>90</v>
      </c>
      <c r="B68" s="6">
        <v>44</v>
      </c>
      <c r="C68" s="19" t="s">
        <v>45</v>
      </c>
      <c r="D68" s="98"/>
      <c r="E68" s="28" t="s">
        <v>0</v>
      </c>
      <c r="F68" s="28" t="s">
        <v>2</v>
      </c>
      <c r="G68" s="28" t="s">
        <v>2</v>
      </c>
      <c r="H68" s="28" t="s">
        <v>0</v>
      </c>
      <c r="I68" s="28" t="s">
        <v>2</v>
      </c>
      <c r="J68" s="28" t="s">
        <v>2</v>
      </c>
      <c r="K68" s="28" t="s">
        <v>2</v>
      </c>
      <c r="L68" s="28" t="s">
        <v>2</v>
      </c>
      <c r="M68" s="28" t="s">
        <v>2</v>
      </c>
      <c r="N68" s="28" t="s">
        <v>2</v>
      </c>
      <c r="O68" s="28" t="s">
        <v>2</v>
      </c>
      <c r="P68" s="28" t="s">
        <v>2</v>
      </c>
      <c r="Q68" s="28" t="s">
        <v>2</v>
      </c>
      <c r="R68" s="28" t="s">
        <v>2</v>
      </c>
      <c r="S68" s="28" t="s">
        <v>2</v>
      </c>
      <c r="T68" s="28" t="s">
        <v>2</v>
      </c>
      <c r="U68" s="28" t="s">
        <v>2</v>
      </c>
      <c r="V68" s="28" t="s">
        <v>2</v>
      </c>
      <c r="W68" s="28" t="s">
        <v>2</v>
      </c>
      <c r="X68" s="28" t="s">
        <v>2</v>
      </c>
      <c r="Y68" s="28" t="s">
        <v>2</v>
      </c>
      <c r="Z68" s="28" t="s">
        <v>2</v>
      </c>
      <c r="AA68" s="28" t="s">
        <v>2</v>
      </c>
      <c r="AB68" s="28" t="s">
        <v>2</v>
      </c>
      <c r="AC68" s="28" t="s">
        <v>2</v>
      </c>
      <c r="AD68" s="28" t="s">
        <v>2</v>
      </c>
      <c r="AE68" s="28" t="s">
        <v>2</v>
      </c>
      <c r="AF68" s="28" t="s">
        <v>2</v>
      </c>
      <c r="AG68" s="28" t="s">
        <v>2</v>
      </c>
      <c r="AH68" s="28" t="s">
        <v>2</v>
      </c>
      <c r="AI68" s="28" t="s">
        <v>2</v>
      </c>
      <c r="AJ68" s="28" t="s">
        <v>2</v>
      </c>
      <c r="AK68" s="28" t="s">
        <v>2</v>
      </c>
      <c r="AL68" s="28" t="s">
        <v>2</v>
      </c>
      <c r="AM68" s="28" t="s">
        <v>2</v>
      </c>
      <c r="AN68" s="28" t="s">
        <v>2</v>
      </c>
    </row>
    <row r="69" spans="1:40" ht="15.75" thickBot="1" x14ac:dyDescent="0.3">
      <c r="A69" s="110"/>
      <c r="B69" s="3">
        <v>45</v>
      </c>
      <c r="C69" s="13" t="s">
        <v>59</v>
      </c>
      <c r="D69" s="95"/>
      <c r="E69" s="28" t="s">
        <v>0</v>
      </c>
      <c r="F69" s="28" t="s">
        <v>2</v>
      </c>
      <c r="G69" s="28" t="s">
        <v>2</v>
      </c>
      <c r="H69" s="28" t="s">
        <v>0</v>
      </c>
      <c r="I69" s="28" t="s">
        <v>2</v>
      </c>
      <c r="J69" s="28" t="s">
        <v>2</v>
      </c>
      <c r="K69" s="28" t="s">
        <v>2</v>
      </c>
      <c r="L69" s="28" t="s">
        <v>2</v>
      </c>
      <c r="M69" s="28" t="s">
        <v>2</v>
      </c>
      <c r="N69" s="28" t="s">
        <v>2</v>
      </c>
      <c r="O69" s="28" t="s">
        <v>2</v>
      </c>
      <c r="P69" s="28" t="s">
        <v>2</v>
      </c>
      <c r="Q69" s="28" t="s">
        <v>2</v>
      </c>
      <c r="R69" s="28" t="s">
        <v>2</v>
      </c>
      <c r="S69" s="28" t="s">
        <v>2</v>
      </c>
      <c r="T69" s="28" t="s">
        <v>2</v>
      </c>
      <c r="U69" s="28" t="s">
        <v>2</v>
      </c>
      <c r="V69" s="28" t="s">
        <v>2</v>
      </c>
      <c r="W69" s="28" t="s">
        <v>2</v>
      </c>
      <c r="X69" s="28" t="s">
        <v>2</v>
      </c>
      <c r="Y69" s="28" t="s">
        <v>2</v>
      </c>
      <c r="Z69" s="28" t="s">
        <v>2</v>
      </c>
      <c r="AA69" s="28" t="s">
        <v>2</v>
      </c>
      <c r="AB69" s="28" t="s">
        <v>2</v>
      </c>
      <c r="AC69" s="28" t="s">
        <v>2</v>
      </c>
      <c r="AD69" s="28" t="s">
        <v>2</v>
      </c>
      <c r="AE69" s="28" t="s">
        <v>2</v>
      </c>
      <c r="AF69" s="28" t="s">
        <v>2</v>
      </c>
      <c r="AG69" s="28" t="s">
        <v>2</v>
      </c>
      <c r="AH69" s="28" t="s">
        <v>2</v>
      </c>
      <c r="AI69" s="28" t="s">
        <v>2</v>
      </c>
      <c r="AJ69" s="28" t="s">
        <v>2</v>
      </c>
      <c r="AK69" s="28" t="s">
        <v>2</v>
      </c>
      <c r="AL69" s="28" t="s">
        <v>2</v>
      </c>
      <c r="AM69" s="28" t="s">
        <v>2</v>
      </c>
      <c r="AN69" s="28" t="s">
        <v>2</v>
      </c>
    </row>
    <row r="70" spans="1:40" ht="15.75" thickBot="1" x14ac:dyDescent="0.3">
      <c r="A70" s="110"/>
      <c r="B70" s="3">
        <f t="shared" ref="B70:B75" si="1">B69+1</f>
        <v>46</v>
      </c>
      <c r="C70" s="13" t="s">
        <v>61</v>
      </c>
      <c r="D70" s="95"/>
      <c r="E70" s="28" t="s">
        <v>0</v>
      </c>
      <c r="F70" s="28" t="s">
        <v>2</v>
      </c>
      <c r="G70" s="28" t="s">
        <v>2</v>
      </c>
      <c r="H70" s="28" t="s">
        <v>0</v>
      </c>
      <c r="I70" s="28" t="s">
        <v>2</v>
      </c>
      <c r="J70" s="28" t="s">
        <v>2</v>
      </c>
      <c r="K70" s="28" t="s">
        <v>2</v>
      </c>
      <c r="L70" s="28" t="s">
        <v>2</v>
      </c>
      <c r="M70" s="28" t="s">
        <v>2</v>
      </c>
      <c r="N70" s="28" t="s">
        <v>2</v>
      </c>
      <c r="O70" s="28" t="s">
        <v>2</v>
      </c>
      <c r="P70" s="28" t="s">
        <v>2</v>
      </c>
      <c r="Q70" s="28" t="s">
        <v>2</v>
      </c>
      <c r="R70" s="28" t="s">
        <v>2</v>
      </c>
      <c r="S70" s="28" t="s">
        <v>2</v>
      </c>
      <c r="T70" s="28" t="s">
        <v>2</v>
      </c>
      <c r="U70" s="28" t="s">
        <v>2</v>
      </c>
      <c r="V70" s="28" t="s">
        <v>2</v>
      </c>
      <c r="W70" s="28" t="s">
        <v>2</v>
      </c>
      <c r="X70" s="28" t="s">
        <v>2</v>
      </c>
      <c r="Y70" s="28" t="s">
        <v>2</v>
      </c>
      <c r="Z70" s="28" t="s">
        <v>2</v>
      </c>
      <c r="AA70" s="28" t="s">
        <v>2</v>
      </c>
      <c r="AB70" s="28" t="s">
        <v>2</v>
      </c>
      <c r="AC70" s="28" t="s">
        <v>2</v>
      </c>
      <c r="AD70" s="28" t="s">
        <v>2</v>
      </c>
      <c r="AE70" s="28" t="s">
        <v>2</v>
      </c>
      <c r="AF70" s="28" t="s">
        <v>2</v>
      </c>
      <c r="AG70" s="28" t="s">
        <v>2</v>
      </c>
      <c r="AH70" s="28" t="s">
        <v>2</v>
      </c>
      <c r="AI70" s="28" t="s">
        <v>2</v>
      </c>
      <c r="AJ70" s="28" t="s">
        <v>2</v>
      </c>
      <c r="AK70" s="28" t="s">
        <v>2</v>
      </c>
      <c r="AL70" s="28" t="s">
        <v>2</v>
      </c>
      <c r="AM70" s="28" t="s">
        <v>2</v>
      </c>
      <c r="AN70" s="28" t="s">
        <v>2</v>
      </c>
    </row>
    <row r="71" spans="1:40" ht="15.75" thickBot="1" x14ac:dyDescent="0.3">
      <c r="A71" s="110"/>
      <c r="B71" s="3">
        <f t="shared" si="1"/>
        <v>47</v>
      </c>
      <c r="C71" s="14" t="s">
        <v>64</v>
      </c>
      <c r="D71" s="96"/>
      <c r="E71" s="28" t="s">
        <v>0</v>
      </c>
      <c r="F71" s="28" t="s">
        <v>2</v>
      </c>
      <c r="G71" s="28" t="s">
        <v>2</v>
      </c>
      <c r="H71" s="28" t="s">
        <v>0</v>
      </c>
      <c r="I71" s="28" t="s">
        <v>2</v>
      </c>
      <c r="J71" s="28" t="s">
        <v>2</v>
      </c>
      <c r="K71" s="28" t="s">
        <v>2</v>
      </c>
      <c r="L71" s="28" t="s">
        <v>2</v>
      </c>
      <c r="M71" s="28" t="s">
        <v>2</v>
      </c>
      <c r="N71" s="28" t="s">
        <v>2</v>
      </c>
      <c r="O71" s="28" t="s">
        <v>2</v>
      </c>
      <c r="P71" s="28" t="s">
        <v>2</v>
      </c>
      <c r="Q71" s="28" t="s">
        <v>2</v>
      </c>
      <c r="R71" s="28" t="s">
        <v>2</v>
      </c>
      <c r="S71" s="28" t="s">
        <v>2</v>
      </c>
      <c r="T71" s="28" t="s">
        <v>2</v>
      </c>
      <c r="U71" s="28" t="s">
        <v>2</v>
      </c>
      <c r="V71" s="28" t="s">
        <v>2</v>
      </c>
      <c r="W71" s="28" t="s">
        <v>2</v>
      </c>
      <c r="X71" s="28" t="s">
        <v>2</v>
      </c>
      <c r="Y71" s="28" t="s">
        <v>2</v>
      </c>
      <c r="Z71" s="28" t="s">
        <v>0</v>
      </c>
      <c r="AA71" s="28" t="s">
        <v>2</v>
      </c>
      <c r="AB71" s="28" t="s">
        <v>2</v>
      </c>
      <c r="AC71" s="28" t="s">
        <v>2</v>
      </c>
      <c r="AD71" s="28" t="s">
        <v>2</v>
      </c>
      <c r="AE71" s="28" t="s">
        <v>2</v>
      </c>
      <c r="AF71" s="28" t="s">
        <v>2</v>
      </c>
      <c r="AG71" s="28" t="s">
        <v>2</v>
      </c>
      <c r="AH71" s="28" t="s">
        <v>0</v>
      </c>
      <c r="AI71" s="28" t="s">
        <v>2</v>
      </c>
      <c r="AJ71" s="28" t="s">
        <v>2</v>
      </c>
      <c r="AK71" s="28" t="s">
        <v>2</v>
      </c>
      <c r="AL71" s="28" t="s">
        <v>2</v>
      </c>
      <c r="AM71" s="28" t="s">
        <v>2</v>
      </c>
      <c r="AN71" s="28" t="s">
        <v>2</v>
      </c>
    </row>
    <row r="72" spans="1:40" ht="15.75" thickBot="1" x14ac:dyDescent="0.3">
      <c r="A72" s="110"/>
      <c r="B72" s="3">
        <f t="shared" si="1"/>
        <v>48</v>
      </c>
      <c r="C72" s="13" t="s">
        <v>62</v>
      </c>
      <c r="D72" s="95"/>
      <c r="E72" s="28" t="s">
        <v>0</v>
      </c>
      <c r="F72" s="28" t="s">
        <v>2</v>
      </c>
      <c r="G72" s="28" t="s">
        <v>2</v>
      </c>
      <c r="H72" s="28" t="s">
        <v>0</v>
      </c>
      <c r="I72" s="28" t="s">
        <v>2</v>
      </c>
      <c r="J72" s="28" t="s">
        <v>2</v>
      </c>
      <c r="K72" s="28" t="s">
        <v>2</v>
      </c>
      <c r="L72" s="28" t="s">
        <v>2</v>
      </c>
      <c r="M72" s="28" t="s">
        <v>2</v>
      </c>
      <c r="N72" s="28" t="s">
        <v>2</v>
      </c>
      <c r="O72" s="28" t="s">
        <v>2</v>
      </c>
      <c r="P72" s="28" t="s">
        <v>2</v>
      </c>
      <c r="Q72" s="28" t="s">
        <v>2</v>
      </c>
      <c r="R72" s="28" t="s">
        <v>2</v>
      </c>
      <c r="S72" s="28" t="s">
        <v>2</v>
      </c>
      <c r="T72" s="28" t="s">
        <v>2</v>
      </c>
      <c r="U72" s="28" t="s">
        <v>0</v>
      </c>
      <c r="V72" s="28" t="s">
        <v>2</v>
      </c>
      <c r="W72" s="28" t="s">
        <v>2</v>
      </c>
      <c r="X72" s="28" t="s">
        <v>2</v>
      </c>
      <c r="Y72" s="28" t="s">
        <v>2</v>
      </c>
      <c r="Z72" s="28" t="s">
        <v>2</v>
      </c>
      <c r="AA72" s="28" t="s">
        <v>2</v>
      </c>
      <c r="AB72" s="28" t="s">
        <v>2</v>
      </c>
      <c r="AC72" s="28" t="s">
        <v>2</v>
      </c>
      <c r="AD72" s="28" t="s">
        <v>2</v>
      </c>
      <c r="AE72" s="28" t="s">
        <v>2</v>
      </c>
      <c r="AF72" s="28" t="s">
        <v>2</v>
      </c>
      <c r="AG72" s="28" t="s">
        <v>2</v>
      </c>
      <c r="AH72" s="28" t="s">
        <v>2</v>
      </c>
      <c r="AI72" s="28" t="s">
        <v>2</v>
      </c>
      <c r="AJ72" s="28" t="s">
        <v>2</v>
      </c>
      <c r="AK72" s="28" t="s">
        <v>2</v>
      </c>
      <c r="AL72" s="28" t="s">
        <v>2</v>
      </c>
      <c r="AM72" s="28" t="s">
        <v>2</v>
      </c>
      <c r="AN72" s="28" t="s">
        <v>2</v>
      </c>
    </row>
    <row r="73" spans="1:40" ht="15.75" thickBot="1" x14ac:dyDescent="0.3">
      <c r="A73" s="110"/>
      <c r="B73" s="3">
        <f t="shared" si="1"/>
        <v>49</v>
      </c>
      <c r="C73" s="13" t="s">
        <v>91</v>
      </c>
      <c r="D73" s="95"/>
      <c r="E73" s="28" t="s">
        <v>0</v>
      </c>
      <c r="F73" s="28" t="s">
        <v>2</v>
      </c>
      <c r="G73" s="28" t="s">
        <v>2</v>
      </c>
      <c r="H73" s="28" t="s">
        <v>0</v>
      </c>
      <c r="I73" s="28" t="s">
        <v>2</v>
      </c>
      <c r="J73" s="28" t="s">
        <v>2</v>
      </c>
      <c r="K73" s="28" t="s">
        <v>2</v>
      </c>
      <c r="L73" s="28" t="s">
        <v>2</v>
      </c>
      <c r="M73" s="28" t="s">
        <v>2</v>
      </c>
      <c r="N73" s="28" t="s">
        <v>2</v>
      </c>
      <c r="O73" s="28" t="s">
        <v>2</v>
      </c>
      <c r="P73" s="28" t="s">
        <v>2</v>
      </c>
      <c r="Q73" s="28" t="s">
        <v>2</v>
      </c>
      <c r="R73" s="28" t="s">
        <v>2</v>
      </c>
      <c r="S73" s="28" t="s">
        <v>2</v>
      </c>
      <c r="T73" s="28" t="s">
        <v>2</v>
      </c>
      <c r="U73" s="28" t="s">
        <v>2</v>
      </c>
      <c r="V73" s="28" t="s">
        <v>2</v>
      </c>
      <c r="W73" s="28" t="s">
        <v>2</v>
      </c>
      <c r="X73" s="28" t="s">
        <v>2</v>
      </c>
      <c r="Y73" s="28" t="s">
        <v>2</v>
      </c>
      <c r="Z73" s="28" t="s">
        <v>2</v>
      </c>
      <c r="AA73" s="28" t="s">
        <v>2</v>
      </c>
      <c r="AB73" s="28" t="s">
        <v>2</v>
      </c>
      <c r="AC73" s="28" t="s">
        <v>2</v>
      </c>
      <c r="AD73" s="28" t="s">
        <v>2</v>
      </c>
      <c r="AE73" s="28" t="s">
        <v>2</v>
      </c>
      <c r="AF73" s="28" t="s">
        <v>2</v>
      </c>
      <c r="AG73" s="28" t="s">
        <v>2</v>
      </c>
      <c r="AH73" s="28" t="s">
        <v>2</v>
      </c>
      <c r="AI73" s="28" t="s">
        <v>2</v>
      </c>
      <c r="AJ73" s="28" t="s">
        <v>2</v>
      </c>
      <c r="AK73" s="28" t="s">
        <v>2</v>
      </c>
      <c r="AL73" s="28" t="s">
        <v>2</v>
      </c>
      <c r="AM73" s="28" t="s">
        <v>2</v>
      </c>
      <c r="AN73" s="28" t="s">
        <v>2</v>
      </c>
    </row>
    <row r="74" spans="1:40" ht="15.75" thickBot="1" x14ac:dyDescent="0.3">
      <c r="A74" s="110"/>
      <c r="B74" s="3">
        <f t="shared" si="1"/>
        <v>50</v>
      </c>
      <c r="C74" s="14" t="s">
        <v>92</v>
      </c>
      <c r="D74" s="96"/>
      <c r="E74" s="28" t="s">
        <v>0</v>
      </c>
      <c r="F74" s="28" t="s">
        <v>2</v>
      </c>
      <c r="G74" s="28" t="s">
        <v>2</v>
      </c>
      <c r="H74" s="28" t="s">
        <v>0</v>
      </c>
      <c r="I74" s="28" t="s">
        <v>2</v>
      </c>
      <c r="J74" s="28" t="s">
        <v>2</v>
      </c>
      <c r="K74" s="28" t="s">
        <v>2</v>
      </c>
      <c r="L74" s="28" t="s">
        <v>2</v>
      </c>
      <c r="M74" s="28" t="s">
        <v>2</v>
      </c>
      <c r="N74" s="28" t="s">
        <v>2</v>
      </c>
      <c r="O74" s="28" t="s">
        <v>2</v>
      </c>
      <c r="P74" s="28" t="s">
        <v>2</v>
      </c>
      <c r="Q74" s="28" t="s">
        <v>2</v>
      </c>
      <c r="R74" s="28" t="s">
        <v>2</v>
      </c>
      <c r="S74" s="28" t="s">
        <v>2</v>
      </c>
      <c r="T74" s="28" t="s">
        <v>2</v>
      </c>
      <c r="U74" s="28" t="s">
        <v>2</v>
      </c>
      <c r="V74" s="28" t="s">
        <v>2</v>
      </c>
      <c r="W74" s="28" t="s">
        <v>2</v>
      </c>
      <c r="X74" s="28" t="s">
        <v>2</v>
      </c>
      <c r="Y74" s="28" t="s">
        <v>2</v>
      </c>
      <c r="Z74" s="28" t="s">
        <v>2</v>
      </c>
      <c r="AA74" s="28" t="s">
        <v>2</v>
      </c>
      <c r="AB74" s="28" t="s">
        <v>2</v>
      </c>
      <c r="AC74" s="28" t="s">
        <v>2</v>
      </c>
      <c r="AD74" s="28" t="s">
        <v>2</v>
      </c>
      <c r="AE74" s="28" t="s">
        <v>2</v>
      </c>
      <c r="AF74" s="28" t="s">
        <v>2</v>
      </c>
      <c r="AG74" s="28" t="s">
        <v>2</v>
      </c>
      <c r="AH74" s="28" t="s">
        <v>2</v>
      </c>
      <c r="AI74" s="28" t="s">
        <v>2</v>
      </c>
      <c r="AJ74" s="28" t="s">
        <v>2</v>
      </c>
      <c r="AK74" s="28" t="s">
        <v>2</v>
      </c>
      <c r="AL74" s="28" t="s">
        <v>2</v>
      </c>
      <c r="AM74" s="28" t="s">
        <v>2</v>
      </c>
      <c r="AN74" s="28" t="s">
        <v>2</v>
      </c>
    </row>
    <row r="75" spans="1:40" ht="15.75" thickBot="1" x14ac:dyDescent="0.3">
      <c r="A75" s="110"/>
      <c r="B75" s="3">
        <f t="shared" si="1"/>
        <v>51</v>
      </c>
      <c r="C75" s="14" t="s">
        <v>93</v>
      </c>
      <c r="D75" s="96"/>
      <c r="E75" s="28" t="s">
        <v>0</v>
      </c>
      <c r="F75" s="28" t="s">
        <v>2</v>
      </c>
      <c r="G75" s="28" t="s">
        <v>2</v>
      </c>
      <c r="H75" s="28" t="s">
        <v>0</v>
      </c>
      <c r="I75" s="28" t="s">
        <v>2</v>
      </c>
      <c r="J75" s="28" t="s">
        <v>2</v>
      </c>
      <c r="K75" s="28" t="s">
        <v>2</v>
      </c>
      <c r="L75" s="28" t="s">
        <v>2</v>
      </c>
      <c r="M75" s="28" t="s">
        <v>2</v>
      </c>
      <c r="N75" s="28" t="s">
        <v>2</v>
      </c>
      <c r="O75" s="28" t="s">
        <v>2</v>
      </c>
      <c r="P75" s="28" t="s">
        <v>2</v>
      </c>
      <c r="Q75" s="28" t="s">
        <v>2</v>
      </c>
      <c r="R75" s="28" t="s">
        <v>2</v>
      </c>
      <c r="S75" s="28" t="s">
        <v>2</v>
      </c>
      <c r="T75" s="28" t="s">
        <v>2</v>
      </c>
      <c r="U75" s="28" t="s">
        <v>2</v>
      </c>
      <c r="V75" s="28" t="s">
        <v>2</v>
      </c>
      <c r="W75" s="28" t="s">
        <v>2</v>
      </c>
      <c r="X75" s="28" t="s">
        <v>2</v>
      </c>
      <c r="Y75" s="28" t="s">
        <v>2</v>
      </c>
      <c r="Z75" s="28" t="s">
        <v>2</v>
      </c>
      <c r="AA75" s="28" t="s">
        <v>2</v>
      </c>
      <c r="AB75" s="28" t="s">
        <v>2</v>
      </c>
      <c r="AC75" s="28" t="s">
        <v>2</v>
      </c>
      <c r="AD75" s="28" t="s">
        <v>2</v>
      </c>
      <c r="AE75" s="28" t="s">
        <v>2</v>
      </c>
      <c r="AF75" s="28" t="s">
        <v>2</v>
      </c>
      <c r="AG75" s="28" t="s">
        <v>2</v>
      </c>
      <c r="AH75" s="28" t="s">
        <v>2</v>
      </c>
      <c r="AI75" s="28" t="s">
        <v>2</v>
      </c>
      <c r="AJ75" s="28" t="s">
        <v>2</v>
      </c>
      <c r="AK75" s="28" t="s">
        <v>2</v>
      </c>
      <c r="AL75" s="28" t="s">
        <v>2</v>
      </c>
      <c r="AM75" s="28" t="s">
        <v>2</v>
      </c>
      <c r="AN75" s="28" t="s">
        <v>2</v>
      </c>
    </row>
    <row r="76" spans="1:40" ht="15.75" thickBot="1" x14ac:dyDescent="0.3">
      <c r="A76" s="111"/>
      <c r="B76" s="9">
        <v>52</v>
      </c>
      <c r="C76" s="15" t="s">
        <v>94</v>
      </c>
      <c r="D76" s="97"/>
      <c r="E76" s="28" t="s">
        <v>0</v>
      </c>
      <c r="F76" s="28" t="s">
        <v>2</v>
      </c>
      <c r="G76" s="28" t="s">
        <v>2</v>
      </c>
      <c r="H76" s="28" t="s">
        <v>0</v>
      </c>
      <c r="I76" s="28" t="s">
        <v>2</v>
      </c>
      <c r="J76" s="28" t="s">
        <v>2</v>
      </c>
      <c r="K76" s="28" t="s">
        <v>2</v>
      </c>
      <c r="L76" s="28" t="s">
        <v>2</v>
      </c>
      <c r="M76" s="28" t="s">
        <v>2</v>
      </c>
      <c r="N76" s="28" t="s">
        <v>2</v>
      </c>
      <c r="O76" s="28" t="s">
        <v>2</v>
      </c>
      <c r="P76" s="28" t="s">
        <v>2</v>
      </c>
      <c r="Q76" s="28" t="s">
        <v>2</v>
      </c>
      <c r="R76" s="28" t="s">
        <v>2</v>
      </c>
      <c r="S76" s="28" t="s">
        <v>2</v>
      </c>
      <c r="T76" s="28" t="s">
        <v>2</v>
      </c>
      <c r="U76" s="28" t="s">
        <v>2</v>
      </c>
      <c r="V76" s="28" t="s">
        <v>2</v>
      </c>
      <c r="W76" s="28" t="s">
        <v>2</v>
      </c>
      <c r="X76" s="28" t="s">
        <v>2</v>
      </c>
      <c r="Y76" s="28" t="s">
        <v>2</v>
      </c>
      <c r="Z76" s="28" t="s">
        <v>2</v>
      </c>
      <c r="AA76" s="28" t="s">
        <v>2</v>
      </c>
      <c r="AB76" s="28" t="s">
        <v>2</v>
      </c>
      <c r="AC76" s="28" t="s">
        <v>2</v>
      </c>
      <c r="AD76" s="28" t="s">
        <v>2</v>
      </c>
      <c r="AE76" s="28" t="s">
        <v>2</v>
      </c>
      <c r="AF76" s="28" t="s">
        <v>2</v>
      </c>
      <c r="AG76" s="28" t="s">
        <v>2</v>
      </c>
      <c r="AH76" s="28" t="s">
        <v>2</v>
      </c>
      <c r="AI76" s="28" t="s">
        <v>2</v>
      </c>
      <c r="AJ76" s="28" t="s">
        <v>2</v>
      </c>
      <c r="AK76" s="28" t="s">
        <v>2</v>
      </c>
      <c r="AL76" s="28" t="s">
        <v>2</v>
      </c>
      <c r="AM76" s="28" t="s">
        <v>2</v>
      </c>
      <c r="AN76" s="28" t="s">
        <v>2</v>
      </c>
    </row>
    <row r="77" spans="1:40" ht="15.75" thickBot="1" x14ac:dyDescent="0.3">
      <c r="A77" s="110" t="s">
        <v>95</v>
      </c>
      <c r="B77" s="6">
        <v>44</v>
      </c>
      <c r="C77" s="19" t="s">
        <v>45</v>
      </c>
      <c r="D77" s="98"/>
      <c r="E77" s="28" t="s">
        <v>0</v>
      </c>
      <c r="F77" s="28" t="s">
        <v>2</v>
      </c>
      <c r="G77" s="28" t="s">
        <v>2</v>
      </c>
      <c r="H77" s="28" t="s">
        <v>0</v>
      </c>
      <c r="I77" s="28" t="s">
        <v>2</v>
      </c>
      <c r="J77" s="28" t="s">
        <v>2</v>
      </c>
      <c r="K77" s="28" t="s">
        <v>2</v>
      </c>
      <c r="L77" s="28" t="s">
        <v>2</v>
      </c>
      <c r="M77" s="28" t="s">
        <v>2</v>
      </c>
      <c r="N77" s="28" t="s">
        <v>2</v>
      </c>
      <c r="O77" s="28" t="s">
        <v>2</v>
      </c>
      <c r="P77" s="28" t="s">
        <v>2</v>
      </c>
      <c r="Q77" s="28" t="s">
        <v>2</v>
      </c>
      <c r="R77" s="28" t="s">
        <v>2</v>
      </c>
      <c r="S77" s="28" t="s">
        <v>2</v>
      </c>
      <c r="T77" s="28" t="s">
        <v>2</v>
      </c>
      <c r="U77" s="28" t="s">
        <v>2</v>
      </c>
      <c r="V77" s="28" t="s">
        <v>2</v>
      </c>
      <c r="W77" s="28" t="s">
        <v>2</v>
      </c>
      <c r="X77" s="28" t="s">
        <v>2</v>
      </c>
      <c r="Y77" s="28" t="s">
        <v>2</v>
      </c>
      <c r="Z77" s="28" t="s">
        <v>2</v>
      </c>
      <c r="AA77" s="28" t="s">
        <v>2</v>
      </c>
      <c r="AB77" s="28" t="s">
        <v>2</v>
      </c>
      <c r="AC77" s="28" t="s">
        <v>2</v>
      </c>
      <c r="AD77" s="28" t="s">
        <v>2</v>
      </c>
      <c r="AE77" s="28" t="s">
        <v>2</v>
      </c>
      <c r="AF77" s="28" t="s">
        <v>2</v>
      </c>
      <c r="AG77" s="28" t="s">
        <v>2</v>
      </c>
      <c r="AH77" s="28" t="s">
        <v>2</v>
      </c>
      <c r="AI77" s="28" t="s">
        <v>2</v>
      </c>
      <c r="AJ77" s="28" t="s">
        <v>2</v>
      </c>
      <c r="AK77" s="28" t="s">
        <v>2</v>
      </c>
      <c r="AL77" s="28" t="s">
        <v>2</v>
      </c>
      <c r="AM77" s="28" t="s">
        <v>2</v>
      </c>
      <c r="AN77" s="28" t="s">
        <v>2</v>
      </c>
    </row>
    <row r="78" spans="1:40" ht="15.75" thickBot="1" x14ac:dyDescent="0.3">
      <c r="A78" s="110"/>
      <c r="B78" s="3">
        <v>45</v>
      </c>
      <c r="C78" s="13" t="s">
        <v>96</v>
      </c>
      <c r="D78" s="95"/>
      <c r="E78" s="28" t="s">
        <v>0</v>
      </c>
      <c r="F78" s="28" t="s">
        <v>2</v>
      </c>
      <c r="G78" s="28" t="s">
        <v>2</v>
      </c>
      <c r="H78" s="28" t="s">
        <v>0</v>
      </c>
      <c r="I78" s="28" t="s">
        <v>2</v>
      </c>
      <c r="J78" s="28" t="s">
        <v>2</v>
      </c>
      <c r="K78" s="28" t="s">
        <v>2</v>
      </c>
      <c r="L78" s="28" t="s">
        <v>2</v>
      </c>
      <c r="M78" s="28" t="s">
        <v>2</v>
      </c>
      <c r="N78" s="28" t="s">
        <v>2</v>
      </c>
      <c r="O78" s="28" t="s">
        <v>2</v>
      </c>
      <c r="P78" s="28" t="s">
        <v>2</v>
      </c>
      <c r="Q78" s="28" t="s">
        <v>2</v>
      </c>
      <c r="R78" s="28" t="s">
        <v>2</v>
      </c>
      <c r="S78" s="28" t="s">
        <v>2</v>
      </c>
      <c r="T78" s="28" t="s">
        <v>2</v>
      </c>
      <c r="U78" s="28" t="s">
        <v>2</v>
      </c>
      <c r="V78" s="28" t="s">
        <v>2</v>
      </c>
      <c r="W78" s="28" t="s">
        <v>2</v>
      </c>
      <c r="X78" s="28" t="s">
        <v>2</v>
      </c>
      <c r="Y78" s="28" t="s">
        <v>2</v>
      </c>
      <c r="Z78" s="28" t="s">
        <v>2</v>
      </c>
      <c r="AA78" s="28" t="s">
        <v>2</v>
      </c>
      <c r="AB78" s="28" t="s">
        <v>2</v>
      </c>
      <c r="AC78" s="28" t="s">
        <v>2</v>
      </c>
      <c r="AD78" s="28" t="s">
        <v>2</v>
      </c>
      <c r="AE78" s="28" t="s">
        <v>2</v>
      </c>
      <c r="AF78" s="28" t="s">
        <v>2</v>
      </c>
      <c r="AG78" s="28" t="s">
        <v>2</v>
      </c>
      <c r="AH78" s="28" t="s">
        <v>2</v>
      </c>
      <c r="AI78" s="28" t="s">
        <v>2</v>
      </c>
      <c r="AJ78" s="28" t="s">
        <v>2</v>
      </c>
      <c r="AK78" s="28" t="s">
        <v>2</v>
      </c>
      <c r="AL78" s="28" t="s">
        <v>2</v>
      </c>
      <c r="AM78" s="28" t="s">
        <v>2</v>
      </c>
      <c r="AN78" s="28" t="s">
        <v>2</v>
      </c>
    </row>
    <row r="79" spans="1:40" ht="15.75" thickBot="1" x14ac:dyDescent="0.3">
      <c r="A79" s="110"/>
      <c r="B79" s="3">
        <f>+B78+1</f>
        <v>46</v>
      </c>
      <c r="C79" s="14" t="s">
        <v>64</v>
      </c>
      <c r="D79" s="96"/>
      <c r="E79" s="28" t="s">
        <v>0</v>
      </c>
      <c r="F79" s="28" t="s">
        <v>2</v>
      </c>
      <c r="G79" s="28" t="s">
        <v>0</v>
      </c>
      <c r="H79" s="28" t="s">
        <v>0</v>
      </c>
      <c r="I79" s="28" t="s">
        <v>2</v>
      </c>
      <c r="J79" s="28" t="s">
        <v>2</v>
      </c>
      <c r="K79" s="28" t="s">
        <v>2</v>
      </c>
      <c r="L79" s="28" t="s">
        <v>2</v>
      </c>
      <c r="M79" s="28" t="s">
        <v>2</v>
      </c>
      <c r="N79" s="28" t="s">
        <v>2</v>
      </c>
      <c r="O79" s="28" t="s">
        <v>2</v>
      </c>
      <c r="P79" s="28" t="s">
        <v>2</v>
      </c>
      <c r="Q79" s="28" t="s">
        <v>2</v>
      </c>
      <c r="R79" s="28" t="s">
        <v>2</v>
      </c>
      <c r="S79" s="28" t="s">
        <v>2</v>
      </c>
      <c r="T79" s="28" t="s">
        <v>2</v>
      </c>
      <c r="U79" s="28" t="s">
        <v>2</v>
      </c>
      <c r="V79" s="28" t="s">
        <v>0</v>
      </c>
      <c r="W79" s="28" t="s">
        <v>2</v>
      </c>
      <c r="X79" s="28" t="s">
        <v>2</v>
      </c>
      <c r="Y79" s="28" t="s">
        <v>2</v>
      </c>
      <c r="Z79" s="28" t="s">
        <v>0</v>
      </c>
      <c r="AA79" s="28" t="s">
        <v>2</v>
      </c>
      <c r="AB79" s="28" t="s">
        <v>2</v>
      </c>
      <c r="AC79" s="28" t="s">
        <v>2</v>
      </c>
      <c r="AD79" s="28" t="s">
        <v>2</v>
      </c>
      <c r="AE79" s="28" t="s">
        <v>2</v>
      </c>
      <c r="AF79" s="28" t="s">
        <v>0</v>
      </c>
      <c r="AG79" s="28" t="s">
        <v>2</v>
      </c>
      <c r="AH79" s="28" t="s">
        <v>2</v>
      </c>
      <c r="AI79" s="28" t="s">
        <v>2</v>
      </c>
      <c r="AJ79" s="28" t="s">
        <v>2</v>
      </c>
      <c r="AK79" s="28" t="s">
        <v>2</v>
      </c>
      <c r="AL79" s="28" t="s">
        <v>2</v>
      </c>
      <c r="AM79" s="28" t="s">
        <v>2</v>
      </c>
      <c r="AN79" s="28" t="s">
        <v>0</v>
      </c>
    </row>
    <row r="80" spans="1:40" ht="15.75" thickBot="1" x14ac:dyDescent="0.3">
      <c r="A80" s="110"/>
      <c r="B80" s="3">
        <f>B79+1</f>
        <v>47</v>
      </c>
      <c r="C80" s="13" t="s">
        <v>62</v>
      </c>
      <c r="D80" s="95"/>
      <c r="E80" s="28" t="s">
        <v>0</v>
      </c>
      <c r="F80" s="28" t="s">
        <v>2</v>
      </c>
      <c r="G80" s="28" t="s">
        <v>2</v>
      </c>
      <c r="H80" s="28" t="s">
        <v>0</v>
      </c>
      <c r="I80" s="28" t="s">
        <v>2</v>
      </c>
      <c r="J80" s="28" t="s">
        <v>2</v>
      </c>
      <c r="K80" s="28" t="s">
        <v>2</v>
      </c>
      <c r="L80" s="28" t="s">
        <v>2</v>
      </c>
      <c r="M80" s="28" t="s">
        <v>2</v>
      </c>
      <c r="N80" s="28" t="s">
        <v>2</v>
      </c>
      <c r="O80" s="28" t="s">
        <v>2</v>
      </c>
      <c r="P80" s="28" t="s">
        <v>2</v>
      </c>
      <c r="Q80" s="28" t="s">
        <v>2</v>
      </c>
      <c r="R80" s="28" t="s">
        <v>2</v>
      </c>
      <c r="S80" s="28" t="s">
        <v>2</v>
      </c>
      <c r="T80" s="28" t="s">
        <v>2</v>
      </c>
      <c r="U80" s="28" t="s">
        <v>0</v>
      </c>
      <c r="V80" s="28" t="s">
        <v>2</v>
      </c>
      <c r="W80" s="28" t="s">
        <v>0</v>
      </c>
      <c r="X80" s="28" t="s">
        <v>2</v>
      </c>
      <c r="Y80" s="28" t="s">
        <v>2</v>
      </c>
      <c r="Z80" s="28" t="s">
        <v>2</v>
      </c>
      <c r="AA80" s="28" t="s">
        <v>2</v>
      </c>
      <c r="AB80" s="28" t="s">
        <v>2</v>
      </c>
      <c r="AC80" s="28" t="s">
        <v>2</v>
      </c>
      <c r="AD80" s="28" t="s">
        <v>2</v>
      </c>
      <c r="AE80" s="28" t="s">
        <v>2</v>
      </c>
      <c r="AF80" s="28" t="s">
        <v>2</v>
      </c>
      <c r="AG80" s="28" t="s">
        <v>2</v>
      </c>
      <c r="AH80" s="28" t="s">
        <v>2</v>
      </c>
      <c r="AI80" s="28" t="s">
        <v>2</v>
      </c>
      <c r="AJ80" s="28" t="s">
        <v>2</v>
      </c>
      <c r="AK80" s="28" t="s">
        <v>2</v>
      </c>
      <c r="AL80" s="28" t="s">
        <v>2</v>
      </c>
      <c r="AM80" s="28" t="s">
        <v>2</v>
      </c>
      <c r="AN80" s="28" t="s">
        <v>2</v>
      </c>
    </row>
    <row r="81" spans="1:40" ht="15.75" thickBot="1" x14ac:dyDescent="0.3">
      <c r="A81" s="110"/>
      <c r="B81" s="3">
        <f>B80+1</f>
        <v>48</v>
      </c>
      <c r="C81" s="13" t="s">
        <v>97</v>
      </c>
      <c r="D81" s="95"/>
      <c r="E81" s="28" t="s">
        <v>0</v>
      </c>
      <c r="F81" s="28" t="s">
        <v>2</v>
      </c>
      <c r="G81" s="28" t="s">
        <v>2</v>
      </c>
      <c r="H81" s="28" t="s">
        <v>0</v>
      </c>
      <c r="I81" s="28" t="s">
        <v>2</v>
      </c>
      <c r="J81" s="28" t="s">
        <v>2</v>
      </c>
      <c r="K81" s="28" t="s">
        <v>2</v>
      </c>
      <c r="L81" s="28" t="s">
        <v>2</v>
      </c>
      <c r="M81" s="28" t="s">
        <v>2</v>
      </c>
      <c r="N81" s="28" t="s">
        <v>2</v>
      </c>
      <c r="O81" s="28" t="s">
        <v>2</v>
      </c>
      <c r="P81" s="28" t="s">
        <v>2</v>
      </c>
      <c r="Q81" s="28" t="s">
        <v>2</v>
      </c>
      <c r="R81" s="28" t="s">
        <v>2</v>
      </c>
      <c r="S81" s="28" t="s">
        <v>2</v>
      </c>
      <c r="T81" s="28" t="s">
        <v>2</v>
      </c>
      <c r="U81" s="28" t="s">
        <v>2</v>
      </c>
      <c r="V81" s="28" t="s">
        <v>2</v>
      </c>
      <c r="W81" s="28" t="s">
        <v>2</v>
      </c>
      <c r="X81" s="28" t="s">
        <v>2</v>
      </c>
      <c r="Y81" s="28" t="s">
        <v>2</v>
      </c>
      <c r="Z81" s="28" t="s">
        <v>2</v>
      </c>
      <c r="AA81" s="28" t="s">
        <v>2</v>
      </c>
      <c r="AB81" s="28" t="s">
        <v>2</v>
      </c>
      <c r="AC81" s="28" t="s">
        <v>2</v>
      </c>
      <c r="AD81" s="28" t="s">
        <v>2</v>
      </c>
      <c r="AE81" s="28" t="s">
        <v>2</v>
      </c>
      <c r="AF81" s="28" t="s">
        <v>2</v>
      </c>
      <c r="AG81" s="28" t="s">
        <v>2</v>
      </c>
      <c r="AH81" s="28" t="s">
        <v>2</v>
      </c>
      <c r="AI81" s="28" t="s">
        <v>2</v>
      </c>
      <c r="AJ81" s="28" t="s">
        <v>2</v>
      </c>
      <c r="AK81" s="28" t="s">
        <v>2</v>
      </c>
      <c r="AL81" s="28" t="s">
        <v>2</v>
      </c>
      <c r="AM81" s="28" t="s">
        <v>2</v>
      </c>
      <c r="AN81" s="28" t="s">
        <v>2</v>
      </c>
    </row>
    <row r="82" spans="1:40" ht="15.75" thickBot="1" x14ac:dyDescent="0.3">
      <c r="A82" s="110"/>
      <c r="B82" s="4">
        <f>B81+1</f>
        <v>49</v>
      </c>
      <c r="C82" s="14" t="s">
        <v>92</v>
      </c>
      <c r="D82" s="96"/>
      <c r="E82" s="28" t="s">
        <v>0</v>
      </c>
      <c r="F82" s="28" t="s">
        <v>2</v>
      </c>
      <c r="G82" s="28" t="s">
        <v>0</v>
      </c>
      <c r="H82" s="28" t="s">
        <v>0</v>
      </c>
      <c r="I82" s="28" t="s">
        <v>2</v>
      </c>
      <c r="J82" s="28" t="s">
        <v>2</v>
      </c>
      <c r="K82" s="28" t="s">
        <v>2</v>
      </c>
      <c r="L82" s="28" t="s">
        <v>2</v>
      </c>
      <c r="M82" s="28" t="s">
        <v>2</v>
      </c>
      <c r="N82" s="28" t="s">
        <v>2</v>
      </c>
      <c r="O82" s="28" t="s">
        <v>2</v>
      </c>
      <c r="P82" s="28" t="s">
        <v>2</v>
      </c>
      <c r="Q82" s="28" t="s">
        <v>2</v>
      </c>
      <c r="R82" s="28" t="s">
        <v>2</v>
      </c>
      <c r="S82" s="28" t="s">
        <v>2</v>
      </c>
      <c r="T82" s="28" t="s">
        <v>2</v>
      </c>
      <c r="U82" s="28" t="s">
        <v>2</v>
      </c>
      <c r="V82" s="28" t="s">
        <v>2</v>
      </c>
      <c r="W82" s="28" t="s">
        <v>2</v>
      </c>
      <c r="X82" s="28" t="s">
        <v>2</v>
      </c>
      <c r="Y82" s="28" t="s">
        <v>2</v>
      </c>
      <c r="Z82" s="28" t="s">
        <v>2</v>
      </c>
      <c r="AA82" s="28" t="s">
        <v>2</v>
      </c>
      <c r="AB82" s="28" t="s">
        <v>2</v>
      </c>
      <c r="AC82" s="28" t="s">
        <v>2</v>
      </c>
      <c r="AD82" s="28" t="s">
        <v>2</v>
      </c>
      <c r="AE82" s="28" t="s">
        <v>0</v>
      </c>
      <c r="AF82" s="28" t="s">
        <v>2</v>
      </c>
      <c r="AG82" s="28" t="s">
        <v>2</v>
      </c>
      <c r="AH82" s="28" t="s">
        <v>2</v>
      </c>
      <c r="AI82" s="28" t="s">
        <v>2</v>
      </c>
      <c r="AJ82" s="28" t="s">
        <v>2</v>
      </c>
      <c r="AK82" s="28" t="s">
        <v>2</v>
      </c>
      <c r="AL82" s="28" t="s">
        <v>2</v>
      </c>
      <c r="AM82" s="28" t="s">
        <v>2</v>
      </c>
      <c r="AN82" s="28" t="s">
        <v>2</v>
      </c>
    </row>
    <row r="83" spans="1:40" ht="15.75" thickBot="1" x14ac:dyDescent="0.3">
      <c r="A83" s="112" t="s">
        <v>98</v>
      </c>
      <c r="B83" s="2">
        <f>+B82+1</f>
        <v>50</v>
      </c>
      <c r="C83" s="12" t="s">
        <v>99</v>
      </c>
      <c r="D83" s="94"/>
      <c r="E83" s="28" t="s">
        <v>0</v>
      </c>
      <c r="F83" s="28" t="s">
        <v>2</v>
      </c>
      <c r="G83" s="28" t="s">
        <v>2</v>
      </c>
      <c r="H83" s="28" t="s">
        <v>0</v>
      </c>
      <c r="I83" s="28" t="s">
        <v>0</v>
      </c>
      <c r="J83" s="28" t="s">
        <v>2</v>
      </c>
      <c r="K83" s="28" t="s">
        <v>2</v>
      </c>
      <c r="L83" s="28" t="s">
        <v>2</v>
      </c>
      <c r="M83" s="28" t="s">
        <v>2</v>
      </c>
      <c r="N83" s="28" t="s">
        <v>0</v>
      </c>
      <c r="O83" s="28" t="s">
        <v>2</v>
      </c>
      <c r="P83" s="28" t="s">
        <v>2</v>
      </c>
      <c r="Q83" s="28" t="s">
        <v>2</v>
      </c>
      <c r="R83" s="28" t="s">
        <v>2</v>
      </c>
      <c r="S83" s="28" t="s">
        <v>2</v>
      </c>
      <c r="T83" s="28" t="s">
        <v>2</v>
      </c>
      <c r="U83" s="28" t="s">
        <v>2</v>
      </c>
      <c r="V83" s="28" t="s">
        <v>2</v>
      </c>
      <c r="W83" s="28" t="s">
        <v>2</v>
      </c>
      <c r="X83" s="28" t="s">
        <v>2</v>
      </c>
      <c r="Y83" s="28" t="s">
        <v>2</v>
      </c>
      <c r="Z83" s="28" t="s">
        <v>2</v>
      </c>
      <c r="AA83" s="28" t="s">
        <v>2</v>
      </c>
      <c r="AB83" s="28" t="s">
        <v>0</v>
      </c>
      <c r="AC83" s="28" t="s">
        <v>2</v>
      </c>
      <c r="AD83" s="28" t="s">
        <v>2</v>
      </c>
      <c r="AE83" s="28" t="s">
        <v>0</v>
      </c>
      <c r="AF83" s="28" t="s">
        <v>2</v>
      </c>
      <c r="AG83" s="28" t="s">
        <v>2</v>
      </c>
      <c r="AH83" s="28" t="s">
        <v>2</v>
      </c>
      <c r="AI83" s="28" t="s">
        <v>2</v>
      </c>
      <c r="AJ83" s="28" t="s">
        <v>2</v>
      </c>
      <c r="AK83" s="28" t="s">
        <v>2</v>
      </c>
      <c r="AL83" s="28" t="s">
        <v>2</v>
      </c>
      <c r="AM83" s="28" t="s">
        <v>2</v>
      </c>
      <c r="AN83" s="28" t="s">
        <v>0</v>
      </c>
    </row>
    <row r="84" spans="1:40" ht="15.75" thickBot="1" x14ac:dyDescent="0.3">
      <c r="A84" s="110"/>
      <c r="B84" s="3">
        <f t="shared" ref="B84:B98" si="2">+B83+1</f>
        <v>51</v>
      </c>
      <c r="C84" s="13" t="s">
        <v>100</v>
      </c>
      <c r="D84" s="95"/>
      <c r="E84" s="28" t="s">
        <v>0</v>
      </c>
      <c r="F84" s="28" t="s">
        <v>2</v>
      </c>
      <c r="G84" s="28" t="s">
        <v>2</v>
      </c>
      <c r="H84" s="28" t="s">
        <v>0</v>
      </c>
      <c r="I84" s="28" t="s">
        <v>2</v>
      </c>
      <c r="J84" s="28" t="s">
        <v>2</v>
      </c>
      <c r="K84" s="28" t="s">
        <v>2</v>
      </c>
      <c r="L84" s="28" t="s">
        <v>2</v>
      </c>
      <c r="M84" s="28" t="s">
        <v>2</v>
      </c>
      <c r="N84" s="28" t="s">
        <v>2</v>
      </c>
      <c r="O84" s="28" t="s">
        <v>2</v>
      </c>
      <c r="P84" s="28" t="s">
        <v>2</v>
      </c>
      <c r="Q84" s="28" t="s">
        <v>2</v>
      </c>
      <c r="R84" s="28" t="s">
        <v>2</v>
      </c>
      <c r="S84" s="28" t="s">
        <v>2</v>
      </c>
      <c r="T84" s="28" t="s">
        <v>2</v>
      </c>
      <c r="U84" s="28" t="s">
        <v>2</v>
      </c>
      <c r="V84" s="28" t="s">
        <v>2</v>
      </c>
      <c r="W84" s="28" t="s">
        <v>2</v>
      </c>
      <c r="X84" s="28" t="s">
        <v>2</v>
      </c>
      <c r="Y84" s="28" t="s">
        <v>2</v>
      </c>
      <c r="Z84" s="28" t="s">
        <v>2</v>
      </c>
      <c r="AA84" s="28" t="s">
        <v>2</v>
      </c>
      <c r="AB84" s="28" t="s">
        <v>2</v>
      </c>
      <c r="AC84" s="28" t="s">
        <v>2</v>
      </c>
      <c r="AD84" s="28" t="s">
        <v>2</v>
      </c>
      <c r="AE84" s="28" t="s">
        <v>2</v>
      </c>
      <c r="AF84" s="28" t="s">
        <v>2</v>
      </c>
      <c r="AG84" s="28" t="s">
        <v>2</v>
      </c>
      <c r="AH84" s="28" t="s">
        <v>2</v>
      </c>
      <c r="AI84" s="28" t="s">
        <v>2</v>
      </c>
      <c r="AJ84" s="28" t="s">
        <v>2</v>
      </c>
      <c r="AK84" s="28" t="s">
        <v>2</v>
      </c>
      <c r="AL84" s="28" t="s">
        <v>2</v>
      </c>
      <c r="AM84" s="28" t="s">
        <v>2</v>
      </c>
      <c r="AN84" s="28" t="s">
        <v>2</v>
      </c>
    </row>
    <row r="85" spans="1:40" ht="15.75" thickBot="1" x14ac:dyDescent="0.3">
      <c r="A85" s="110"/>
      <c r="B85" s="3">
        <f t="shared" si="2"/>
        <v>52</v>
      </c>
      <c r="C85" s="14" t="s">
        <v>42</v>
      </c>
      <c r="D85" s="96"/>
      <c r="E85" s="28" t="s">
        <v>0</v>
      </c>
      <c r="F85" s="28" t="s">
        <v>2</v>
      </c>
      <c r="G85" s="28" t="s">
        <v>2</v>
      </c>
      <c r="H85" s="28" t="s">
        <v>0</v>
      </c>
      <c r="I85" s="28" t="s">
        <v>2</v>
      </c>
      <c r="J85" s="28" t="s">
        <v>2</v>
      </c>
      <c r="K85" s="28" t="s">
        <v>2</v>
      </c>
      <c r="L85" s="28" t="s">
        <v>2</v>
      </c>
      <c r="M85" s="28" t="s">
        <v>2</v>
      </c>
      <c r="N85" s="28" t="s">
        <v>2</v>
      </c>
      <c r="O85" s="28" t="s">
        <v>2</v>
      </c>
      <c r="P85" s="28" t="s">
        <v>2</v>
      </c>
      <c r="Q85" s="28" t="s">
        <v>2</v>
      </c>
      <c r="R85" s="28" t="s">
        <v>2</v>
      </c>
      <c r="S85" s="28" t="s">
        <v>2</v>
      </c>
      <c r="T85" s="28" t="s">
        <v>2</v>
      </c>
      <c r="U85" s="28" t="s">
        <v>2</v>
      </c>
      <c r="V85" s="28" t="s">
        <v>2</v>
      </c>
      <c r="W85" s="28" t="s">
        <v>2</v>
      </c>
      <c r="X85" s="28" t="s">
        <v>2</v>
      </c>
      <c r="Y85" s="28" t="s">
        <v>2</v>
      </c>
      <c r="Z85" s="28" t="s">
        <v>2</v>
      </c>
      <c r="AA85" s="28" t="s">
        <v>2</v>
      </c>
      <c r="AB85" s="28" t="s">
        <v>2</v>
      </c>
      <c r="AC85" s="28" t="s">
        <v>2</v>
      </c>
      <c r="AD85" s="28" t="s">
        <v>2</v>
      </c>
      <c r="AE85" s="28" t="s">
        <v>2</v>
      </c>
      <c r="AF85" s="28" t="s">
        <v>2</v>
      </c>
      <c r="AG85" s="28" t="s">
        <v>2</v>
      </c>
      <c r="AH85" s="28" t="s">
        <v>2</v>
      </c>
      <c r="AI85" s="28" t="s">
        <v>2</v>
      </c>
      <c r="AJ85" s="28" t="s">
        <v>2</v>
      </c>
      <c r="AK85" s="28" t="s">
        <v>2</v>
      </c>
      <c r="AL85" s="28" t="s">
        <v>2</v>
      </c>
      <c r="AM85" s="28" t="s">
        <v>2</v>
      </c>
      <c r="AN85" s="28" t="s">
        <v>2</v>
      </c>
    </row>
    <row r="86" spans="1:40" ht="15.75" thickBot="1" x14ac:dyDescent="0.3">
      <c r="A86" s="110"/>
      <c r="B86" s="6">
        <f t="shared" si="2"/>
        <v>53</v>
      </c>
      <c r="C86" s="13" t="s">
        <v>45</v>
      </c>
      <c r="D86" s="95"/>
      <c r="E86" s="28" t="s">
        <v>0</v>
      </c>
      <c r="F86" s="28" t="s">
        <v>2</v>
      </c>
      <c r="G86" s="28" t="s">
        <v>2</v>
      </c>
      <c r="H86" s="28" t="s">
        <v>0</v>
      </c>
      <c r="I86" s="28" t="s">
        <v>2</v>
      </c>
      <c r="J86" s="28" t="s">
        <v>2</v>
      </c>
      <c r="K86" s="28" t="s">
        <v>2</v>
      </c>
      <c r="L86" s="28" t="s">
        <v>2</v>
      </c>
      <c r="M86" s="28" t="s">
        <v>2</v>
      </c>
      <c r="N86" s="28" t="s">
        <v>2</v>
      </c>
      <c r="O86" s="28" t="s">
        <v>2</v>
      </c>
      <c r="P86" s="28" t="s">
        <v>2</v>
      </c>
      <c r="Q86" s="28" t="s">
        <v>2</v>
      </c>
      <c r="R86" s="28" t="s">
        <v>2</v>
      </c>
      <c r="S86" s="28" t="s">
        <v>2</v>
      </c>
      <c r="T86" s="28" t="s">
        <v>2</v>
      </c>
      <c r="U86" s="28" t="s">
        <v>2</v>
      </c>
      <c r="V86" s="28" t="s">
        <v>0</v>
      </c>
      <c r="W86" s="28" t="s">
        <v>2</v>
      </c>
      <c r="X86" s="28" t="s">
        <v>2</v>
      </c>
      <c r="Y86" s="28" t="s">
        <v>2</v>
      </c>
      <c r="Z86" s="28" t="s">
        <v>2</v>
      </c>
      <c r="AA86" s="28" t="s">
        <v>0</v>
      </c>
      <c r="AB86" s="28" t="s">
        <v>2</v>
      </c>
      <c r="AC86" s="28" t="s">
        <v>2</v>
      </c>
      <c r="AD86" s="28" t="s">
        <v>2</v>
      </c>
      <c r="AE86" s="28" t="s">
        <v>2</v>
      </c>
      <c r="AF86" s="28" t="s">
        <v>2</v>
      </c>
      <c r="AG86" s="28" t="s">
        <v>2</v>
      </c>
      <c r="AH86" s="28" t="s">
        <v>0</v>
      </c>
      <c r="AI86" s="28" t="s">
        <v>2</v>
      </c>
      <c r="AJ86" s="28" t="s">
        <v>2</v>
      </c>
      <c r="AK86" s="28" t="s">
        <v>2</v>
      </c>
      <c r="AL86" s="28" t="s">
        <v>2</v>
      </c>
      <c r="AM86" s="28" t="s">
        <v>2</v>
      </c>
      <c r="AN86" s="28" t="s">
        <v>2</v>
      </c>
    </row>
    <row r="87" spans="1:40" ht="15.75" thickBot="1" x14ac:dyDescent="0.3">
      <c r="A87" s="110"/>
      <c r="B87" s="3">
        <f t="shared" si="2"/>
        <v>54</v>
      </c>
      <c r="C87" s="13" t="s">
        <v>46</v>
      </c>
      <c r="D87" s="95"/>
      <c r="E87" s="28" t="s">
        <v>0</v>
      </c>
      <c r="F87" s="28" t="s">
        <v>2</v>
      </c>
      <c r="G87" s="28" t="s">
        <v>2</v>
      </c>
      <c r="H87" s="28" t="s">
        <v>0</v>
      </c>
      <c r="I87" s="28" t="s">
        <v>2</v>
      </c>
      <c r="J87" s="28" t="s">
        <v>2</v>
      </c>
      <c r="K87" s="28" t="s">
        <v>2</v>
      </c>
      <c r="L87" s="28" t="s">
        <v>2</v>
      </c>
      <c r="M87" s="28" t="s">
        <v>2</v>
      </c>
      <c r="N87" s="28" t="s">
        <v>0</v>
      </c>
      <c r="O87" s="28" t="s">
        <v>2</v>
      </c>
      <c r="P87" s="28" t="s">
        <v>2</v>
      </c>
      <c r="Q87" s="28" t="s">
        <v>2</v>
      </c>
      <c r="R87" s="28" t="s">
        <v>2</v>
      </c>
      <c r="S87" s="28" t="s">
        <v>2</v>
      </c>
      <c r="T87" s="28" t="s">
        <v>2</v>
      </c>
      <c r="U87" s="28" t="s">
        <v>2</v>
      </c>
      <c r="V87" s="28" t="s">
        <v>2</v>
      </c>
      <c r="W87" s="28" t="s">
        <v>2</v>
      </c>
      <c r="X87" s="28" t="s">
        <v>2</v>
      </c>
      <c r="Y87" s="28" t="s">
        <v>2</v>
      </c>
      <c r="Z87" s="28" t="s">
        <v>2</v>
      </c>
      <c r="AA87" s="28" t="s">
        <v>2</v>
      </c>
      <c r="AB87" s="28" t="s">
        <v>2</v>
      </c>
      <c r="AC87" s="28" t="s">
        <v>2</v>
      </c>
      <c r="AD87" s="28" t="s">
        <v>2</v>
      </c>
      <c r="AE87" s="28" t="s">
        <v>2</v>
      </c>
      <c r="AF87" s="28" t="s">
        <v>2</v>
      </c>
      <c r="AG87" s="28" t="s">
        <v>2</v>
      </c>
      <c r="AH87" s="28" t="s">
        <v>2</v>
      </c>
      <c r="AI87" s="28" t="s">
        <v>2</v>
      </c>
      <c r="AJ87" s="28" t="s">
        <v>2</v>
      </c>
      <c r="AK87" s="28" t="s">
        <v>2</v>
      </c>
      <c r="AL87" s="28" t="s">
        <v>2</v>
      </c>
      <c r="AM87" s="28" t="s">
        <v>2</v>
      </c>
      <c r="AN87" s="28" t="s">
        <v>2</v>
      </c>
    </row>
    <row r="88" spans="1:40" ht="15.75" thickBot="1" x14ac:dyDescent="0.3">
      <c r="A88" s="110"/>
      <c r="B88" s="3">
        <f t="shared" si="2"/>
        <v>55</v>
      </c>
      <c r="C88" s="13" t="s">
        <v>47</v>
      </c>
      <c r="D88" s="95"/>
      <c r="E88" s="28" t="s">
        <v>0</v>
      </c>
      <c r="F88" s="28" t="s">
        <v>2</v>
      </c>
      <c r="G88" s="28" t="s">
        <v>2</v>
      </c>
      <c r="H88" s="28" t="s">
        <v>0</v>
      </c>
      <c r="I88" s="28" t="s">
        <v>2</v>
      </c>
      <c r="J88" s="28" t="s">
        <v>2</v>
      </c>
      <c r="K88" s="28" t="s">
        <v>2</v>
      </c>
      <c r="L88" s="28" t="s">
        <v>2</v>
      </c>
      <c r="M88" s="28" t="s">
        <v>2</v>
      </c>
      <c r="N88" s="28" t="s">
        <v>2</v>
      </c>
      <c r="O88" s="28" t="s">
        <v>2</v>
      </c>
      <c r="P88" s="28" t="s">
        <v>2</v>
      </c>
      <c r="Q88" s="28" t="s">
        <v>2</v>
      </c>
      <c r="R88" s="28" t="s">
        <v>2</v>
      </c>
      <c r="S88" s="28" t="s">
        <v>2</v>
      </c>
      <c r="T88" s="28" t="s">
        <v>2</v>
      </c>
      <c r="U88" s="28" t="s">
        <v>2</v>
      </c>
      <c r="V88" s="28" t="s">
        <v>2</v>
      </c>
      <c r="W88" s="28" t="s">
        <v>2</v>
      </c>
      <c r="X88" s="28" t="s">
        <v>2</v>
      </c>
      <c r="Y88" s="28" t="s">
        <v>2</v>
      </c>
      <c r="Z88" s="28" t="s">
        <v>2</v>
      </c>
      <c r="AA88" s="28" t="s">
        <v>2</v>
      </c>
      <c r="AB88" s="28" t="s">
        <v>2</v>
      </c>
      <c r="AC88" s="28" t="s">
        <v>2</v>
      </c>
      <c r="AD88" s="28" t="s">
        <v>2</v>
      </c>
      <c r="AE88" s="28" t="s">
        <v>2</v>
      </c>
      <c r="AF88" s="28" t="s">
        <v>2</v>
      </c>
      <c r="AG88" s="28" t="s">
        <v>2</v>
      </c>
      <c r="AH88" s="28" t="s">
        <v>2</v>
      </c>
      <c r="AI88" s="28" t="s">
        <v>2</v>
      </c>
      <c r="AJ88" s="28" t="s">
        <v>2</v>
      </c>
      <c r="AK88" s="28" t="s">
        <v>2</v>
      </c>
      <c r="AL88" s="28" t="s">
        <v>2</v>
      </c>
      <c r="AM88" s="28" t="s">
        <v>2</v>
      </c>
      <c r="AN88" s="28" t="s">
        <v>2</v>
      </c>
    </row>
    <row r="89" spans="1:40" ht="15.75" thickBot="1" x14ac:dyDescent="0.3">
      <c r="A89" s="110"/>
      <c r="B89" s="6">
        <f t="shared" si="2"/>
        <v>56</v>
      </c>
      <c r="C89" s="13" t="s">
        <v>49</v>
      </c>
      <c r="D89" s="95"/>
      <c r="E89" s="28" t="s">
        <v>0</v>
      </c>
      <c r="F89" s="28" t="s">
        <v>2</v>
      </c>
      <c r="G89" s="28" t="s">
        <v>2</v>
      </c>
      <c r="H89" s="28" t="s">
        <v>0</v>
      </c>
      <c r="I89" s="28" t="s">
        <v>2</v>
      </c>
      <c r="J89" s="28" t="s">
        <v>2</v>
      </c>
      <c r="K89" s="28" t="s">
        <v>2</v>
      </c>
      <c r="L89" s="28" t="s">
        <v>2</v>
      </c>
      <c r="M89" s="28" t="s">
        <v>2</v>
      </c>
      <c r="N89" s="28" t="s">
        <v>2</v>
      </c>
      <c r="O89" s="28" t="s">
        <v>2</v>
      </c>
      <c r="P89" s="28" t="s">
        <v>2</v>
      </c>
      <c r="Q89" s="28" t="s">
        <v>2</v>
      </c>
      <c r="R89" s="28" t="s">
        <v>2</v>
      </c>
      <c r="S89" s="28" t="s">
        <v>2</v>
      </c>
      <c r="T89" s="28" t="s">
        <v>2</v>
      </c>
      <c r="U89" s="28" t="s">
        <v>2</v>
      </c>
      <c r="V89" s="28" t="s">
        <v>2</v>
      </c>
      <c r="W89" s="28" t="s">
        <v>2</v>
      </c>
      <c r="X89" s="28" t="s">
        <v>2</v>
      </c>
      <c r="Y89" s="28" t="s">
        <v>2</v>
      </c>
      <c r="Z89" s="28" t="s">
        <v>2</v>
      </c>
      <c r="AA89" s="28" t="s">
        <v>2</v>
      </c>
      <c r="AB89" s="28" t="s">
        <v>2</v>
      </c>
      <c r="AC89" s="28" t="s">
        <v>2</v>
      </c>
      <c r="AD89" s="28" t="s">
        <v>2</v>
      </c>
      <c r="AE89" s="28" t="s">
        <v>2</v>
      </c>
      <c r="AF89" s="28" t="s">
        <v>2</v>
      </c>
      <c r="AG89" s="28" t="s">
        <v>2</v>
      </c>
      <c r="AH89" s="28" t="s">
        <v>2</v>
      </c>
      <c r="AI89" s="28" t="s">
        <v>2</v>
      </c>
      <c r="AJ89" s="28" t="s">
        <v>2</v>
      </c>
      <c r="AK89" s="28" t="s">
        <v>2</v>
      </c>
      <c r="AL89" s="28" t="s">
        <v>2</v>
      </c>
      <c r="AM89" s="28" t="s">
        <v>2</v>
      </c>
      <c r="AN89" s="28" t="s">
        <v>2</v>
      </c>
    </row>
    <row r="90" spans="1:40" ht="15.75" thickBot="1" x14ac:dyDescent="0.3">
      <c r="A90" s="110"/>
      <c r="B90" s="3">
        <f t="shared" si="2"/>
        <v>57</v>
      </c>
      <c r="C90" s="13" t="s">
        <v>52</v>
      </c>
      <c r="D90" s="95"/>
      <c r="E90" s="28" t="s">
        <v>0</v>
      </c>
      <c r="F90" s="28" t="s">
        <v>2</v>
      </c>
      <c r="G90" s="28" t="s">
        <v>2</v>
      </c>
      <c r="H90" s="28" t="s">
        <v>0</v>
      </c>
      <c r="I90" s="28" t="s">
        <v>2</v>
      </c>
      <c r="J90" s="28" t="s">
        <v>2</v>
      </c>
      <c r="K90" s="28" t="s">
        <v>2</v>
      </c>
      <c r="L90" s="28" t="s">
        <v>2</v>
      </c>
      <c r="M90" s="28" t="s">
        <v>2</v>
      </c>
      <c r="N90" s="28" t="s">
        <v>2</v>
      </c>
      <c r="O90" s="28" t="s">
        <v>2</v>
      </c>
      <c r="P90" s="28" t="s">
        <v>2</v>
      </c>
      <c r="Q90" s="28" t="s">
        <v>2</v>
      </c>
      <c r="R90" s="28" t="s">
        <v>2</v>
      </c>
      <c r="S90" s="28" t="s">
        <v>2</v>
      </c>
      <c r="T90" s="28" t="s">
        <v>2</v>
      </c>
      <c r="U90" s="28" t="s">
        <v>2</v>
      </c>
      <c r="V90" s="28" t="s">
        <v>2</v>
      </c>
      <c r="W90" s="28" t="s">
        <v>0</v>
      </c>
      <c r="X90" s="28" t="s">
        <v>2</v>
      </c>
      <c r="Y90" s="28" t="s">
        <v>2</v>
      </c>
      <c r="Z90" s="28" t="s">
        <v>2</v>
      </c>
      <c r="AA90" s="28" t="s">
        <v>2</v>
      </c>
      <c r="AB90" s="28" t="s">
        <v>2</v>
      </c>
      <c r="AC90" s="28" t="s">
        <v>2</v>
      </c>
      <c r="AD90" s="28" t="s">
        <v>2</v>
      </c>
      <c r="AE90" s="28" t="s">
        <v>2</v>
      </c>
      <c r="AF90" s="28" t="s">
        <v>2</v>
      </c>
      <c r="AG90" s="28" t="s">
        <v>2</v>
      </c>
      <c r="AH90" s="28" t="s">
        <v>2</v>
      </c>
      <c r="AI90" s="28" t="s">
        <v>2</v>
      </c>
      <c r="AJ90" s="28" t="s">
        <v>2</v>
      </c>
      <c r="AK90" s="28" t="s">
        <v>2</v>
      </c>
      <c r="AL90" s="28" t="s">
        <v>2</v>
      </c>
      <c r="AM90" s="28" t="s">
        <v>2</v>
      </c>
      <c r="AN90" s="28" t="s">
        <v>0</v>
      </c>
    </row>
    <row r="91" spans="1:40" ht="15.75" thickBot="1" x14ac:dyDescent="0.3">
      <c r="A91" s="110"/>
      <c r="B91" s="3">
        <f t="shared" si="2"/>
        <v>58</v>
      </c>
      <c r="C91" s="13" t="s">
        <v>54</v>
      </c>
      <c r="D91" s="95"/>
      <c r="E91" s="28" t="s">
        <v>0</v>
      </c>
      <c r="F91" s="28" t="s">
        <v>2</v>
      </c>
      <c r="G91" s="28" t="s">
        <v>2</v>
      </c>
      <c r="H91" s="28" t="s">
        <v>0</v>
      </c>
      <c r="I91" s="28" t="s">
        <v>2</v>
      </c>
      <c r="J91" s="28" t="s">
        <v>2</v>
      </c>
      <c r="K91" s="28" t="s">
        <v>2</v>
      </c>
      <c r="L91" s="28" t="s">
        <v>2</v>
      </c>
      <c r="M91" s="28" t="s">
        <v>2</v>
      </c>
      <c r="N91" s="28" t="s">
        <v>2</v>
      </c>
      <c r="O91" s="28" t="s">
        <v>2</v>
      </c>
      <c r="P91" s="28" t="s">
        <v>2</v>
      </c>
      <c r="Q91" s="28" t="s">
        <v>2</v>
      </c>
      <c r="R91" s="28" t="s">
        <v>0</v>
      </c>
      <c r="S91" s="28" t="s">
        <v>2</v>
      </c>
      <c r="T91" s="28" t="s">
        <v>2</v>
      </c>
      <c r="U91" s="28" t="s">
        <v>2</v>
      </c>
      <c r="V91" s="28" t="s">
        <v>2</v>
      </c>
      <c r="W91" s="28" t="s">
        <v>2</v>
      </c>
      <c r="X91" s="28" t="s">
        <v>2</v>
      </c>
      <c r="Y91" s="28" t="s">
        <v>2</v>
      </c>
      <c r="Z91" s="28" t="s">
        <v>2</v>
      </c>
      <c r="AA91" s="28" t="s">
        <v>2</v>
      </c>
      <c r="AB91" s="28" t="s">
        <v>2</v>
      </c>
      <c r="AC91" s="28" t="s">
        <v>2</v>
      </c>
      <c r="AD91" s="28" t="s">
        <v>2</v>
      </c>
      <c r="AE91" s="28" t="s">
        <v>2</v>
      </c>
      <c r="AF91" s="28" t="s">
        <v>2</v>
      </c>
      <c r="AG91" s="28" t="s">
        <v>2</v>
      </c>
      <c r="AH91" s="28" t="s">
        <v>2</v>
      </c>
      <c r="AI91" s="28" t="s">
        <v>2</v>
      </c>
      <c r="AJ91" s="28" t="s">
        <v>2</v>
      </c>
      <c r="AK91" s="28" t="s">
        <v>2</v>
      </c>
      <c r="AL91" s="28" t="s">
        <v>2</v>
      </c>
      <c r="AM91" s="28" t="s">
        <v>2</v>
      </c>
      <c r="AN91" s="28" t="s">
        <v>2</v>
      </c>
    </row>
    <row r="92" spans="1:40" ht="15.75" thickBot="1" x14ac:dyDescent="0.3">
      <c r="A92" s="110"/>
      <c r="B92" s="6">
        <f t="shared" si="2"/>
        <v>59</v>
      </c>
      <c r="C92" s="13" t="s">
        <v>55</v>
      </c>
      <c r="D92" s="95"/>
      <c r="E92" s="28" t="s">
        <v>0</v>
      </c>
      <c r="F92" s="28" t="s">
        <v>2</v>
      </c>
      <c r="G92" s="28" t="s">
        <v>2</v>
      </c>
      <c r="H92" s="28" t="s">
        <v>0</v>
      </c>
      <c r="I92" s="28" t="s">
        <v>2</v>
      </c>
      <c r="J92" s="28" t="s">
        <v>2</v>
      </c>
      <c r="K92" s="28" t="s">
        <v>2</v>
      </c>
      <c r="L92" s="28" t="s">
        <v>2</v>
      </c>
      <c r="M92" s="28" t="s">
        <v>2</v>
      </c>
      <c r="N92" s="28" t="s">
        <v>2</v>
      </c>
      <c r="O92" s="28" t="s">
        <v>2</v>
      </c>
      <c r="P92" s="28" t="s">
        <v>2</v>
      </c>
      <c r="Q92" s="28" t="s">
        <v>2</v>
      </c>
      <c r="R92" s="28" t="s">
        <v>2</v>
      </c>
      <c r="S92" s="28" t="s">
        <v>2</v>
      </c>
      <c r="T92" s="28" t="s">
        <v>2</v>
      </c>
      <c r="U92" s="28" t="s">
        <v>2</v>
      </c>
      <c r="V92" s="28" t="s">
        <v>2</v>
      </c>
      <c r="W92" s="28" t="s">
        <v>2</v>
      </c>
      <c r="X92" s="28" t="s">
        <v>2</v>
      </c>
      <c r="Y92" s="28" t="s">
        <v>2</v>
      </c>
      <c r="Z92" s="28" t="s">
        <v>2</v>
      </c>
      <c r="AA92" s="28" t="s">
        <v>2</v>
      </c>
      <c r="AB92" s="28" t="s">
        <v>2</v>
      </c>
      <c r="AC92" s="28" t="s">
        <v>2</v>
      </c>
      <c r="AD92" s="28" t="s">
        <v>2</v>
      </c>
      <c r="AE92" s="28" t="s">
        <v>2</v>
      </c>
      <c r="AF92" s="28" t="s">
        <v>2</v>
      </c>
      <c r="AG92" s="28" t="s">
        <v>2</v>
      </c>
      <c r="AH92" s="28" t="s">
        <v>2</v>
      </c>
      <c r="AI92" s="28" t="s">
        <v>2</v>
      </c>
      <c r="AJ92" s="28" t="s">
        <v>2</v>
      </c>
      <c r="AK92" s="28" t="s">
        <v>2</v>
      </c>
      <c r="AL92" s="28" t="s">
        <v>2</v>
      </c>
      <c r="AM92" s="28" t="s">
        <v>2</v>
      </c>
      <c r="AN92" s="28" t="s">
        <v>2</v>
      </c>
    </row>
    <row r="93" spans="1:40" ht="15.75" thickBot="1" x14ac:dyDescent="0.3">
      <c r="A93" s="110"/>
      <c r="B93" s="3">
        <f t="shared" si="2"/>
        <v>60</v>
      </c>
      <c r="C93" s="13" t="s">
        <v>57</v>
      </c>
      <c r="D93" s="95"/>
      <c r="E93" s="28" t="s">
        <v>0</v>
      </c>
      <c r="F93" s="28" t="s">
        <v>2</v>
      </c>
      <c r="G93" s="28" t="s">
        <v>2</v>
      </c>
      <c r="H93" s="28" t="s">
        <v>0</v>
      </c>
      <c r="I93" s="28" t="s">
        <v>2</v>
      </c>
      <c r="J93" s="28" t="s">
        <v>2</v>
      </c>
      <c r="K93" s="28" t="s">
        <v>2</v>
      </c>
      <c r="L93" s="28" t="s">
        <v>2</v>
      </c>
      <c r="M93" s="28" t="s">
        <v>2</v>
      </c>
      <c r="N93" s="28" t="s">
        <v>2</v>
      </c>
      <c r="O93" s="28" t="s">
        <v>2</v>
      </c>
      <c r="P93" s="28" t="s">
        <v>2</v>
      </c>
      <c r="Q93" s="28" t="s">
        <v>2</v>
      </c>
      <c r="R93" s="28" t="s">
        <v>2</v>
      </c>
      <c r="S93" s="28" t="s">
        <v>2</v>
      </c>
      <c r="T93" s="28" t="s">
        <v>2</v>
      </c>
      <c r="U93" s="28" t="s">
        <v>2</v>
      </c>
      <c r="V93" s="28" t="s">
        <v>2</v>
      </c>
      <c r="W93" s="28" t="s">
        <v>2</v>
      </c>
      <c r="X93" s="28" t="s">
        <v>2</v>
      </c>
      <c r="Y93" s="28" t="s">
        <v>2</v>
      </c>
      <c r="Z93" s="28" t="s">
        <v>2</v>
      </c>
      <c r="AA93" s="28" t="s">
        <v>2</v>
      </c>
      <c r="AB93" s="28" t="s">
        <v>2</v>
      </c>
      <c r="AC93" s="28" t="s">
        <v>2</v>
      </c>
      <c r="AD93" s="28" t="s">
        <v>2</v>
      </c>
      <c r="AE93" s="28" t="s">
        <v>2</v>
      </c>
      <c r="AF93" s="28" t="s">
        <v>2</v>
      </c>
      <c r="AG93" s="28" t="s">
        <v>2</v>
      </c>
      <c r="AH93" s="28" t="s">
        <v>2</v>
      </c>
      <c r="AI93" s="28" t="s">
        <v>2</v>
      </c>
      <c r="AJ93" s="28" t="s">
        <v>2</v>
      </c>
      <c r="AK93" s="28" t="s">
        <v>2</v>
      </c>
      <c r="AL93" s="28" t="s">
        <v>2</v>
      </c>
      <c r="AM93" s="28" t="s">
        <v>2</v>
      </c>
      <c r="AN93" s="28" t="s">
        <v>2</v>
      </c>
    </row>
    <row r="94" spans="1:40" ht="15.75" thickBot="1" x14ac:dyDescent="0.3">
      <c r="A94" s="110"/>
      <c r="B94" s="3">
        <f t="shared" si="2"/>
        <v>61</v>
      </c>
      <c r="C94" s="13" t="s">
        <v>59</v>
      </c>
      <c r="D94" s="95"/>
      <c r="E94" s="28" t="s">
        <v>0</v>
      </c>
      <c r="F94" s="28" t="s">
        <v>2</v>
      </c>
      <c r="G94" s="28" t="s">
        <v>2</v>
      </c>
      <c r="H94" s="28" t="s">
        <v>0</v>
      </c>
      <c r="I94" s="28" t="s">
        <v>2</v>
      </c>
      <c r="J94" s="28" t="s">
        <v>2</v>
      </c>
      <c r="K94" s="28" t="s">
        <v>2</v>
      </c>
      <c r="L94" s="28" t="s">
        <v>0</v>
      </c>
      <c r="M94" s="28" t="s">
        <v>2</v>
      </c>
      <c r="N94" s="28" t="s">
        <v>2</v>
      </c>
      <c r="O94" s="28" t="s">
        <v>0</v>
      </c>
      <c r="P94" s="28" t="s">
        <v>2</v>
      </c>
      <c r="Q94" s="28" t="s">
        <v>2</v>
      </c>
      <c r="R94" s="28" t="s">
        <v>2</v>
      </c>
      <c r="S94" s="28" t="s">
        <v>2</v>
      </c>
      <c r="T94" s="28" t="s">
        <v>2</v>
      </c>
      <c r="U94" s="28" t="s">
        <v>2</v>
      </c>
      <c r="V94" s="28" t="s">
        <v>2</v>
      </c>
      <c r="W94" s="28" t="s">
        <v>2</v>
      </c>
      <c r="X94" s="28" t="s">
        <v>2</v>
      </c>
      <c r="Y94" s="28" t="s">
        <v>2</v>
      </c>
      <c r="Z94" s="28" t="s">
        <v>2</v>
      </c>
      <c r="AA94" s="28" t="s">
        <v>2</v>
      </c>
      <c r="AB94" s="28" t="s">
        <v>2</v>
      </c>
      <c r="AC94" s="28" t="s">
        <v>2</v>
      </c>
      <c r="AD94" s="28" t="s">
        <v>2</v>
      </c>
      <c r="AE94" s="28" t="s">
        <v>2</v>
      </c>
      <c r="AF94" s="28" t="s">
        <v>2</v>
      </c>
      <c r="AG94" s="28" t="s">
        <v>2</v>
      </c>
      <c r="AH94" s="28" t="s">
        <v>0</v>
      </c>
      <c r="AI94" s="28" t="s">
        <v>2</v>
      </c>
      <c r="AJ94" s="28" t="s">
        <v>0</v>
      </c>
      <c r="AK94" s="28" t="s">
        <v>0</v>
      </c>
      <c r="AL94" s="28" t="s">
        <v>2</v>
      </c>
      <c r="AM94" s="28" t="s">
        <v>2</v>
      </c>
      <c r="AN94" s="28" t="s">
        <v>2</v>
      </c>
    </row>
    <row r="95" spans="1:40" ht="15.75" thickBot="1" x14ac:dyDescent="0.3">
      <c r="A95" s="110"/>
      <c r="B95" s="6">
        <f t="shared" si="2"/>
        <v>62</v>
      </c>
      <c r="C95" s="13" t="s">
        <v>61</v>
      </c>
      <c r="D95" s="95"/>
      <c r="E95" s="28" t="s">
        <v>0</v>
      </c>
      <c r="F95" s="28" t="s">
        <v>2</v>
      </c>
      <c r="G95" s="28" t="s">
        <v>2</v>
      </c>
      <c r="H95" s="28" t="s">
        <v>0</v>
      </c>
      <c r="I95" s="28" t="s">
        <v>2</v>
      </c>
      <c r="J95" s="28" t="s">
        <v>2</v>
      </c>
      <c r="K95" s="28" t="s">
        <v>2</v>
      </c>
      <c r="L95" s="28" t="s">
        <v>2</v>
      </c>
      <c r="M95" s="28" t="s">
        <v>2</v>
      </c>
      <c r="N95" s="28" t="s">
        <v>2</v>
      </c>
      <c r="O95" s="28" t="s">
        <v>2</v>
      </c>
      <c r="P95" s="28" t="s">
        <v>2</v>
      </c>
      <c r="Q95" s="28" t="s">
        <v>2</v>
      </c>
      <c r="R95" s="28" t="s">
        <v>2</v>
      </c>
      <c r="S95" s="28" t="s">
        <v>2</v>
      </c>
      <c r="T95" s="28" t="s">
        <v>2</v>
      </c>
      <c r="U95" s="28" t="s">
        <v>2</v>
      </c>
      <c r="V95" s="28" t="s">
        <v>2</v>
      </c>
      <c r="W95" s="28" t="s">
        <v>2</v>
      </c>
      <c r="X95" s="28" t="s">
        <v>2</v>
      </c>
      <c r="Y95" s="28" t="s">
        <v>2</v>
      </c>
      <c r="Z95" s="28" t="s">
        <v>2</v>
      </c>
      <c r="AA95" s="28" t="s">
        <v>2</v>
      </c>
      <c r="AB95" s="28" t="s">
        <v>2</v>
      </c>
      <c r="AC95" s="28" t="s">
        <v>2</v>
      </c>
      <c r="AD95" s="28" t="s">
        <v>2</v>
      </c>
      <c r="AE95" s="28" t="s">
        <v>2</v>
      </c>
      <c r="AF95" s="28" t="s">
        <v>2</v>
      </c>
      <c r="AG95" s="28" t="s">
        <v>2</v>
      </c>
      <c r="AH95" s="28" t="s">
        <v>2</v>
      </c>
      <c r="AI95" s="28" t="s">
        <v>2</v>
      </c>
      <c r="AJ95" s="28" t="s">
        <v>2</v>
      </c>
      <c r="AK95" s="28" t="s">
        <v>2</v>
      </c>
      <c r="AL95" s="28" t="s">
        <v>2</v>
      </c>
      <c r="AM95" s="28" t="s">
        <v>2</v>
      </c>
      <c r="AN95" s="28" t="s">
        <v>2</v>
      </c>
    </row>
    <row r="96" spans="1:40" ht="15.75" thickBot="1" x14ac:dyDescent="0.3">
      <c r="A96" s="110"/>
      <c r="B96" s="3">
        <f t="shared" si="2"/>
        <v>63</v>
      </c>
      <c r="C96" s="13" t="s">
        <v>62</v>
      </c>
      <c r="D96" s="95"/>
      <c r="E96" s="28" t="s">
        <v>0</v>
      </c>
      <c r="F96" s="28" t="s">
        <v>2</v>
      </c>
      <c r="G96" s="28" t="s">
        <v>2</v>
      </c>
      <c r="H96" s="28" t="s">
        <v>0</v>
      </c>
      <c r="I96" s="28" t="s">
        <v>0</v>
      </c>
      <c r="J96" s="28" t="s">
        <v>2</v>
      </c>
      <c r="K96" s="28" t="s">
        <v>2</v>
      </c>
      <c r="L96" s="28" t="s">
        <v>2</v>
      </c>
      <c r="M96" s="28" t="s">
        <v>2</v>
      </c>
      <c r="N96" s="28" t="s">
        <v>2</v>
      </c>
      <c r="O96" s="28" t="s">
        <v>2</v>
      </c>
      <c r="P96" s="28" t="s">
        <v>0</v>
      </c>
      <c r="Q96" s="28" t="s">
        <v>2</v>
      </c>
      <c r="R96" s="28" t="s">
        <v>2</v>
      </c>
      <c r="S96" s="28" t="s">
        <v>2</v>
      </c>
      <c r="T96" s="28" t="s">
        <v>2</v>
      </c>
      <c r="U96" s="28" t="s">
        <v>0</v>
      </c>
      <c r="V96" s="28" t="s">
        <v>2</v>
      </c>
      <c r="W96" s="28" t="s">
        <v>2</v>
      </c>
      <c r="X96" s="28" t="s">
        <v>2</v>
      </c>
      <c r="Y96" s="28" t="s">
        <v>2</v>
      </c>
      <c r="Z96" s="28" t="s">
        <v>2</v>
      </c>
      <c r="AA96" s="28" t="s">
        <v>2</v>
      </c>
      <c r="AB96" s="28" t="s">
        <v>2</v>
      </c>
      <c r="AC96" s="28" t="s">
        <v>2</v>
      </c>
      <c r="AD96" s="28" t="s">
        <v>2</v>
      </c>
      <c r="AE96" s="28" t="s">
        <v>0</v>
      </c>
      <c r="AF96" s="28" t="s">
        <v>2</v>
      </c>
      <c r="AG96" s="28" t="s">
        <v>2</v>
      </c>
      <c r="AH96" s="28" t="s">
        <v>2</v>
      </c>
      <c r="AI96" s="28" t="s">
        <v>2</v>
      </c>
      <c r="AJ96" s="28" t="s">
        <v>2</v>
      </c>
      <c r="AK96" s="28" t="s">
        <v>2</v>
      </c>
      <c r="AL96" s="28" t="s">
        <v>2</v>
      </c>
      <c r="AM96" s="28" t="s">
        <v>0</v>
      </c>
      <c r="AN96" s="28" t="s">
        <v>2</v>
      </c>
    </row>
    <row r="97" spans="1:40" ht="15.75" thickBot="1" x14ac:dyDescent="0.3">
      <c r="A97" s="110"/>
      <c r="B97" s="3">
        <f t="shared" si="2"/>
        <v>64</v>
      </c>
      <c r="C97" s="14" t="s">
        <v>101</v>
      </c>
      <c r="D97" s="96"/>
      <c r="E97" s="28" t="s">
        <v>0</v>
      </c>
      <c r="F97" s="28" t="s">
        <v>2</v>
      </c>
      <c r="G97" s="28" t="s">
        <v>2</v>
      </c>
      <c r="H97" s="28" t="s">
        <v>0</v>
      </c>
      <c r="I97" s="28" t="s">
        <v>2</v>
      </c>
      <c r="J97" s="28" t="s">
        <v>2</v>
      </c>
      <c r="K97" s="28" t="s">
        <v>2</v>
      </c>
      <c r="L97" s="28" t="s">
        <v>2</v>
      </c>
      <c r="M97" s="28" t="s">
        <v>2</v>
      </c>
      <c r="N97" s="28" t="s">
        <v>2</v>
      </c>
      <c r="O97" s="28" t="s">
        <v>0</v>
      </c>
      <c r="P97" s="28" t="s">
        <v>2</v>
      </c>
      <c r="Q97" s="28" t="s">
        <v>2</v>
      </c>
      <c r="R97" s="28" t="s">
        <v>2</v>
      </c>
      <c r="S97" s="28" t="s">
        <v>2</v>
      </c>
      <c r="T97" s="28" t="s">
        <v>2</v>
      </c>
      <c r="U97" s="28" t="s">
        <v>2</v>
      </c>
      <c r="V97" s="28" t="s">
        <v>2</v>
      </c>
      <c r="W97" s="28" t="s">
        <v>2</v>
      </c>
      <c r="X97" s="28" t="s">
        <v>2</v>
      </c>
      <c r="Y97" s="28" t="s">
        <v>2</v>
      </c>
      <c r="Z97" s="28" t="s">
        <v>2</v>
      </c>
      <c r="AA97" s="28" t="s">
        <v>2</v>
      </c>
      <c r="AB97" s="28" t="s">
        <v>0</v>
      </c>
      <c r="AC97" s="28" t="s">
        <v>2</v>
      </c>
      <c r="AD97" s="28" t="s">
        <v>2</v>
      </c>
      <c r="AE97" s="28" t="s">
        <v>2</v>
      </c>
      <c r="AF97" s="28" t="s">
        <v>2</v>
      </c>
      <c r="AG97" s="28" t="s">
        <v>2</v>
      </c>
      <c r="AH97" s="28" t="s">
        <v>2</v>
      </c>
      <c r="AI97" s="28" t="s">
        <v>2</v>
      </c>
      <c r="AJ97" s="28" t="s">
        <v>2</v>
      </c>
      <c r="AK97" s="28" t="s">
        <v>2</v>
      </c>
      <c r="AL97" s="28" t="s">
        <v>2</v>
      </c>
      <c r="AM97" s="28" t="s">
        <v>2</v>
      </c>
      <c r="AN97" s="28" t="s">
        <v>2</v>
      </c>
    </row>
    <row r="98" spans="1:40" ht="15.75" thickBot="1" x14ac:dyDescent="0.3">
      <c r="A98" s="110"/>
      <c r="B98" s="3">
        <f t="shared" si="2"/>
        <v>65</v>
      </c>
      <c r="C98" s="14" t="s">
        <v>91</v>
      </c>
      <c r="D98" s="96"/>
      <c r="E98" s="28" t="s">
        <v>0</v>
      </c>
      <c r="F98" s="28" t="s">
        <v>2</v>
      </c>
      <c r="G98" s="28" t="s">
        <v>2</v>
      </c>
      <c r="H98" s="28" t="s">
        <v>0</v>
      </c>
      <c r="I98" s="28" t="s">
        <v>2</v>
      </c>
      <c r="J98" s="28" t="s">
        <v>2</v>
      </c>
      <c r="K98" s="28" t="s">
        <v>2</v>
      </c>
      <c r="L98" s="28" t="s">
        <v>2</v>
      </c>
      <c r="M98" s="28" t="s">
        <v>2</v>
      </c>
      <c r="N98" s="28" t="s">
        <v>2</v>
      </c>
      <c r="O98" s="28" t="s">
        <v>2</v>
      </c>
      <c r="P98" s="28" t="s">
        <v>2</v>
      </c>
      <c r="Q98" s="28" t="s">
        <v>2</v>
      </c>
      <c r="R98" s="28" t="s">
        <v>2</v>
      </c>
      <c r="S98" s="28" t="s">
        <v>2</v>
      </c>
      <c r="T98" s="28" t="s">
        <v>2</v>
      </c>
      <c r="U98" s="28" t="s">
        <v>2</v>
      </c>
      <c r="V98" s="28" t="s">
        <v>2</v>
      </c>
      <c r="W98" s="28" t="s">
        <v>2</v>
      </c>
      <c r="X98" s="28" t="s">
        <v>2</v>
      </c>
      <c r="Y98" s="28" t="s">
        <v>2</v>
      </c>
      <c r="Z98" s="28" t="s">
        <v>2</v>
      </c>
      <c r="AA98" s="28" t="s">
        <v>2</v>
      </c>
      <c r="AB98" s="28" t="s">
        <v>2</v>
      </c>
      <c r="AC98" s="28" t="s">
        <v>2</v>
      </c>
      <c r="AD98" s="28" t="s">
        <v>2</v>
      </c>
      <c r="AE98" s="28" t="s">
        <v>2</v>
      </c>
      <c r="AF98" s="28" t="s">
        <v>2</v>
      </c>
      <c r="AG98" s="28" t="s">
        <v>2</v>
      </c>
      <c r="AH98" s="28" t="s">
        <v>2</v>
      </c>
      <c r="AI98" s="28" t="s">
        <v>0</v>
      </c>
      <c r="AJ98" s="28" t="s">
        <v>2</v>
      </c>
      <c r="AK98" s="28" t="s">
        <v>2</v>
      </c>
      <c r="AL98" s="28" t="s">
        <v>2</v>
      </c>
      <c r="AM98" s="28" t="s">
        <v>2</v>
      </c>
      <c r="AN98" s="28" t="s">
        <v>2</v>
      </c>
    </row>
    <row r="99" spans="1:40" ht="15.75" thickBot="1" x14ac:dyDescent="0.3">
      <c r="A99" s="111"/>
      <c r="B99" s="8">
        <f>+B98+1</f>
        <v>66</v>
      </c>
      <c r="C99" s="15" t="s">
        <v>64</v>
      </c>
      <c r="D99" s="97"/>
      <c r="E99" s="28" t="s">
        <v>0</v>
      </c>
      <c r="F99" s="28" t="s">
        <v>2</v>
      </c>
      <c r="G99" s="28" t="s">
        <v>2</v>
      </c>
      <c r="H99" s="28" t="s">
        <v>0</v>
      </c>
      <c r="I99" s="28" t="s">
        <v>2</v>
      </c>
      <c r="J99" s="28" t="s">
        <v>2</v>
      </c>
      <c r="K99" s="28" t="s">
        <v>2</v>
      </c>
      <c r="L99" s="28" t="s">
        <v>0</v>
      </c>
      <c r="M99" s="28" t="s">
        <v>2</v>
      </c>
      <c r="N99" s="28" t="s">
        <v>2</v>
      </c>
      <c r="O99" s="28" t="s">
        <v>0</v>
      </c>
      <c r="P99" s="28" t="s">
        <v>2</v>
      </c>
      <c r="Q99" s="28" t="s">
        <v>2</v>
      </c>
      <c r="R99" s="28" t="s">
        <v>0</v>
      </c>
      <c r="S99" s="28" t="s">
        <v>2</v>
      </c>
      <c r="T99" s="28" t="s">
        <v>0</v>
      </c>
      <c r="U99" s="28" t="s">
        <v>0</v>
      </c>
      <c r="V99" s="28" t="s">
        <v>2</v>
      </c>
      <c r="W99" s="28" t="s">
        <v>0</v>
      </c>
      <c r="X99" s="28" t="s">
        <v>2</v>
      </c>
      <c r="Y99" s="28" t="s">
        <v>0</v>
      </c>
      <c r="Z99" s="28" t="s">
        <v>0</v>
      </c>
      <c r="AA99" s="28" t="s">
        <v>2</v>
      </c>
      <c r="AB99" s="28" t="s">
        <v>2</v>
      </c>
      <c r="AC99" s="28" t="s">
        <v>2</v>
      </c>
      <c r="AD99" s="28" t="s">
        <v>2</v>
      </c>
      <c r="AE99" s="28" t="s">
        <v>2</v>
      </c>
      <c r="AF99" s="28" t="s">
        <v>0</v>
      </c>
      <c r="AG99" s="28" t="s">
        <v>2</v>
      </c>
      <c r="AH99" s="28" t="s">
        <v>0</v>
      </c>
      <c r="AI99" s="28" t="s">
        <v>0</v>
      </c>
      <c r="AJ99" s="28" t="s">
        <v>2</v>
      </c>
      <c r="AK99" s="28" t="s">
        <v>2</v>
      </c>
      <c r="AL99" s="28" t="s">
        <v>2</v>
      </c>
      <c r="AM99" s="28" t="s">
        <v>2</v>
      </c>
      <c r="AN99" s="28" t="s">
        <v>2</v>
      </c>
    </row>
    <row r="100" spans="1:40" ht="15.75" thickBot="1" x14ac:dyDescent="0.3">
      <c r="A100" s="112" t="s">
        <v>102</v>
      </c>
      <c r="B100" s="2">
        <f>+ B99+1</f>
        <v>67</v>
      </c>
      <c r="C100" s="12" t="s">
        <v>86</v>
      </c>
      <c r="D100" s="94"/>
      <c r="E100" s="28" t="s">
        <v>0</v>
      </c>
      <c r="F100" s="28" t="s">
        <v>2</v>
      </c>
      <c r="G100" s="28" t="s">
        <v>2</v>
      </c>
      <c r="H100" s="28" t="s">
        <v>0</v>
      </c>
      <c r="I100" s="28" t="s">
        <v>2</v>
      </c>
      <c r="J100" s="28" t="s">
        <v>2</v>
      </c>
      <c r="K100" s="28" t="s">
        <v>2</v>
      </c>
      <c r="L100" s="28" t="s">
        <v>2</v>
      </c>
      <c r="M100" s="28" t="s">
        <v>2</v>
      </c>
      <c r="N100" s="28" t="s">
        <v>2</v>
      </c>
      <c r="O100" s="28" t="s">
        <v>2</v>
      </c>
      <c r="P100" s="28" t="s">
        <v>2</v>
      </c>
      <c r="Q100" s="28" t="s">
        <v>2</v>
      </c>
      <c r="R100" s="28" t="s">
        <v>2</v>
      </c>
      <c r="S100" s="28" t="s">
        <v>2</v>
      </c>
      <c r="T100" s="28" t="s">
        <v>2</v>
      </c>
      <c r="U100" s="28" t="s">
        <v>2</v>
      </c>
      <c r="V100" s="28" t="s">
        <v>2</v>
      </c>
      <c r="W100" s="28" t="s">
        <v>2</v>
      </c>
      <c r="X100" s="28" t="s">
        <v>2</v>
      </c>
      <c r="Y100" s="28" t="s">
        <v>2</v>
      </c>
      <c r="Z100" s="28" t="s">
        <v>2</v>
      </c>
      <c r="AA100" s="28" t="s">
        <v>2</v>
      </c>
      <c r="AB100" s="28" t="s">
        <v>2</v>
      </c>
      <c r="AC100" s="28" t="s">
        <v>2</v>
      </c>
      <c r="AD100" s="28" t="s">
        <v>2</v>
      </c>
      <c r="AE100" s="28" t="s">
        <v>2</v>
      </c>
      <c r="AF100" s="28" t="s">
        <v>2</v>
      </c>
      <c r="AG100" s="28" t="s">
        <v>2</v>
      </c>
      <c r="AH100" s="28" t="s">
        <v>2</v>
      </c>
      <c r="AI100" s="28" t="s">
        <v>2</v>
      </c>
      <c r="AJ100" s="28" t="s">
        <v>2</v>
      </c>
      <c r="AK100" s="28" t="s">
        <v>2</v>
      </c>
      <c r="AL100" s="28" t="s">
        <v>2</v>
      </c>
      <c r="AM100" s="28" t="s">
        <v>2</v>
      </c>
      <c r="AN100" s="28" t="s">
        <v>2</v>
      </c>
    </row>
    <row r="101" spans="1:40" ht="15.75" thickBot="1" x14ac:dyDescent="0.3">
      <c r="A101" s="110"/>
      <c r="B101" s="6">
        <f t="shared" ref="B101:B110" si="3">+ B100+1</f>
        <v>68</v>
      </c>
      <c r="C101" s="13" t="s">
        <v>87</v>
      </c>
      <c r="D101" s="95"/>
      <c r="E101" s="28" t="s">
        <v>0</v>
      </c>
      <c r="F101" s="28" t="s">
        <v>2</v>
      </c>
      <c r="G101" s="28" t="s">
        <v>2</v>
      </c>
      <c r="H101" s="28" t="s">
        <v>0</v>
      </c>
      <c r="I101" s="28" t="s">
        <v>2</v>
      </c>
      <c r="J101" s="28" t="s">
        <v>2</v>
      </c>
      <c r="K101" s="28" t="s">
        <v>2</v>
      </c>
      <c r="L101" s="28" t="s">
        <v>2</v>
      </c>
      <c r="M101" s="28" t="s">
        <v>2</v>
      </c>
      <c r="N101" s="28" t="s">
        <v>2</v>
      </c>
      <c r="O101" s="28" t="s">
        <v>2</v>
      </c>
      <c r="P101" s="28" t="s">
        <v>2</v>
      </c>
      <c r="Q101" s="28" t="s">
        <v>2</v>
      </c>
      <c r="R101" s="28" t="s">
        <v>2</v>
      </c>
      <c r="S101" s="28" t="s">
        <v>2</v>
      </c>
      <c r="T101" s="28" t="s">
        <v>2</v>
      </c>
      <c r="U101" s="28" t="s">
        <v>2</v>
      </c>
      <c r="V101" s="28" t="s">
        <v>2</v>
      </c>
      <c r="W101" s="28" t="s">
        <v>2</v>
      </c>
      <c r="X101" s="28" t="s">
        <v>2</v>
      </c>
      <c r="Y101" s="28" t="s">
        <v>2</v>
      </c>
      <c r="Z101" s="28" t="s">
        <v>2</v>
      </c>
      <c r="AA101" s="28" t="s">
        <v>2</v>
      </c>
      <c r="AB101" s="28" t="s">
        <v>2</v>
      </c>
      <c r="AC101" s="28" t="s">
        <v>2</v>
      </c>
      <c r="AD101" s="28" t="s">
        <v>2</v>
      </c>
      <c r="AE101" s="28" t="s">
        <v>2</v>
      </c>
      <c r="AF101" s="28" t="s">
        <v>2</v>
      </c>
      <c r="AG101" s="28" t="s">
        <v>2</v>
      </c>
      <c r="AH101" s="28" t="s">
        <v>2</v>
      </c>
      <c r="AI101" s="28" t="s">
        <v>2</v>
      </c>
      <c r="AJ101" s="28" t="s">
        <v>2</v>
      </c>
      <c r="AK101" s="28" t="s">
        <v>2</v>
      </c>
      <c r="AL101" s="28" t="s">
        <v>2</v>
      </c>
      <c r="AM101" s="28" t="s">
        <v>2</v>
      </c>
      <c r="AN101" s="28" t="s">
        <v>2</v>
      </c>
    </row>
    <row r="102" spans="1:40" ht="15.75" thickBot="1" x14ac:dyDescent="0.3">
      <c r="A102" s="110"/>
      <c r="B102" s="6">
        <f t="shared" si="3"/>
        <v>69</v>
      </c>
      <c r="C102" s="13" t="s">
        <v>88</v>
      </c>
      <c r="D102" s="95"/>
      <c r="E102" s="28" t="s">
        <v>0</v>
      </c>
      <c r="F102" s="28" t="s">
        <v>2</v>
      </c>
      <c r="G102" s="28" t="s">
        <v>2</v>
      </c>
      <c r="H102" s="28" t="s">
        <v>0</v>
      </c>
      <c r="I102" s="28" t="s">
        <v>2</v>
      </c>
      <c r="J102" s="28" t="s">
        <v>2</v>
      </c>
      <c r="K102" s="28" t="s">
        <v>2</v>
      </c>
      <c r="L102" s="28" t="s">
        <v>2</v>
      </c>
      <c r="M102" s="28" t="s">
        <v>2</v>
      </c>
      <c r="N102" s="28" t="s">
        <v>2</v>
      </c>
      <c r="O102" s="28" t="s">
        <v>2</v>
      </c>
      <c r="P102" s="28" t="s">
        <v>2</v>
      </c>
      <c r="Q102" s="28" t="s">
        <v>2</v>
      </c>
      <c r="R102" s="28" t="s">
        <v>2</v>
      </c>
      <c r="S102" s="28" t="s">
        <v>2</v>
      </c>
      <c r="T102" s="28" t="s">
        <v>2</v>
      </c>
      <c r="U102" s="28" t="s">
        <v>2</v>
      </c>
      <c r="V102" s="28" t="s">
        <v>2</v>
      </c>
      <c r="W102" s="28" t="s">
        <v>2</v>
      </c>
      <c r="X102" s="28" t="s">
        <v>2</v>
      </c>
      <c r="Y102" s="28" t="s">
        <v>2</v>
      </c>
      <c r="Z102" s="28" t="s">
        <v>2</v>
      </c>
      <c r="AA102" s="28" t="s">
        <v>2</v>
      </c>
      <c r="AB102" s="28" t="s">
        <v>2</v>
      </c>
      <c r="AC102" s="28" t="s">
        <v>2</v>
      </c>
      <c r="AD102" s="28" t="s">
        <v>2</v>
      </c>
      <c r="AE102" s="28" t="s">
        <v>2</v>
      </c>
      <c r="AF102" s="28" t="s">
        <v>2</v>
      </c>
      <c r="AG102" s="28" t="s">
        <v>2</v>
      </c>
      <c r="AH102" s="28" t="s">
        <v>2</v>
      </c>
      <c r="AI102" s="28" t="s">
        <v>2</v>
      </c>
      <c r="AJ102" s="28" t="s">
        <v>2</v>
      </c>
      <c r="AK102" s="28" t="s">
        <v>2</v>
      </c>
      <c r="AL102" s="28" t="s">
        <v>2</v>
      </c>
      <c r="AM102" s="28" t="s">
        <v>2</v>
      </c>
      <c r="AN102" s="28" t="s">
        <v>2</v>
      </c>
    </row>
    <row r="103" spans="1:40" ht="15.75" thickBot="1" x14ac:dyDescent="0.3">
      <c r="A103" s="110"/>
      <c r="B103" s="6">
        <f t="shared" si="3"/>
        <v>70</v>
      </c>
      <c r="C103" s="13" t="s">
        <v>89</v>
      </c>
      <c r="D103" s="95"/>
      <c r="E103" s="28" t="s">
        <v>0</v>
      </c>
      <c r="F103" s="28" t="s">
        <v>2</v>
      </c>
      <c r="G103" s="28" t="s">
        <v>2</v>
      </c>
      <c r="H103" s="28" t="s">
        <v>0</v>
      </c>
      <c r="I103" s="28" t="s">
        <v>2</v>
      </c>
      <c r="J103" s="28" t="s">
        <v>2</v>
      </c>
      <c r="K103" s="28" t="s">
        <v>2</v>
      </c>
      <c r="L103" s="28" t="s">
        <v>2</v>
      </c>
      <c r="M103" s="28" t="s">
        <v>2</v>
      </c>
      <c r="N103" s="28" t="s">
        <v>2</v>
      </c>
      <c r="O103" s="28" t="s">
        <v>2</v>
      </c>
      <c r="P103" s="28" t="s">
        <v>2</v>
      </c>
      <c r="Q103" s="28" t="s">
        <v>2</v>
      </c>
      <c r="R103" s="28" t="s">
        <v>2</v>
      </c>
      <c r="S103" s="28" t="s">
        <v>2</v>
      </c>
      <c r="T103" s="28" t="s">
        <v>2</v>
      </c>
      <c r="U103" s="28" t="s">
        <v>2</v>
      </c>
      <c r="V103" s="28" t="s">
        <v>2</v>
      </c>
      <c r="W103" s="28" t="s">
        <v>2</v>
      </c>
      <c r="X103" s="28" t="s">
        <v>2</v>
      </c>
      <c r="Y103" s="28" t="s">
        <v>2</v>
      </c>
      <c r="Z103" s="28" t="s">
        <v>2</v>
      </c>
      <c r="AA103" s="28" t="s">
        <v>2</v>
      </c>
      <c r="AB103" s="28" t="s">
        <v>2</v>
      </c>
      <c r="AC103" s="28" t="s">
        <v>2</v>
      </c>
      <c r="AD103" s="28" t="s">
        <v>2</v>
      </c>
      <c r="AE103" s="28" t="s">
        <v>2</v>
      </c>
      <c r="AF103" s="28" t="s">
        <v>2</v>
      </c>
      <c r="AG103" s="28" t="s">
        <v>2</v>
      </c>
      <c r="AH103" s="28" t="s">
        <v>2</v>
      </c>
      <c r="AI103" s="28" t="s">
        <v>2</v>
      </c>
      <c r="AJ103" s="28" t="s">
        <v>2</v>
      </c>
      <c r="AK103" s="28" t="s">
        <v>2</v>
      </c>
      <c r="AL103" s="28" t="s">
        <v>2</v>
      </c>
      <c r="AM103" s="28" t="s">
        <v>2</v>
      </c>
      <c r="AN103" s="28" t="s">
        <v>2</v>
      </c>
    </row>
    <row r="104" spans="1:40" ht="15.75" thickBot="1" x14ac:dyDescent="0.3">
      <c r="A104" s="110"/>
      <c r="B104" s="6">
        <f t="shared" si="3"/>
        <v>71</v>
      </c>
      <c r="C104" s="13" t="s">
        <v>76</v>
      </c>
      <c r="D104" s="95"/>
      <c r="E104" s="28" t="s">
        <v>0</v>
      </c>
      <c r="F104" s="28" t="s">
        <v>2</v>
      </c>
      <c r="G104" s="28" t="s">
        <v>2</v>
      </c>
      <c r="H104" s="28" t="s">
        <v>0</v>
      </c>
      <c r="I104" s="28" t="s">
        <v>2</v>
      </c>
      <c r="J104" s="28" t="s">
        <v>2</v>
      </c>
      <c r="K104" s="28" t="s">
        <v>2</v>
      </c>
      <c r="L104" s="28" t="s">
        <v>2</v>
      </c>
      <c r="M104" s="28" t="s">
        <v>0</v>
      </c>
      <c r="N104" s="28" t="s">
        <v>2</v>
      </c>
      <c r="O104" s="28" t="s">
        <v>2</v>
      </c>
      <c r="P104" s="28" t="s">
        <v>2</v>
      </c>
      <c r="Q104" s="28" t="s">
        <v>2</v>
      </c>
      <c r="R104" s="28" t="s">
        <v>2</v>
      </c>
      <c r="S104" s="28" t="s">
        <v>2</v>
      </c>
      <c r="T104" s="28" t="s">
        <v>2</v>
      </c>
      <c r="U104" s="28" t="s">
        <v>2</v>
      </c>
      <c r="V104" s="28" t="s">
        <v>2</v>
      </c>
      <c r="W104" s="28" t="s">
        <v>2</v>
      </c>
      <c r="X104" s="28" t="s">
        <v>2</v>
      </c>
      <c r="Y104" s="28" t="s">
        <v>2</v>
      </c>
      <c r="Z104" s="28" t="s">
        <v>2</v>
      </c>
      <c r="AA104" s="28" t="s">
        <v>2</v>
      </c>
      <c r="AB104" s="28" t="s">
        <v>2</v>
      </c>
      <c r="AC104" s="28" t="s">
        <v>2</v>
      </c>
      <c r="AD104" s="28" t="s">
        <v>2</v>
      </c>
      <c r="AE104" s="28" t="s">
        <v>2</v>
      </c>
      <c r="AF104" s="28" t="s">
        <v>2</v>
      </c>
      <c r="AG104" s="28" t="s">
        <v>2</v>
      </c>
      <c r="AH104" s="28" t="s">
        <v>2</v>
      </c>
      <c r="AI104" s="28" t="s">
        <v>2</v>
      </c>
      <c r="AJ104" s="28" t="s">
        <v>2</v>
      </c>
      <c r="AK104" s="28" t="s">
        <v>2</v>
      </c>
      <c r="AL104" s="28" t="s">
        <v>2</v>
      </c>
      <c r="AM104" s="28" t="s">
        <v>2</v>
      </c>
      <c r="AN104" s="28" t="s">
        <v>2</v>
      </c>
    </row>
    <row r="105" spans="1:40" ht="15.75" thickBot="1" x14ac:dyDescent="0.3">
      <c r="A105" s="110"/>
      <c r="B105" s="6">
        <f t="shared" si="3"/>
        <v>72</v>
      </c>
      <c r="C105" s="13" t="s">
        <v>77</v>
      </c>
      <c r="D105" s="95"/>
      <c r="E105" s="28" t="s">
        <v>0</v>
      </c>
      <c r="F105" s="28" t="s">
        <v>2</v>
      </c>
      <c r="G105" s="28" t="s">
        <v>2</v>
      </c>
      <c r="H105" s="28" t="s">
        <v>0</v>
      </c>
      <c r="I105" s="28" t="s">
        <v>2</v>
      </c>
      <c r="J105" s="28" t="s">
        <v>2</v>
      </c>
      <c r="K105" s="28" t="s">
        <v>2</v>
      </c>
      <c r="L105" s="28" t="s">
        <v>2</v>
      </c>
      <c r="M105" s="28" t="s">
        <v>2</v>
      </c>
      <c r="N105" s="28" t="s">
        <v>2</v>
      </c>
      <c r="O105" s="28" t="s">
        <v>2</v>
      </c>
      <c r="P105" s="28" t="s">
        <v>2</v>
      </c>
      <c r="Q105" s="28" t="s">
        <v>2</v>
      </c>
      <c r="R105" s="28" t="s">
        <v>2</v>
      </c>
      <c r="S105" s="28" t="s">
        <v>2</v>
      </c>
      <c r="T105" s="28" t="s">
        <v>2</v>
      </c>
      <c r="U105" s="28" t="s">
        <v>2</v>
      </c>
      <c r="V105" s="28" t="s">
        <v>0</v>
      </c>
      <c r="W105" s="28" t="s">
        <v>2</v>
      </c>
      <c r="X105" s="28" t="s">
        <v>2</v>
      </c>
      <c r="Y105" s="28" t="s">
        <v>2</v>
      </c>
      <c r="Z105" s="28" t="s">
        <v>2</v>
      </c>
      <c r="AA105" s="28" t="s">
        <v>2</v>
      </c>
      <c r="AB105" s="28" t="s">
        <v>2</v>
      </c>
      <c r="AC105" s="28" t="s">
        <v>2</v>
      </c>
      <c r="AD105" s="28" t="s">
        <v>2</v>
      </c>
      <c r="AE105" s="28" t="s">
        <v>2</v>
      </c>
      <c r="AF105" s="28" t="s">
        <v>2</v>
      </c>
      <c r="AG105" s="28" t="s">
        <v>2</v>
      </c>
      <c r="AH105" s="28" t="s">
        <v>0</v>
      </c>
      <c r="AI105" s="28" t="s">
        <v>2</v>
      </c>
      <c r="AJ105" s="28" t="s">
        <v>2</v>
      </c>
      <c r="AK105" s="28" t="s">
        <v>2</v>
      </c>
      <c r="AL105" s="28" t="s">
        <v>2</v>
      </c>
      <c r="AM105" s="28" t="s">
        <v>2</v>
      </c>
      <c r="AN105" s="28" t="s">
        <v>2</v>
      </c>
    </row>
    <row r="106" spans="1:40" ht="15.75" thickBot="1" x14ac:dyDescent="0.3">
      <c r="A106" s="110"/>
      <c r="B106" s="6">
        <f t="shared" si="3"/>
        <v>73</v>
      </c>
      <c r="C106" s="13" t="s">
        <v>59</v>
      </c>
      <c r="D106" s="95"/>
      <c r="E106" s="28" t="s">
        <v>0</v>
      </c>
      <c r="F106" s="28" t="s">
        <v>2</v>
      </c>
      <c r="G106" s="28" t="s">
        <v>2</v>
      </c>
      <c r="H106" s="28" t="s">
        <v>0</v>
      </c>
      <c r="I106" s="28" t="s">
        <v>2</v>
      </c>
      <c r="J106" s="28" t="s">
        <v>2</v>
      </c>
      <c r="K106" s="28" t="s">
        <v>2</v>
      </c>
      <c r="L106" s="28" t="s">
        <v>2</v>
      </c>
      <c r="M106" s="28" t="s">
        <v>2</v>
      </c>
      <c r="N106" s="28" t="s">
        <v>2</v>
      </c>
      <c r="O106" s="28" t="s">
        <v>2</v>
      </c>
      <c r="P106" s="28" t="s">
        <v>2</v>
      </c>
      <c r="Q106" s="28" t="s">
        <v>2</v>
      </c>
      <c r="R106" s="28" t="s">
        <v>2</v>
      </c>
      <c r="S106" s="28" t="s">
        <v>2</v>
      </c>
      <c r="T106" s="28" t="s">
        <v>0</v>
      </c>
      <c r="U106" s="28" t="s">
        <v>2</v>
      </c>
      <c r="V106" s="28" t="s">
        <v>2</v>
      </c>
      <c r="W106" s="28" t="s">
        <v>2</v>
      </c>
      <c r="X106" s="28" t="s">
        <v>2</v>
      </c>
      <c r="Y106" s="28" t="s">
        <v>2</v>
      </c>
      <c r="Z106" s="28" t="s">
        <v>2</v>
      </c>
      <c r="AA106" s="28" t="s">
        <v>2</v>
      </c>
      <c r="AB106" s="28" t="s">
        <v>2</v>
      </c>
      <c r="AC106" s="28" t="s">
        <v>2</v>
      </c>
      <c r="AD106" s="28" t="s">
        <v>2</v>
      </c>
      <c r="AE106" s="28" t="s">
        <v>2</v>
      </c>
      <c r="AF106" s="28" t="s">
        <v>2</v>
      </c>
      <c r="AG106" s="28" t="s">
        <v>2</v>
      </c>
      <c r="AH106" s="28" t="s">
        <v>2</v>
      </c>
      <c r="AI106" s="28" t="s">
        <v>2</v>
      </c>
      <c r="AJ106" s="28" t="s">
        <v>2</v>
      </c>
      <c r="AK106" s="28" t="s">
        <v>2</v>
      </c>
      <c r="AL106" s="28" t="s">
        <v>2</v>
      </c>
      <c r="AM106" s="28" t="s">
        <v>2</v>
      </c>
      <c r="AN106" s="28" t="s">
        <v>2</v>
      </c>
    </row>
    <row r="107" spans="1:40" ht="15.75" thickBot="1" x14ac:dyDescent="0.3">
      <c r="A107" s="110"/>
      <c r="B107" s="6">
        <f t="shared" si="3"/>
        <v>74</v>
      </c>
      <c r="C107" s="13" t="s">
        <v>61</v>
      </c>
      <c r="D107" s="95"/>
      <c r="E107" s="28" t="s">
        <v>0</v>
      </c>
      <c r="F107" s="28" t="s">
        <v>2</v>
      </c>
      <c r="G107" s="28" t="s">
        <v>2</v>
      </c>
      <c r="H107" s="28" t="s">
        <v>0</v>
      </c>
      <c r="I107" s="28" t="s">
        <v>2</v>
      </c>
      <c r="J107" s="28" t="s">
        <v>2</v>
      </c>
      <c r="K107" s="28" t="s">
        <v>2</v>
      </c>
      <c r="L107" s="28" t="s">
        <v>2</v>
      </c>
      <c r="M107" s="28" t="s">
        <v>2</v>
      </c>
      <c r="N107" s="28" t="s">
        <v>2</v>
      </c>
      <c r="O107" s="28" t="s">
        <v>2</v>
      </c>
      <c r="P107" s="28" t="s">
        <v>2</v>
      </c>
      <c r="Q107" s="28" t="s">
        <v>2</v>
      </c>
      <c r="R107" s="28" t="s">
        <v>2</v>
      </c>
      <c r="S107" s="28" t="s">
        <v>2</v>
      </c>
      <c r="T107" s="28" t="s">
        <v>2</v>
      </c>
      <c r="U107" s="28" t="s">
        <v>2</v>
      </c>
      <c r="V107" s="28" t="s">
        <v>2</v>
      </c>
      <c r="W107" s="28" t="s">
        <v>2</v>
      </c>
      <c r="X107" s="28" t="s">
        <v>2</v>
      </c>
      <c r="Y107" s="28" t="s">
        <v>2</v>
      </c>
      <c r="Z107" s="28" t="s">
        <v>2</v>
      </c>
      <c r="AA107" s="28" t="s">
        <v>2</v>
      </c>
      <c r="AB107" s="28" t="s">
        <v>2</v>
      </c>
      <c r="AC107" s="28" t="s">
        <v>2</v>
      </c>
      <c r="AD107" s="28" t="s">
        <v>2</v>
      </c>
      <c r="AE107" s="28" t="s">
        <v>2</v>
      </c>
      <c r="AF107" s="28" t="s">
        <v>2</v>
      </c>
      <c r="AG107" s="28" t="s">
        <v>2</v>
      </c>
      <c r="AH107" s="28" t="s">
        <v>2</v>
      </c>
      <c r="AI107" s="28" t="s">
        <v>2</v>
      </c>
      <c r="AJ107" s="28" t="s">
        <v>2</v>
      </c>
      <c r="AK107" s="28" t="s">
        <v>2</v>
      </c>
      <c r="AL107" s="28" t="s">
        <v>2</v>
      </c>
      <c r="AM107" s="28" t="s">
        <v>2</v>
      </c>
      <c r="AN107" s="28" t="s">
        <v>2</v>
      </c>
    </row>
    <row r="108" spans="1:40" ht="15.75" thickBot="1" x14ac:dyDescent="0.3">
      <c r="A108" s="110"/>
      <c r="B108" s="6">
        <f t="shared" si="3"/>
        <v>75</v>
      </c>
      <c r="C108" s="13" t="s">
        <v>62</v>
      </c>
      <c r="D108" s="95"/>
      <c r="E108" s="28" t="s">
        <v>0</v>
      </c>
      <c r="F108" s="28" t="s">
        <v>2</v>
      </c>
      <c r="G108" s="28" t="s">
        <v>2</v>
      </c>
      <c r="H108" s="28" t="s">
        <v>0</v>
      </c>
      <c r="I108" s="28" t="s">
        <v>2</v>
      </c>
      <c r="J108" s="28" t="s">
        <v>2</v>
      </c>
      <c r="K108" s="28" t="s">
        <v>2</v>
      </c>
      <c r="L108" s="28" t="s">
        <v>2</v>
      </c>
      <c r="M108" s="28" t="s">
        <v>2</v>
      </c>
      <c r="N108" s="28" t="s">
        <v>2</v>
      </c>
      <c r="O108" s="28" t="s">
        <v>2</v>
      </c>
      <c r="P108" s="28" t="s">
        <v>2</v>
      </c>
      <c r="Q108" s="28" t="s">
        <v>2</v>
      </c>
      <c r="R108" s="28" t="s">
        <v>2</v>
      </c>
      <c r="S108" s="28" t="s">
        <v>2</v>
      </c>
      <c r="T108" s="28" t="s">
        <v>2</v>
      </c>
      <c r="U108" s="28" t="s">
        <v>2</v>
      </c>
      <c r="V108" s="28" t="s">
        <v>2</v>
      </c>
      <c r="W108" s="28" t="s">
        <v>2</v>
      </c>
      <c r="X108" s="28" t="s">
        <v>2</v>
      </c>
      <c r="Y108" s="28" t="s">
        <v>2</v>
      </c>
      <c r="Z108" s="28" t="s">
        <v>2</v>
      </c>
      <c r="AA108" s="28" t="s">
        <v>2</v>
      </c>
      <c r="AB108" s="28" t="s">
        <v>2</v>
      </c>
      <c r="AC108" s="28" t="s">
        <v>2</v>
      </c>
      <c r="AD108" s="28" t="s">
        <v>2</v>
      </c>
      <c r="AE108" s="28" t="s">
        <v>2</v>
      </c>
      <c r="AF108" s="28" t="s">
        <v>2</v>
      </c>
      <c r="AG108" s="28" t="s">
        <v>2</v>
      </c>
      <c r="AH108" s="28" t="s">
        <v>2</v>
      </c>
      <c r="AI108" s="28" t="s">
        <v>2</v>
      </c>
      <c r="AJ108" s="28" t="s">
        <v>2</v>
      </c>
      <c r="AK108" s="28" t="s">
        <v>2</v>
      </c>
      <c r="AL108" s="28" t="s">
        <v>2</v>
      </c>
      <c r="AM108" s="28" t="s">
        <v>2</v>
      </c>
      <c r="AN108" s="28" t="s">
        <v>2</v>
      </c>
    </row>
    <row r="109" spans="1:40" ht="15.75" thickBot="1" x14ac:dyDescent="0.3">
      <c r="A109" s="110"/>
      <c r="B109" s="6">
        <f t="shared" si="3"/>
        <v>76</v>
      </c>
      <c r="C109" s="13" t="s">
        <v>103</v>
      </c>
      <c r="D109" s="95"/>
      <c r="E109" s="28" t="s">
        <v>0</v>
      </c>
      <c r="F109" s="28" t="s">
        <v>2</v>
      </c>
      <c r="G109" s="28" t="s">
        <v>2</v>
      </c>
      <c r="H109" s="28" t="s">
        <v>0</v>
      </c>
      <c r="I109" s="28" t="s">
        <v>2</v>
      </c>
      <c r="J109" s="28" t="s">
        <v>2</v>
      </c>
      <c r="K109" s="28" t="s">
        <v>2</v>
      </c>
      <c r="L109" s="28" t="s">
        <v>2</v>
      </c>
      <c r="M109" s="28" t="s">
        <v>2</v>
      </c>
      <c r="N109" s="28" t="s">
        <v>2</v>
      </c>
      <c r="O109" s="28" t="s">
        <v>2</v>
      </c>
      <c r="P109" s="28" t="s">
        <v>2</v>
      </c>
      <c r="Q109" s="28" t="s">
        <v>2</v>
      </c>
      <c r="R109" s="28" t="s">
        <v>2</v>
      </c>
      <c r="S109" s="28" t="s">
        <v>2</v>
      </c>
      <c r="T109" s="28" t="s">
        <v>2</v>
      </c>
      <c r="U109" s="28" t="s">
        <v>2</v>
      </c>
      <c r="V109" s="28" t="s">
        <v>2</v>
      </c>
      <c r="W109" s="28" t="s">
        <v>2</v>
      </c>
      <c r="X109" s="28" t="s">
        <v>2</v>
      </c>
      <c r="Y109" s="28" t="s">
        <v>2</v>
      </c>
      <c r="Z109" s="28" t="s">
        <v>2</v>
      </c>
      <c r="AA109" s="28" t="s">
        <v>2</v>
      </c>
      <c r="AB109" s="28" t="s">
        <v>0</v>
      </c>
      <c r="AC109" s="28" t="s">
        <v>2</v>
      </c>
      <c r="AD109" s="28" t="s">
        <v>2</v>
      </c>
      <c r="AE109" s="28" t="s">
        <v>2</v>
      </c>
      <c r="AF109" s="28" t="s">
        <v>2</v>
      </c>
      <c r="AG109" s="28" t="s">
        <v>2</v>
      </c>
      <c r="AH109" s="28" t="s">
        <v>2</v>
      </c>
      <c r="AI109" s="28" t="s">
        <v>2</v>
      </c>
      <c r="AJ109" s="28" t="s">
        <v>2</v>
      </c>
      <c r="AK109" s="28" t="s">
        <v>2</v>
      </c>
      <c r="AL109" s="28" t="s">
        <v>2</v>
      </c>
      <c r="AM109" s="28" t="s">
        <v>2</v>
      </c>
      <c r="AN109" s="28" t="s">
        <v>2</v>
      </c>
    </row>
    <row r="110" spans="1:40" ht="15.75" thickBot="1" x14ac:dyDescent="0.3">
      <c r="A110" s="110"/>
      <c r="B110" s="6">
        <f t="shared" si="3"/>
        <v>77</v>
      </c>
      <c r="C110" s="13" t="s">
        <v>104</v>
      </c>
      <c r="D110" s="95"/>
      <c r="E110" s="28" t="s">
        <v>0</v>
      </c>
      <c r="F110" s="28" t="s">
        <v>2</v>
      </c>
      <c r="G110" s="28" t="s">
        <v>2</v>
      </c>
      <c r="H110" s="28" t="s">
        <v>0</v>
      </c>
      <c r="I110" s="28" t="s">
        <v>2</v>
      </c>
      <c r="J110" s="28" t="s">
        <v>2</v>
      </c>
      <c r="K110" s="28" t="s">
        <v>2</v>
      </c>
      <c r="L110" s="28" t="s">
        <v>2</v>
      </c>
      <c r="M110" s="28" t="s">
        <v>2</v>
      </c>
      <c r="N110" s="28" t="s">
        <v>2</v>
      </c>
      <c r="O110" s="28" t="s">
        <v>2</v>
      </c>
      <c r="P110" s="28" t="s">
        <v>2</v>
      </c>
      <c r="Q110" s="28" t="s">
        <v>2</v>
      </c>
      <c r="R110" s="28" t="s">
        <v>2</v>
      </c>
      <c r="S110" s="28" t="s">
        <v>2</v>
      </c>
      <c r="T110" s="28" t="s">
        <v>2</v>
      </c>
      <c r="U110" s="28" t="s">
        <v>2</v>
      </c>
      <c r="V110" s="28" t="s">
        <v>2</v>
      </c>
      <c r="W110" s="28" t="s">
        <v>2</v>
      </c>
      <c r="X110" s="28" t="s">
        <v>2</v>
      </c>
      <c r="Y110" s="28" t="s">
        <v>2</v>
      </c>
      <c r="Z110" s="28" t="s">
        <v>2</v>
      </c>
      <c r="AA110" s="28" t="s">
        <v>2</v>
      </c>
      <c r="AB110" s="28" t="s">
        <v>2</v>
      </c>
      <c r="AC110" s="28" t="s">
        <v>2</v>
      </c>
      <c r="AD110" s="28" t="s">
        <v>2</v>
      </c>
      <c r="AE110" s="28" t="s">
        <v>2</v>
      </c>
      <c r="AF110" s="28" t="s">
        <v>2</v>
      </c>
      <c r="AG110" s="28" t="s">
        <v>2</v>
      </c>
      <c r="AH110" s="28" t="s">
        <v>2</v>
      </c>
      <c r="AI110" s="28" t="s">
        <v>2</v>
      </c>
      <c r="AJ110" s="28" t="s">
        <v>2</v>
      </c>
      <c r="AK110" s="28" t="s">
        <v>2</v>
      </c>
      <c r="AL110" s="28" t="s">
        <v>2</v>
      </c>
      <c r="AM110" s="28" t="s">
        <v>2</v>
      </c>
      <c r="AN110" s="28" t="s">
        <v>2</v>
      </c>
    </row>
    <row r="111" spans="1:40" ht="15.75" thickBot="1" x14ac:dyDescent="0.3">
      <c r="A111" s="110"/>
      <c r="B111" s="6">
        <f>+ B110+1</f>
        <v>78</v>
      </c>
      <c r="C111" s="13" t="s">
        <v>105</v>
      </c>
      <c r="D111" s="95"/>
      <c r="E111" s="28" t="s">
        <v>0</v>
      </c>
      <c r="F111" s="28" t="s">
        <v>2</v>
      </c>
      <c r="G111" s="28" t="s">
        <v>2</v>
      </c>
      <c r="H111" s="28" t="s">
        <v>0</v>
      </c>
      <c r="I111" s="28" t="s">
        <v>2</v>
      </c>
      <c r="J111" s="28" t="s">
        <v>2</v>
      </c>
      <c r="K111" s="28" t="s">
        <v>2</v>
      </c>
      <c r="L111" s="28" t="s">
        <v>2</v>
      </c>
      <c r="M111" s="28" t="s">
        <v>2</v>
      </c>
      <c r="N111" s="28" t="s">
        <v>2</v>
      </c>
      <c r="O111" s="28" t="s">
        <v>2</v>
      </c>
      <c r="P111" s="28" t="s">
        <v>2</v>
      </c>
      <c r="Q111" s="28" t="s">
        <v>2</v>
      </c>
      <c r="R111" s="28" t="s">
        <v>2</v>
      </c>
      <c r="S111" s="28" t="s">
        <v>2</v>
      </c>
      <c r="T111" s="28" t="s">
        <v>2</v>
      </c>
      <c r="U111" s="28" t="s">
        <v>2</v>
      </c>
      <c r="V111" s="28" t="s">
        <v>2</v>
      </c>
      <c r="W111" s="28" t="s">
        <v>2</v>
      </c>
      <c r="X111" s="28" t="s">
        <v>2</v>
      </c>
      <c r="Y111" s="28" t="s">
        <v>2</v>
      </c>
      <c r="Z111" s="28" t="s">
        <v>2</v>
      </c>
      <c r="AA111" s="28" t="s">
        <v>2</v>
      </c>
      <c r="AB111" s="28" t="s">
        <v>2</v>
      </c>
      <c r="AC111" s="28" t="s">
        <v>2</v>
      </c>
      <c r="AD111" s="28" t="s">
        <v>2</v>
      </c>
      <c r="AE111" s="28" t="s">
        <v>2</v>
      </c>
      <c r="AF111" s="28" t="s">
        <v>2</v>
      </c>
      <c r="AG111" s="28" t="s">
        <v>2</v>
      </c>
      <c r="AH111" s="28" t="s">
        <v>0</v>
      </c>
      <c r="AI111" s="28" t="s">
        <v>2</v>
      </c>
      <c r="AJ111" s="28" t="s">
        <v>2</v>
      </c>
      <c r="AK111" s="28" t="s">
        <v>2</v>
      </c>
      <c r="AL111" s="28" t="s">
        <v>2</v>
      </c>
      <c r="AM111" s="28" t="s">
        <v>2</v>
      </c>
      <c r="AN111" s="28" t="s">
        <v>0</v>
      </c>
    </row>
    <row r="112" spans="1:40" ht="15.75" thickBot="1" x14ac:dyDescent="0.3">
      <c r="A112" s="111"/>
      <c r="B112" s="8">
        <f>+B111+1</f>
        <v>79</v>
      </c>
      <c r="C112" s="18" t="s">
        <v>78</v>
      </c>
      <c r="D112" s="100"/>
      <c r="E112" s="28" t="s">
        <v>0</v>
      </c>
      <c r="F112" s="28" t="s">
        <v>2</v>
      </c>
      <c r="G112" s="28" t="s">
        <v>2</v>
      </c>
      <c r="H112" s="28" t="s">
        <v>0</v>
      </c>
      <c r="I112" s="28" t="s">
        <v>2</v>
      </c>
      <c r="J112" s="28" t="s">
        <v>2</v>
      </c>
      <c r="K112" s="28" t="s">
        <v>2</v>
      </c>
      <c r="L112" s="28" t="s">
        <v>2</v>
      </c>
      <c r="M112" s="28" t="s">
        <v>2</v>
      </c>
      <c r="N112" s="28" t="s">
        <v>2</v>
      </c>
      <c r="O112" s="28" t="s">
        <v>2</v>
      </c>
      <c r="P112" s="28" t="s">
        <v>2</v>
      </c>
      <c r="Q112" s="28" t="s">
        <v>2</v>
      </c>
      <c r="R112" s="28" t="s">
        <v>2</v>
      </c>
      <c r="S112" s="28" t="s">
        <v>2</v>
      </c>
      <c r="T112" s="28" t="s">
        <v>2</v>
      </c>
      <c r="U112" s="28" t="s">
        <v>2</v>
      </c>
      <c r="V112" s="28" t="s">
        <v>2</v>
      </c>
      <c r="W112" s="28" t="s">
        <v>2</v>
      </c>
      <c r="X112" s="28" t="s">
        <v>2</v>
      </c>
      <c r="Y112" s="28" t="s">
        <v>2</v>
      </c>
      <c r="Z112" s="28" t="s">
        <v>2</v>
      </c>
      <c r="AA112" s="28" t="s">
        <v>2</v>
      </c>
      <c r="AB112" s="28" t="s">
        <v>2</v>
      </c>
      <c r="AC112" s="28" t="s">
        <v>2</v>
      </c>
      <c r="AD112" s="28" t="s">
        <v>2</v>
      </c>
      <c r="AE112" s="28" t="s">
        <v>2</v>
      </c>
      <c r="AF112" s="28" t="s">
        <v>2</v>
      </c>
      <c r="AG112" s="28" t="s">
        <v>2</v>
      </c>
      <c r="AH112" s="28" t="s">
        <v>2</v>
      </c>
      <c r="AI112" s="28" t="s">
        <v>2</v>
      </c>
      <c r="AJ112" s="28" t="s">
        <v>2</v>
      </c>
      <c r="AK112" s="28" t="s">
        <v>2</v>
      </c>
      <c r="AL112" s="28" t="s">
        <v>2</v>
      </c>
      <c r="AM112" s="28" t="s">
        <v>2</v>
      </c>
      <c r="AN112" s="28" t="s">
        <v>2</v>
      </c>
    </row>
    <row r="113" spans="1:40" ht="15.75" thickBot="1" x14ac:dyDescent="0.3">
      <c r="A113" s="112" t="s">
        <v>106</v>
      </c>
      <c r="B113" s="2">
        <f>+B112+1</f>
        <v>80</v>
      </c>
      <c r="C113" s="12" t="s">
        <v>99</v>
      </c>
      <c r="D113" s="94"/>
      <c r="E113" s="28" t="s">
        <v>0</v>
      </c>
      <c r="F113" s="28" t="s">
        <v>2</v>
      </c>
      <c r="G113" s="28" t="s">
        <v>0</v>
      </c>
      <c r="H113" s="28" t="s">
        <v>0</v>
      </c>
      <c r="I113" s="28" t="s">
        <v>0</v>
      </c>
      <c r="J113" s="28" t="s">
        <v>2</v>
      </c>
      <c r="K113" s="28" t="s">
        <v>2</v>
      </c>
      <c r="L113" s="28" t="s">
        <v>2</v>
      </c>
      <c r="M113" s="28" t="s">
        <v>0</v>
      </c>
      <c r="N113" s="28" t="s">
        <v>2</v>
      </c>
      <c r="O113" s="28" t="s">
        <v>2</v>
      </c>
      <c r="P113" s="28" t="s">
        <v>2</v>
      </c>
      <c r="Q113" s="28" t="s">
        <v>2</v>
      </c>
      <c r="R113" s="28" t="s">
        <v>2</v>
      </c>
      <c r="S113" s="28" t="s">
        <v>2</v>
      </c>
      <c r="T113" s="28" t="s">
        <v>2</v>
      </c>
      <c r="U113" s="28" t="s">
        <v>2</v>
      </c>
      <c r="V113" s="28" t="s">
        <v>2</v>
      </c>
      <c r="W113" s="28" t="s">
        <v>2</v>
      </c>
      <c r="X113" s="28" t="s">
        <v>2</v>
      </c>
      <c r="Y113" s="28" t="s">
        <v>2</v>
      </c>
      <c r="Z113" s="28" t="s">
        <v>2</v>
      </c>
      <c r="AA113" s="28" t="s">
        <v>2</v>
      </c>
      <c r="AB113" s="28" t="s">
        <v>2</v>
      </c>
      <c r="AC113" s="28" t="s">
        <v>2</v>
      </c>
      <c r="AD113" s="28" t="s">
        <v>2</v>
      </c>
      <c r="AE113" s="28" t="s">
        <v>2</v>
      </c>
      <c r="AF113" s="28" t="s">
        <v>2</v>
      </c>
      <c r="AG113" s="28" t="s">
        <v>2</v>
      </c>
      <c r="AH113" s="28" t="s">
        <v>0</v>
      </c>
      <c r="AI113" s="28" t="s">
        <v>2</v>
      </c>
      <c r="AJ113" s="28" t="s">
        <v>2</v>
      </c>
      <c r="AK113" s="28" t="s">
        <v>2</v>
      </c>
      <c r="AL113" s="28" t="s">
        <v>2</v>
      </c>
      <c r="AM113" s="28" t="s">
        <v>2</v>
      </c>
      <c r="AN113" s="28" t="s">
        <v>2</v>
      </c>
    </row>
    <row r="114" spans="1:40" ht="15.75" thickBot="1" x14ac:dyDescent="0.3">
      <c r="A114" s="110"/>
      <c r="B114" s="3">
        <f t="shared" ref="B114:B128" si="4">+B113+1</f>
        <v>81</v>
      </c>
      <c r="C114" s="13" t="s">
        <v>100</v>
      </c>
      <c r="D114" s="95"/>
      <c r="E114" s="28" t="s">
        <v>0</v>
      </c>
      <c r="F114" s="28" t="s">
        <v>2</v>
      </c>
      <c r="G114" s="28" t="s">
        <v>2</v>
      </c>
      <c r="H114" s="28" t="s">
        <v>0</v>
      </c>
      <c r="I114" s="28" t="s">
        <v>2</v>
      </c>
      <c r="J114" s="28" t="s">
        <v>2</v>
      </c>
      <c r="K114" s="28" t="s">
        <v>2</v>
      </c>
      <c r="L114" s="28" t="s">
        <v>2</v>
      </c>
      <c r="M114" s="28" t="s">
        <v>2</v>
      </c>
      <c r="N114" s="28" t="s">
        <v>2</v>
      </c>
      <c r="O114" s="28" t="s">
        <v>2</v>
      </c>
      <c r="P114" s="28" t="s">
        <v>2</v>
      </c>
      <c r="Q114" s="28" t="s">
        <v>2</v>
      </c>
      <c r="R114" s="28" t="s">
        <v>2</v>
      </c>
      <c r="S114" s="28" t="s">
        <v>2</v>
      </c>
      <c r="T114" s="28" t="s">
        <v>2</v>
      </c>
      <c r="U114" s="28" t="s">
        <v>2</v>
      </c>
      <c r="V114" s="28" t="s">
        <v>2</v>
      </c>
      <c r="W114" s="28" t="s">
        <v>2</v>
      </c>
      <c r="X114" s="28" t="s">
        <v>2</v>
      </c>
      <c r="Y114" s="28" t="s">
        <v>2</v>
      </c>
      <c r="Z114" s="28" t="s">
        <v>2</v>
      </c>
      <c r="AA114" s="28" t="s">
        <v>2</v>
      </c>
      <c r="AB114" s="28" t="s">
        <v>2</v>
      </c>
      <c r="AC114" s="28" t="s">
        <v>2</v>
      </c>
      <c r="AD114" s="28" t="s">
        <v>2</v>
      </c>
      <c r="AE114" s="28" t="s">
        <v>2</v>
      </c>
      <c r="AF114" s="28" t="s">
        <v>2</v>
      </c>
      <c r="AG114" s="28" t="s">
        <v>2</v>
      </c>
      <c r="AH114" s="28" t="s">
        <v>2</v>
      </c>
      <c r="AI114" s="28" t="s">
        <v>2</v>
      </c>
      <c r="AJ114" s="28" t="s">
        <v>2</v>
      </c>
      <c r="AK114" s="28" t="s">
        <v>2</v>
      </c>
      <c r="AL114" s="28" t="s">
        <v>2</v>
      </c>
      <c r="AM114" s="28" t="s">
        <v>2</v>
      </c>
      <c r="AN114" s="28" t="s">
        <v>2</v>
      </c>
    </row>
    <row r="115" spans="1:40" ht="15.75" thickBot="1" x14ac:dyDescent="0.3">
      <c r="A115" s="110"/>
      <c r="B115" s="3">
        <f t="shared" si="4"/>
        <v>82</v>
      </c>
      <c r="C115" s="14" t="s">
        <v>42</v>
      </c>
      <c r="D115" s="96"/>
      <c r="E115" s="28" t="s">
        <v>0</v>
      </c>
      <c r="F115" s="28" t="s">
        <v>2</v>
      </c>
      <c r="G115" s="28" t="s">
        <v>2</v>
      </c>
      <c r="H115" s="28" t="s">
        <v>0</v>
      </c>
      <c r="I115" s="28" t="s">
        <v>2</v>
      </c>
      <c r="J115" s="28" t="s">
        <v>2</v>
      </c>
      <c r="K115" s="28" t="s">
        <v>2</v>
      </c>
      <c r="L115" s="28" t="s">
        <v>2</v>
      </c>
      <c r="M115" s="28" t="s">
        <v>2</v>
      </c>
      <c r="N115" s="28" t="s">
        <v>2</v>
      </c>
      <c r="O115" s="28" t="s">
        <v>2</v>
      </c>
      <c r="P115" s="28" t="s">
        <v>2</v>
      </c>
      <c r="Q115" s="28" t="s">
        <v>2</v>
      </c>
      <c r="R115" s="28" t="s">
        <v>2</v>
      </c>
      <c r="S115" s="28" t="s">
        <v>2</v>
      </c>
      <c r="T115" s="28" t="s">
        <v>2</v>
      </c>
      <c r="U115" s="28" t="s">
        <v>2</v>
      </c>
      <c r="V115" s="28" t="s">
        <v>2</v>
      </c>
      <c r="W115" s="28" t="s">
        <v>2</v>
      </c>
      <c r="X115" s="28" t="s">
        <v>2</v>
      </c>
      <c r="Y115" s="28" t="s">
        <v>2</v>
      </c>
      <c r="Z115" s="28" t="s">
        <v>2</v>
      </c>
      <c r="AA115" s="28" t="s">
        <v>2</v>
      </c>
      <c r="AB115" s="28" t="s">
        <v>2</v>
      </c>
      <c r="AC115" s="28" t="s">
        <v>2</v>
      </c>
      <c r="AD115" s="28" t="s">
        <v>2</v>
      </c>
      <c r="AE115" s="28" t="s">
        <v>2</v>
      </c>
      <c r="AF115" s="28" t="s">
        <v>2</v>
      </c>
      <c r="AG115" s="28" t="s">
        <v>2</v>
      </c>
      <c r="AH115" s="28" t="s">
        <v>2</v>
      </c>
      <c r="AI115" s="28" t="s">
        <v>2</v>
      </c>
      <c r="AJ115" s="28" t="s">
        <v>2</v>
      </c>
      <c r="AK115" s="28" t="s">
        <v>2</v>
      </c>
      <c r="AL115" s="28" t="s">
        <v>2</v>
      </c>
      <c r="AM115" s="28" t="s">
        <v>2</v>
      </c>
      <c r="AN115" s="28" t="s">
        <v>2</v>
      </c>
    </row>
    <row r="116" spans="1:40" ht="15.75" thickBot="1" x14ac:dyDescent="0.3">
      <c r="A116" s="110"/>
      <c r="B116" s="6">
        <f t="shared" si="4"/>
        <v>83</v>
      </c>
      <c r="C116" s="13" t="s">
        <v>45</v>
      </c>
      <c r="D116" s="95"/>
      <c r="E116" s="28" t="s">
        <v>0</v>
      </c>
      <c r="F116" s="28" t="s">
        <v>2</v>
      </c>
      <c r="G116" s="28" t="s">
        <v>2</v>
      </c>
      <c r="H116" s="28" t="s">
        <v>0</v>
      </c>
      <c r="I116" s="28" t="s">
        <v>2</v>
      </c>
      <c r="J116" s="28" t="s">
        <v>2</v>
      </c>
      <c r="K116" s="28" t="s">
        <v>2</v>
      </c>
      <c r="L116" s="28" t="s">
        <v>2</v>
      </c>
      <c r="M116" s="28" t="s">
        <v>2</v>
      </c>
      <c r="N116" s="28" t="s">
        <v>2</v>
      </c>
      <c r="O116" s="28" t="s">
        <v>2</v>
      </c>
      <c r="P116" s="28" t="s">
        <v>2</v>
      </c>
      <c r="Q116" s="28" t="s">
        <v>2</v>
      </c>
      <c r="R116" s="28" t="s">
        <v>2</v>
      </c>
      <c r="S116" s="28" t="s">
        <v>2</v>
      </c>
      <c r="T116" s="28" t="s">
        <v>2</v>
      </c>
      <c r="U116" s="28" t="s">
        <v>2</v>
      </c>
      <c r="V116" s="28" t="s">
        <v>2</v>
      </c>
      <c r="W116" s="28" t="s">
        <v>2</v>
      </c>
      <c r="X116" s="28" t="s">
        <v>2</v>
      </c>
      <c r="Y116" s="28" t="s">
        <v>2</v>
      </c>
      <c r="Z116" s="28" t="s">
        <v>2</v>
      </c>
      <c r="AA116" s="28" t="s">
        <v>2</v>
      </c>
      <c r="AB116" s="28" t="s">
        <v>2</v>
      </c>
      <c r="AC116" s="28" t="s">
        <v>2</v>
      </c>
      <c r="AD116" s="28" t="s">
        <v>2</v>
      </c>
      <c r="AE116" s="28" t="s">
        <v>2</v>
      </c>
      <c r="AF116" s="28" t="s">
        <v>2</v>
      </c>
      <c r="AG116" s="28" t="s">
        <v>2</v>
      </c>
      <c r="AH116" s="28" t="s">
        <v>2</v>
      </c>
      <c r="AI116" s="28" t="s">
        <v>2</v>
      </c>
      <c r="AJ116" s="28" t="s">
        <v>2</v>
      </c>
      <c r="AK116" s="28" t="s">
        <v>2</v>
      </c>
      <c r="AL116" s="28" t="s">
        <v>2</v>
      </c>
      <c r="AM116" s="28" t="s">
        <v>2</v>
      </c>
      <c r="AN116" s="28" t="s">
        <v>2</v>
      </c>
    </row>
    <row r="117" spans="1:40" ht="15.75" thickBot="1" x14ac:dyDescent="0.3">
      <c r="A117" s="110"/>
      <c r="B117" s="3">
        <f t="shared" si="4"/>
        <v>84</v>
      </c>
      <c r="C117" s="13" t="s">
        <v>46</v>
      </c>
      <c r="D117" s="95"/>
      <c r="E117" s="28" t="s">
        <v>0</v>
      </c>
      <c r="F117" s="28" t="s">
        <v>2</v>
      </c>
      <c r="G117" s="28" t="s">
        <v>2</v>
      </c>
      <c r="H117" s="28" t="s">
        <v>0</v>
      </c>
      <c r="I117" s="28" t="s">
        <v>2</v>
      </c>
      <c r="J117" s="28" t="s">
        <v>2</v>
      </c>
      <c r="K117" s="28" t="s">
        <v>2</v>
      </c>
      <c r="L117" s="28" t="s">
        <v>2</v>
      </c>
      <c r="M117" s="28" t="s">
        <v>2</v>
      </c>
      <c r="N117" s="28" t="s">
        <v>0</v>
      </c>
      <c r="O117" s="28" t="s">
        <v>2</v>
      </c>
      <c r="P117" s="28" t="s">
        <v>2</v>
      </c>
      <c r="Q117" s="28" t="s">
        <v>2</v>
      </c>
      <c r="R117" s="28" t="s">
        <v>2</v>
      </c>
      <c r="S117" s="28" t="s">
        <v>2</v>
      </c>
      <c r="T117" s="28" t="s">
        <v>2</v>
      </c>
      <c r="U117" s="28" t="s">
        <v>2</v>
      </c>
      <c r="V117" s="28" t="s">
        <v>2</v>
      </c>
      <c r="W117" s="28" t="s">
        <v>2</v>
      </c>
      <c r="X117" s="28" t="s">
        <v>2</v>
      </c>
      <c r="Y117" s="28" t="s">
        <v>2</v>
      </c>
      <c r="Z117" s="28" t="s">
        <v>2</v>
      </c>
      <c r="AA117" s="28" t="s">
        <v>2</v>
      </c>
      <c r="AB117" s="28" t="s">
        <v>2</v>
      </c>
      <c r="AC117" s="28" t="s">
        <v>2</v>
      </c>
      <c r="AD117" s="28" t="s">
        <v>2</v>
      </c>
      <c r="AE117" s="28" t="s">
        <v>2</v>
      </c>
      <c r="AF117" s="28" t="s">
        <v>2</v>
      </c>
      <c r="AG117" s="28" t="s">
        <v>2</v>
      </c>
      <c r="AH117" s="28" t="s">
        <v>2</v>
      </c>
      <c r="AI117" s="28" t="s">
        <v>2</v>
      </c>
      <c r="AJ117" s="28" t="s">
        <v>2</v>
      </c>
      <c r="AK117" s="28" t="s">
        <v>2</v>
      </c>
      <c r="AL117" s="28" t="s">
        <v>2</v>
      </c>
      <c r="AM117" s="28" t="s">
        <v>2</v>
      </c>
      <c r="AN117" s="28" t="s">
        <v>2</v>
      </c>
    </row>
    <row r="118" spans="1:40" ht="15.75" thickBot="1" x14ac:dyDescent="0.3">
      <c r="A118" s="110"/>
      <c r="B118" s="3">
        <f t="shared" si="4"/>
        <v>85</v>
      </c>
      <c r="C118" s="13" t="s">
        <v>47</v>
      </c>
      <c r="D118" s="95"/>
      <c r="E118" s="28" t="s">
        <v>0</v>
      </c>
      <c r="F118" s="28" t="s">
        <v>2</v>
      </c>
      <c r="G118" s="28" t="s">
        <v>2</v>
      </c>
      <c r="H118" s="28" t="s">
        <v>0</v>
      </c>
      <c r="I118" s="28" t="s">
        <v>2</v>
      </c>
      <c r="J118" s="28" t="s">
        <v>2</v>
      </c>
      <c r="K118" s="28" t="s">
        <v>2</v>
      </c>
      <c r="L118" s="28" t="s">
        <v>2</v>
      </c>
      <c r="M118" s="28" t="s">
        <v>2</v>
      </c>
      <c r="N118" s="28" t="s">
        <v>2</v>
      </c>
      <c r="O118" s="28" t="s">
        <v>2</v>
      </c>
      <c r="P118" s="28" t="s">
        <v>2</v>
      </c>
      <c r="Q118" s="28" t="s">
        <v>2</v>
      </c>
      <c r="R118" s="28" t="s">
        <v>2</v>
      </c>
      <c r="S118" s="28" t="s">
        <v>2</v>
      </c>
      <c r="T118" s="28" t="s">
        <v>2</v>
      </c>
      <c r="U118" s="28" t="s">
        <v>2</v>
      </c>
      <c r="V118" s="28" t="s">
        <v>2</v>
      </c>
      <c r="W118" s="28" t="s">
        <v>2</v>
      </c>
      <c r="X118" s="28" t="s">
        <v>2</v>
      </c>
      <c r="Y118" s="28" t="s">
        <v>2</v>
      </c>
      <c r="Z118" s="28" t="s">
        <v>2</v>
      </c>
      <c r="AA118" s="28" t="s">
        <v>2</v>
      </c>
      <c r="AB118" s="28" t="s">
        <v>2</v>
      </c>
      <c r="AC118" s="28" t="s">
        <v>2</v>
      </c>
      <c r="AD118" s="28" t="s">
        <v>2</v>
      </c>
      <c r="AE118" s="28" t="s">
        <v>2</v>
      </c>
      <c r="AF118" s="28" t="s">
        <v>2</v>
      </c>
      <c r="AG118" s="28" t="s">
        <v>2</v>
      </c>
      <c r="AH118" s="28" t="s">
        <v>2</v>
      </c>
      <c r="AI118" s="28" t="s">
        <v>2</v>
      </c>
      <c r="AJ118" s="28" t="s">
        <v>2</v>
      </c>
      <c r="AK118" s="28" t="s">
        <v>2</v>
      </c>
      <c r="AL118" s="28" t="s">
        <v>2</v>
      </c>
      <c r="AM118" s="28" t="s">
        <v>2</v>
      </c>
      <c r="AN118" s="28" t="s">
        <v>2</v>
      </c>
    </row>
    <row r="119" spans="1:40" ht="15.75" thickBot="1" x14ac:dyDescent="0.3">
      <c r="A119" s="110"/>
      <c r="B119" s="6">
        <f t="shared" si="4"/>
        <v>86</v>
      </c>
      <c r="C119" s="13" t="s">
        <v>49</v>
      </c>
      <c r="D119" s="95"/>
      <c r="E119" s="28" t="s">
        <v>0</v>
      </c>
      <c r="F119" s="28" t="s">
        <v>2</v>
      </c>
      <c r="G119" s="28" t="s">
        <v>2</v>
      </c>
      <c r="H119" s="28" t="s">
        <v>0</v>
      </c>
      <c r="I119" s="28" t="s">
        <v>2</v>
      </c>
      <c r="J119" s="28" t="s">
        <v>2</v>
      </c>
      <c r="K119" s="28" t="s">
        <v>2</v>
      </c>
      <c r="L119" s="28" t="s">
        <v>2</v>
      </c>
      <c r="M119" s="28" t="s">
        <v>2</v>
      </c>
      <c r="N119" s="28" t="s">
        <v>2</v>
      </c>
      <c r="O119" s="28" t="s">
        <v>2</v>
      </c>
      <c r="P119" s="28" t="s">
        <v>2</v>
      </c>
      <c r="Q119" s="28" t="s">
        <v>2</v>
      </c>
      <c r="R119" s="28" t="s">
        <v>2</v>
      </c>
      <c r="S119" s="28" t="s">
        <v>2</v>
      </c>
      <c r="T119" s="28" t="s">
        <v>2</v>
      </c>
      <c r="U119" s="28" t="s">
        <v>2</v>
      </c>
      <c r="V119" s="28" t="s">
        <v>2</v>
      </c>
      <c r="W119" s="28" t="s">
        <v>2</v>
      </c>
      <c r="X119" s="28" t="s">
        <v>2</v>
      </c>
      <c r="Y119" s="28" t="s">
        <v>2</v>
      </c>
      <c r="Z119" s="28" t="s">
        <v>2</v>
      </c>
      <c r="AA119" s="28" t="s">
        <v>2</v>
      </c>
      <c r="AB119" s="28" t="s">
        <v>2</v>
      </c>
      <c r="AC119" s="28" t="s">
        <v>2</v>
      </c>
      <c r="AD119" s="28" t="s">
        <v>2</v>
      </c>
      <c r="AE119" s="28" t="s">
        <v>2</v>
      </c>
      <c r="AF119" s="28" t="s">
        <v>2</v>
      </c>
      <c r="AG119" s="28" t="s">
        <v>2</v>
      </c>
      <c r="AH119" s="28" t="s">
        <v>2</v>
      </c>
      <c r="AI119" s="28" t="s">
        <v>2</v>
      </c>
      <c r="AJ119" s="28" t="s">
        <v>2</v>
      </c>
      <c r="AK119" s="28" t="s">
        <v>2</v>
      </c>
      <c r="AL119" s="28" t="s">
        <v>2</v>
      </c>
      <c r="AM119" s="28" t="s">
        <v>2</v>
      </c>
      <c r="AN119" s="28" t="s">
        <v>2</v>
      </c>
    </row>
    <row r="120" spans="1:40" ht="15.75" thickBot="1" x14ac:dyDescent="0.3">
      <c r="A120" s="110"/>
      <c r="B120" s="3">
        <f t="shared" si="4"/>
        <v>87</v>
      </c>
      <c r="C120" s="13" t="s">
        <v>52</v>
      </c>
      <c r="D120" s="95"/>
      <c r="E120" s="28" t="s">
        <v>0</v>
      </c>
      <c r="F120" s="28" t="s">
        <v>2</v>
      </c>
      <c r="G120" s="28" t="s">
        <v>2</v>
      </c>
      <c r="H120" s="28" t="s">
        <v>0</v>
      </c>
      <c r="I120" s="28" t="s">
        <v>2</v>
      </c>
      <c r="J120" s="28" t="s">
        <v>2</v>
      </c>
      <c r="K120" s="28" t="s">
        <v>2</v>
      </c>
      <c r="L120" s="28" t="s">
        <v>2</v>
      </c>
      <c r="M120" s="28" t="s">
        <v>2</v>
      </c>
      <c r="N120" s="28" t="s">
        <v>2</v>
      </c>
      <c r="O120" s="28" t="s">
        <v>2</v>
      </c>
      <c r="P120" s="28" t="s">
        <v>2</v>
      </c>
      <c r="Q120" s="28" t="s">
        <v>2</v>
      </c>
      <c r="R120" s="28" t="s">
        <v>2</v>
      </c>
      <c r="S120" s="28" t="s">
        <v>2</v>
      </c>
      <c r="T120" s="28" t="s">
        <v>2</v>
      </c>
      <c r="U120" s="28" t="s">
        <v>2</v>
      </c>
      <c r="V120" s="28" t="s">
        <v>2</v>
      </c>
      <c r="W120" s="28" t="s">
        <v>2</v>
      </c>
      <c r="X120" s="28" t="s">
        <v>2</v>
      </c>
      <c r="Y120" s="28" t="s">
        <v>2</v>
      </c>
      <c r="Z120" s="28" t="s">
        <v>2</v>
      </c>
      <c r="AA120" s="28" t="s">
        <v>2</v>
      </c>
      <c r="AB120" s="28" t="s">
        <v>2</v>
      </c>
      <c r="AC120" s="28" t="s">
        <v>2</v>
      </c>
      <c r="AD120" s="28" t="s">
        <v>2</v>
      </c>
      <c r="AE120" s="28" t="s">
        <v>2</v>
      </c>
      <c r="AF120" s="28" t="s">
        <v>2</v>
      </c>
      <c r="AG120" s="28" t="s">
        <v>2</v>
      </c>
      <c r="AH120" s="28" t="s">
        <v>2</v>
      </c>
      <c r="AI120" s="28" t="s">
        <v>2</v>
      </c>
      <c r="AJ120" s="28" t="s">
        <v>2</v>
      </c>
      <c r="AK120" s="28" t="s">
        <v>2</v>
      </c>
      <c r="AL120" s="28" t="s">
        <v>2</v>
      </c>
      <c r="AM120" s="28" t="s">
        <v>2</v>
      </c>
      <c r="AN120" s="28" t="s">
        <v>2</v>
      </c>
    </row>
    <row r="121" spans="1:40" ht="15.75" thickBot="1" x14ac:dyDescent="0.3">
      <c r="A121" s="110"/>
      <c r="B121" s="3">
        <f t="shared" si="4"/>
        <v>88</v>
      </c>
      <c r="C121" s="13" t="s">
        <v>54</v>
      </c>
      <c r="D121" s="95"/>
      <c r="E121" s="28" t="s">
        <v>0</v>
      </c>
      <c r="F121" s="28" t="s">
        <v>2</v>
      </c>
      <c r="G121" s="28" t="s">
        <v>0</v>
      </c>
      <c r="H121" s="28" t="s">
        <v>0</v>
      </c>
      <c r="I121" s="28" t="s">
        <v>2</v>
      </c>
      <c r="J121" s="28" t="s">
        <v>2</v>
      </c>
      <c r="K121" s="28" t="s">
        <v>2</v>
      </c>
      <c r="L121" s="28" t="s">
        <v>2</v>
      </c>
      <c r="M121" s="28" t="s">
        <v>2</v>
      </c>
      <c r="N121" s="28" t="s">
        <v>2</v>
      </c>
      <c r="O121" s="28" t="s">
        <v>2</v>
      </c>
      <c r="P121" s="28" t="s">
        <v>2</v>
      </c>
      <c r="Q121" s="28" t="s">
        <v>2</v>
      </c>
      <c r="R121" s="28" t="s">
        <v>0</v>
      </c>
      <c r="S121" s="28" t="s">
        <v>2</v>
      </c>
      <c r="T121" s="28" t="s">
        <v>2</v>
      </c>
      <c r="U121" s="28" t="s">
        <v>2</v>
      </c>
      <c r="V121" s="28" t="s">
        <v>2</v>
      </c>
      <c r="W121" s="28" t="s">
        <v>2</v>
      </c>
      <c r="X121" s="28" t="s">
        <v>2</v>
      </c>
      <c r="Y121" s="28" t="s">
        <v>2</v>
      </c>
      <c r="Z121" s="28" t="s">
        <v>2</v>
      </c>
      <c r="AA121" s="28" t="s">
        <v>2</v>
      </c>
      <c r="AB121" s="28" t="s">
        <v>0</v>
      </c>
      <c r="AC121" s="28" t="s">
        <v>2</v>
      </c>
      <c r="AD121" s="28" t="s">
        <v>2</v>
      </c>
      <c r="AE121" s="28" t="s">
        <v>2</v>
      </c>
      <c r="AF121" s="28" t="s">
        <v>2</v>
      </c>
      <c r="AG121" s="28" t="s">
        <v>2</v>
      </c>
      <c r="AH121" s="28" t="s">
        <v>2</v>
      </c>
      <c r="AI121" s="28" t="s">
        <v>2</v>
      </c>
      <c r="AJ121" s="28" t="s">
        <v>2</v>
      </c>
      <c r="AK121" s="28" t="s">
        <v>2</v>
      </c>
      <c r="AL121" s="28" t="s">
        <v>2</v>
      </c>
      <c r="AM121" s="28" t="s">
        <v>2</v>
      </c>
      <c r="AN121" s="28" t="s">
        <v>2</v>
      </c>
    </row>
    <row r="122" spans="1:40" ht="15.75" thickBot="1" x14ac:dyDescent="0.3">
      <c r="A122" s="110"/>
      <c r="B122" s="6">
        <f t="shared" si="4"/>
        <v>89</v>
      </c>
      <c r="C122" s="13" t="s">
        <v>55</v>
      </c>
      <c r="D122" s="95"/>
      <c r="E122" s="28" t="s">
        <v>0</v>
      </c>
      <c r="F122" s="28" t="s">
        <v>2</v>
      </c>
      <c r="G122" s="28" t="s">
        <v>2</v>
      </c>
      <c r="H122" s="28" t="s">
        <v>0</v>
      </c>
      <c r="I122" s="28" t="s">
        <v>2</v>
      </c>
      <c r="J122" s="28" t="s">
        <v>2</v>
      </c>
      <c r="K122" s="28" t="s">
        <v>2</v>
      </c>
      <c r="L122" s="28" t="s">
        <v>2</v>
      </c>
      <c r="M122" s="28" t="s">
        <v>2</v>
      </c>
      <c r="N122" s="28" t="s">
        <v>2</v>
      </c>
      <c r="O122" s="28" t="s">
        <v>2</v>
      </c>
      <c r="P122" s="28" t="s">
        <v>2</v>
      </c>
      <c r="Q122" s="28" t="s">
        <v>2</v>
      </c>
      <c r="R122" s="28" t="s">
        <v>2</v>
      </c>
      <c r="S122" s="28" t="s">
        <v>2</v>
      </c>
      <c r="T122" s="28" t="s">
        <v>2</v>
      </c>
      <c r="U122" s="28" t="s">
        <v>2</v>
      </c>
      <c r="V122" s="28" t="s">
        <v>2</v>
      </c>
      <c r="W122" s="28" t="s">
        <v>2</v>
      </c>
      <c r="X122" s="28" t="s">
        <v>2</v>
      </c>
      <c r="Y122" s="28" t="s">
        <v>2</v>
      </c>
      <c r="Z122" s="28" t="s">
        <v>2</v>
      </c>
      <c r="AA122" s="28" t="s">
        <v>2</v>
      </c>
      <c r="AB122" s="28" t="s">
        <v>2</v>
      </c>
      <c r="AC122" s="28" t="s">
        <v>2</v>
      </c>
      <c r="AD122" s="28" t="s">
        <v>2</v>
      </c>
      <c r="AE122" s="28" t="s">
        <v>2</v>
      </c>
      <c r="AF122" s="28" t="s">
        <v>2</v>
      </c>
      <c r="AG122" s="28" t="s">
        <v>2</v>
      </c>
      <c r="AH122" s="28" t="s">
        <v>2</v>
      </c>
      <c r="AI122" s="28" t="s">
        <v>2</v>
      </c>
      <c r="AJ122" s="28" t="s">
        <v>2</v>
      </c>
      <c r="AK122" s="28" t="s">
        <v>2</v>
      </c>
      <c r="AL122" s="28" t="s">
        <v>2</v>
      </c>
      <c r="AM122" s="28" t="s">
        <v>2</v>
      </c>
      <c r="AN122" s="28" t="s">
        <v>2</v>
      </c>
    </row>
    <row r="123" spans="1:40" ht="15.75" thickBot="1" x14ac:dyDescent="0.3">
      <c r="A123" s="110"/>
      <c r="B123" s="3">
        <f t="shared" si="4"/>
        <v>90</v>
      </c>
      <c r="C123" s="13" t="s">
        <v>57</v>
      </c>
      <c r="D123" s="95"/>
      <c r="E123" s="28" t="s">
        <v>0</v>
      </c>
      <c r="F123" s="28" t="s">
        <v>2</v>
      </c>
      <c r="G123" s="28" t="s">
        <v>2</v>
      </c>
      <c r="H123" s="28" t="s">
        <v>0</v>
      </c>
      <c r="I123" s="28" t="s">
        <v>2</v>
      </c>
      <c r="J123" s="28" t="s">
        <v>2</v>
      </c>
      <c r="K123" s="28" t="s">
        <v>2</v>
      </c>
      <c r="L123" s="28" t="s">
        <v>2</v>
      </c>
      <c r="M123" s="28" t="s">
        <v>2</v>
      </c>
      <c r="N123" s="28" t="s">
        <v>2</v>
      </c>
      <c r="O123" s="28" t="s">
        <v>2</v>
      </c>
      <c r="P123" s="28" t="s">
        <v>2</v>
      </c>
      <c r="Q123" s="28" t="s">
        <v>2</v>
      </c>
      <c r="R123" s="28" t="s">
        <v>2</v>
      </c>
      <c r="S123" s="28" t="s">
        <v>2</v>
      </c>
      <c r="T123" s="28" t="s">
        <v>2</v>
      </c>
      <c r="U123" s="28" t="s">
        <v>2</v>
      </c>
      <c r="V123" s="28" t="s">
        <v>2</v>
      </c>
      <c r="W123" s="28" t="s">
        <v>2</v>
      </c>
      <c r="X123" s="28" t="s">
        <v>2</v>
      </c>
      <c r="Y123" s="28" t="s">
        <v>2</v>
      </c>
      <c r="Z123" s="28" t="s">
        <v>2</v>
      </c>
      <c r="AA123" s="28" t="s">
        <v>2</v>
      </c>
      <c r="AB123" s="28" t="s">
        <v>2</v>
      </c>
      <c r="AC123" s="28" t="s">
        <v>2</v>
      </c>
      <c r="AD123" s="28" t="s">
        <v>2</v>
      </c>
      <c r="AE123" s="28" t="s">
        <v>2</v>
      </c>
      <c r="AF123" s="28" t="s">
        <v>2</v>
      </c>
      <c r="AG123" s="28" t="s">
        <v>2</v>
      </c>
      <c r="AH123" s="28" t="s">
        <v>2</v>
      </c>
      <c r="AI123" s="28" t="s">
        <v>2</v>
      </c>
      <c r="AJ123" s="28" t="s">
        <v>2</v>
      </c>
      <c r="AK123" s="28" t="s">
        <v>2</v>
      </c>
      <c r="AL123" s="28" t="s">
        <v>2</v>
      </c>
      <c r="AM123" s="28" t="s">
        <v>2</v>
      </c>
      <c r="AN123" s="28" t="s">
        <v>2</v>
      </c>
    </row>
    <row r="124" spans="1:40" ht="15.75" thickBot="1" x14ac:dyDescent="0.3">
      <c r="A124" s="110"/>
      <c r="B124" s="3">
        <f t="shared" si="4"/>
        <v>91</v>
      </c>
      <c r="C124" s="13" t="s">
        <v>59</v>
      </c>
      <c r="D124" s="95"/>
      <c r="E124" s="28" t="s">
        <v>0</v>
      </c>
      <c r="F124" s="28" t="s">
        <v>2</v>
      </c>
      <c r="G124" s="28" t="s">
        <v>2</v>
      </c>
      <c r="H124" s="28" t="s">
        <v>0</v>
      </c>
      <c r="I124" s="28" t="s">
        <v>2</v>
      </c>
      <c r="J124" s="28" t="s">
        <v>2</v>
      </c>
      <c r="K124" s="28" t="s">
        <v>2</v>
      </c>
      <c r="L124" s="28" t="s">
        <v>2</v>
      </c>
      <c r="M124" s="28" t="s">
        <v>2</v>
      </c>
      <c r="N124" s="28" t="s">
        <v>2</v>
      </c>
      <c r="O124" s="28" t="s">
        <v>2</v>
      </c>
      <c r="P124" s="28" t="s">
        <v>2</v>
      </c>
      <c r="Q124" s="28" t="s">
        <v>2</v>
      </c>
      <c r="R124" s="28" t="s">
        <v>2</v>
      </c>
      <c r="S124" s="28" t="s">
        <v>2</v>
      </c>
      <c r="T124" s="28" t="s">
        <v>2</v>
      </c>
      <c r="U124" s="28" t="s">
        <v>2</v>
      </c>
      <c r="V124" s="28" t="s">
        <v>2</v>
      </c>
      <c r="W124" s="28" t="s">
        <v>2</v>
      </c>
      <c r="X124" s="28" t="s">
        <v>2</v>
      </c>
      <c r="Y124" s="28" t="s">
        <v>2</v>
      </c>
      <c r="Z124" s="28" t="s">
        <v>2</v>
      </c>
      <c r="AA124" s="28" t="s">
        <v>2</v>
      </c>
      <c r="AB124" s="28" t="s">
        <v>2</v>
      </c>
      <c r="AC124" s="28" t="s">
        <v>2</v>
      </c>
      <c r="AD124" s="28" t="s">
        <v>2</v>
      </c>
      <c r="AE124" s="28" t="s">
        <v>2</v>
      </c>
      <c r="AF124" s="28" t="s">
        <v>2</v>
      </c>
      <c r="AG124" s="28" t="s">
        <v>2</v>
      </c>
      <c r="AH124" s="28" t="s">
        <v>2</v>
      </c>
      <c r="AI124" s="28" t="s">
        <v>2</v>
      </c>
      <c r="AJ124" s="28" t="s">
        <v>0</v>
      </c>
      <c r="AK124" s="28" t="s">
        <v>2</v>
      </c>
      <c r="AL124" s="28" t="s">
        <v>2</v>
      </c>
      <c r="AM124" s="28" t="s">
        <v>2</v>
      </c>
      <c r="AN124" s="28" t="s">
        <v>2</v>
      </c>
    </row>
    <row r="125" spans="1:40" ht="15.75" thickBot="1" x14ac:dyDescent="0.3">
      <c r="A125" s="110"/>
      <c r="B125" s="6">
        <f t="shared" si="4"/>
        <v>92</v>
      </c>
      <c r="C125" s="13" t="s">
        <v>61</v>
      </c>
      <c r="D125" s="95"/>
      <c r="E125" s="28" t="s">
        <v>0</v>
      </c>
      <c r="F125" s="28" t="s">
        <v>2</v>
      </c>
      <c r="G125" s="28" t="s">
        <v>2</v>
      </c>
      <c r="H125" s="28" t="s">
        <v>0</v>
      </c>
      <c r="I125" s="28" t="s">
        <v>2</v>
      </c>
      <c r="J125" s="28" t="s">
        <v>2</v>
      </c>
      <c r="K125" s="28" t="s">
        <v>2</v>
      </c>
      <c r="L125" s="28" t="s">
        <v>2</v>
      </c>
      <c r="M125" s="28" t="s">
        <v>2</v>
      </c>
      <c r="N125" s="28" t="s">
        <v>2</v>
      </c>
      <c r="O125" s="28" t="s">
        <v>2</v>
      </c>
      <c r="P125" s="28" t="s">
        <v>2</v>
      </c>
      <c r="Q125" s="28" t="s">
        <v>2</v>
      </c>
      <c r="R125" s="28" t="s">
        <v>2</v>
      </c>
      <c r="S125" s="28" t="s">
        <v>2</v>
      </c>
      <c r="T125" s="28" t="s">
        <v>2</v>
      </c>
      <c r="U125" s="28" t="s">
        <v>2</v>
      </c>
      <c r="V125" s="28" t="s">
        <v>2</v>
      </c>
      <c r="W125" s="28" t="s">
        <v>2</v>
      </c>
      <c r="X125" s="28" t="s">
        <v>2</v>
      </c>
      <c r="Y125" s="28" t="s">
        <v>2</v>
      </c>
      <c r="Z125" s="28" t="s">
        <v>2</v>
      </c>
      <c r="AA125" s="28" t="s">
        <v>2</v>
      </c>
      <c r="AB125" s="28" t="s">
        <v>2</v>
      </c>
      <c r="AC125" s="28" t="s">
        <v>2</v>
      </c>
      <c r="AD125" s="28" t="s">
        <v>2</v>
      </c>
      <c r="AE125" s="28" t="s">
        <v>2</v>
      </c>
      <c r="AF125" s="28" t="s">
        <v>2</v>
      </c>
      <c r="AG125" s="28" t="s">
        <v>2</v>
      </c>
      <c r="AH125" s="28" t="s">
        <v>2</v>
      </c>
      <c r="AI125" s="28" t="s">
        <v>2</v>
      </c>
      <c r="AJ125" s="28" t="s">
        <v>2</v>
      </c>
      <c r="AK125" s="28" t="s">
        <v>2</v>
      </c>
      <c r="AL125" s="28" t="s">
        <v>2</v>
      </c>
      <c r="AM125" s="28" t="s">
        <v>2</v>
      </c>
      <c r="AN125" s="28" t="s">
        <v>2</v>
      </c>
    </row>
    <row r="126" spans="1:40" ht="15.75" thickBot="1" x14ac:dyDescent="0.3">
      <c r="A126" s="110"/>
      <c r="B126" s="3">
        <f t="shared" si="4"/>
        <v>93</v>
      </c>
      <c r="C126" s="13" t="s">
        <v>62</v>
      </c>
      <c r="D126" s="95"/>
      <c r="E126" s="28" t="s">
        <v>0</v>
      </c>
      <c r="F126" s="28" t="s">
        <v>2</v>
      </c>
      <c r="G126" s="28" t="s">
        <v>2</v>
      </c>
      <c r="H126" s="28" t="s">
        <v>0</v>
      </c>
      <c r="I126" s="28" t="s">
        <v>2</v>
      </c>
      <c r="J126" s="28" t="s">
        <v>2</v>
      </c>
      <c r="K126" s="28" t="s">
        <v>2</v>
      </c>
      <c r="L126" s="28" t="s">
        <v>2</v>
      </c>
      <c r="M126" s="28" t="s">
        <v>2</v>
      </c>
      <c r="N126" s="28" t="s">
        <v>2</v>
      </c>
      <c r="O126" s="28" t="s">
        <v>0</v>
      </c>
      <c r="P126" s="28" t="s">
        <v>2</v>
      </c>
      <c r="Q126" s="28" t="s">
        <v>2</v>
      </c>
      <c r="R126" s="28" t="s">
        <v>2</v>
      </c>
      <c r="S126" s="28" t="s">
        <v>2</v>
      </c>
      <c r="T126" s="28" t="s">
        <v>2</v>
      </c>
      <c r="U126" s="28" t="s">
        <v>0</v>
      </c>
      <c r="V126" s="28" t="s">
        <v>2</v>
      </c>
      <c r="W126" s="28" t="s">
        <v>2</v>
      </c>
      <c r="X126" s="28" t="s">
        <v>2</v>
      </c>
      <c r="Y126" s="28" t="s">
        <v>2</v>
      </c>
      <c r="Z126" s="28" t="s">
        <v>2</v>
      </c>
      <c r="AA126" s="28" t="s">
        <v>2</v>
      </c>
      <c r="AB126" s="28" t="s">
        <v>2</v>
      </c>
      <c r="AC126" s="28" t="s">
        <v>2</v>
      </c>
      <c r="AD126" s="28" t="s">
        <v>2</v>
      </c>
      <c r="AE126" s="28" t="s">
        <v>2</v>
      </c>
      <c r="AF126" s="28" t="s">
        <v>2</v>
      </c>
      <c r="AG126" s="28" t="s">
        <v>2</v>
      </c>
      <c r="AH126" s="28" t="s">
        <v>2</v>
      </c>
      <c r="AI126" s="28" t="s">
        <v>2</v>
      </c>
      <c r="AJ126" s="28" t="s">
        <v>2</v>
      </c>
      <c r="AK126" s="28" t="s">
        <v>2</v>
      </c>
      <c r="AL126" s="28" t="s">
        <v>2</v>
      </c>
      <c r="AM126" s="28" t="s">
        <v>0</v>
      </c>
      <c r="AN126" s="28" t="s">
        <v>2</v>
      </c>
    </row>
    <row r="127" spans="1:40" ht="15.75" thickBot="1" x14ac:dyDescent="0.3">
      <c r="A127" s="110"/>
      <c r="B127" s="3">
        <f t="shared" si="4"/>
        <v>94</v>
      </c>
      <c r="C127" s="14" t="s">
        <v>101</v>
      </c>
      <c r="D127" s="96"/>
      <c r="E127" s="28" t="s">
        <v>0</v>
      </c>
      <c r="F127" s="28" t="s">
        <v>0</v>
      </c>
      <c r="G127" s="28" t="s">
        <v>2</v>
      </c>
      <c r="H127" s="28" t="s">
        <v>0</v>
      </c>
      <c r="I127" s="28" t="s">
        <v>2</v>
      </c>
      <c r="J127" s="28" t="s">
        <v>2</v>
      </c>
      <c r="K127" s="28" t="s">
        <v>2</v>
      </c>
      <c r="L127" s="28" t="s">
        <v>2</v>
      </c>
      <c r="M127" s="28" t="s">
        <v>2</v>
      </c>
      <c r="N127" s="28" t="s">
        <v>2</v>
      </c>
      <c r="O127" s="28" t="s">
        <v>0</v>
      </c>
      <c r="P127" s="28" t="s">
        <v>0</v>
      </c>
      <c r="Q127" s="28" t="s">
        <v>2</v>
      </c>
      <c r="R127" s="28" t="s">
        <v>2</v>
      </c>
      <c r="S127" s="28" t="s">
        <v>2</v>
      </c>
      <c r="T127" s="28" t="s">
        <v>2</v>
      </c>
      <c r="U127" s="28" t="s">
        <v>2</v>
      </c>
      <c r="V127" s="28" t="s">
        <v>2</v>
      </c>
      <c r="W127" s="28" t="s">
        <v>2</v>
      </c>
      <c r="X127" s="28" t="s">
        <v>2</v>
      </c>
      <c r="Y127" s="28" t="s">
        <v>2</v>
      </c>
      <c r="Z127" s="28" t="s">
        <v>2</v>
      </c>
      <c r="AA127" s="28" t="s">
        <v>2</v>
      </c>
      <c r="AB127" s="28" t="s">
        <v>0</v>
      </c>
      <c r="AC127" s="28" t="s">
        <v>2</v>
      </c>
      <c r="AD127" s="28" t="s">
        <v>2</v>
      </c>
      <c r="AE127" s="28" t="s">
        <v>2</v>
      </c>
      <c r="AF127" s="28" t="s">
        <v>2</v>
      </c>
      <c r="AG127" s="28" t="s">
        <v>2</v>
      </c>
      <c r="AH127" s="28" t="s">
        <v>2</v>
      </c>
      <c r="AI127" s="28" t="s">
        <v>2</v>
      </c>
      <c r="AJ127" s="28" t="s">
        <v>2</v>
      </c>
      <c r="AK127" s="28" t="s">
        <v>2</v>
      </c>
      <c r="AL127" s="28" t="s">
        <v>2</v>
      </c>
      <c r="AM127" s="28" t="s">
        <v>2</v>
      </c>
      <c r="AN127" s="28" t="s">
        <v>2</v>
      </c>
    </row>
    <row r="128" spans="1:40" ht="15.75" thickBot="1" x14ac:dyDescent="0.3">
      <c r="A128" s="111"/>
      <c r="B128" s="8">
        <f t="shared" si="4"/>
        <v>95</v>
      </c>
      <c r="C128" s="15" t="s">
        <v>64</v>
      </c>
      <c r="D128" s="97"/>
      <c r="E128" s="28" t="s">
        <v>0</v>
      </c>
      <c r="F128" s="28" t="s">
        <v>2</v>
      </c>
      <c r="G128" s="28" t="s">
        <v>2</v>
      </c>
      <c r="H128" s="28" t="s">
        <v>0</v>
      </c>
      <c r="I128" s="28" t="s">
        <v>2</v>
      </c>
      <c r="J128" s="28" t="s">
        <v>2</v>
      </c>
      <c r="K128" s="28" t="s">
        <v>2</v>
      </c>
      <c r="L128" s="28" t="s">
        <v>2</v>
      </c>
      <c r="M128" s="28" t="s">
        <v>2</v>
      </c>
      <c r="N128" s="28" t="s">
        <v>2</v>
      </c>
      <c r="O128" s="28" t="s">
        <v>2</v>
      </c>
      <c r="P128" s="28" t="s">
        <v>2</v>
      </c>
      <c r="Q128" s="28" t="s">
        <v>2</v>
      </c>
      <c r="R128" s="28" t="s">
        <v>0</v>
      </c>
      <c r="S128" s="28" t="s">
        <v>2</v>
      </c>
      <c r="T128" s="28" t="s">
        <v>0</v>
      </c>
      <c r="U128" s="28" t="s">
        <v>0</v>
      </c>
      <c r="V128" s="28" t="s">
        <v>2</v>
      </c>
      <c r="W128" s="28" t="s">
        <v>2</v>
      </c>
      <c r="X128" s="28" t="s">
        <v>2</v>
      </c>
      <c r="Y128" s="28" t="s">
        <v>2</v>
      </c>
      <c r="Z128" s="28" t="s">
        <v>0</v>
      </c>
      <c r="AA128" s="28" t="s">
        <v>0</v>
      </c>
      <c r="AB128" s="28" t="s">
        <v>2</v>
      </c>
      <c r="AC128" s="28" t="s">
        <v>2</v>
      </c>
      <c r="AD128" s="28" t="s">
        <v>2</v>
      </c>
      <c r="AE128" s="28" t="s">
        <v>2</v>
      </c>
      <c r="AF128" s="28" t="s">
        <v>0</v>
      </c>
      <c r="AG128" s="28" t="s">
        <v>2</v>
      </c>
      <c r="AH128" s="28" t="s">
        <v>2</v>
      </c>
      <c r="AI128" s="28" t="s">
        <v>0</v>
      </c>
      <c r="AJ128" s="28" t="s">
        <v>2</v>
      </c>
      <c r="AK128" s="28" t="s">
        <v>2</v>
      </c>
      <c r="AL128" s="28" t="s">
        <v>2</v>
      </c>
      <c r="AM128" s="28" t="s">
        <v>2</v>
      </c>
      <c r="AN128" s="28" t="s">
        <v>2</v>
      </c>
    </row>
    <row r="129" spans="1:40" ht="15.75" thickBot="1" x14ac:dyDescent="0.3">
      <c r="A129" s="112" t="s">
        <v>107</v>
      </c>
      <c r="B129" s="2">
        <f>+B128+1</f>
        <v>96</v>
      </c>
      <c r="C129" s="12" t="s">
        <v>99</v>
      </c>
      <c r="D129" s="94"/>
      <c r="E129" s="28" t="s">
        <v>0</v>
      </c>
      <c r="F129" s="28" t="s">
        <v>2</v>
      </c>
      <c r="G129" s="28" t="s">
        <v>2</v>
      </c>
      <c r="H129" s="28" t="s">
        <v>0</v>
      </c>
      <c r="I129" s="28" t="s">
        <v>0</v>
      </c>
      <c r="J129" s="28" t="s">
        <v>2</v>
      </c>
      <c r="K129" s="28" t="s">
        <v>2</v>
      </c>
      <c r="L129" s="28" t="s">
        <v>2</v>
      </c>
      <c r="M129" s="28" t="s">
        <v>0</v>
      </c>
      <c r="N129" s="28" t="s">
        <v>2</v>
      </c>
      <c r="O129" s="28" t="s">
        <v>2</v>
      </c>
      <c r="P129" s="28" t="s">
        <v>2</v>
      </c>
      <c r="Q129" s="28" t="s">
        <v>2</v>
      </c>
      <c r="R129" s="28" t="s">
        <v>2</v>
      </c>
      <c r="S129" s="28" t="s">
        <v>2</v>
      </c>
      <c r="T129" s="28" t="s">
        <v>2</v>
      </c>
      <c r="U129" s="28" t="s">
        <v>2</v>
      </c>
      <c r="V129" s="28" t="s">
        <v>2</v>
      </c>
      <c r="W129" s="28" t="s">
        <v>2</v>
      </c>
      <c r="X129" s="28" t="s">
        <v>2</v>
      </c>
      <c r="Y129" s="28" t="s">
        <v>2</v>
      </c>
      <c r="Z129" s="28" t="s">
        <v>2</v>
      </c>
      <c r="AA129" s="28" t="s">
        <v>2</v>
      </c>
      <c r="AB129" s="28" t="s">
        <v>0</v>
      </c>
      <c r="AC129" s="28" t="s">
        <v>2</v>
      </c>
      <c r="AD129" s="28" t="s">
        <v>2</v>
      </c>
      <c r="AE129" s="28" t="s">
        <v>2</v>
      </c>
      <c r="AF129" s="28" t="s">
        <v>2</v>
      </c>
      <c r="AG129" s="28" t="s">
        <v>2</v>
      </c>
      <c r="AH129" s="28" t="s">
        <v>2</v>
      </c>
      <c r="AI129" s="28" t="s">
        <v>2</v>
      </c>
      <c r="AJ129" s="28" t="s">
        <v>2</v>
      </c>
      <c r="AK129" s="28" t="s">
        <v>2</v>
      </c>
      <c r="AL129" s="28" t="s">
        <v>2</v>
      </c>
      <c r="AM129" s="28" t="s">
        <v>2</v>
      </c>
      <c r="AN129" s="28" t="s">
        <v>2</v>
      </c>
    </row>
    <row r="130" spans="1:40" ht="15.75" thickBot="1" x14ac:dyDescent="0.3">
      <c r="A130" s="110"/>
      <c r="B130" s="3">
        <f t="shared" ref="B130:B144" si="5">+B129+1</f>
        <v>97</v>
      </c>
      <c r="C130" s="13" t="s">
        <v>100</v>
      </c>
      <c r="D130" s="95"/>
      <c r="E130" s="28" t="s">
        <v>0</v>
      </c>
      <c r="F130" s="28" t="s">
        <v>2</v>
      </c>
      <c r="G130" s="28" t="s">
        <v>2</v>
      </c>
      <c r="H130" s="28" t="s">
        <v>0</v>
      </c>
      <c r="I130" s="28" t="s">
        <v>2</v>
      </c>
      <c r="J130" s="28" t="s">
        <v>2</v>
      </c>
      <c r="K130" s="28" t="s">
        <v>2</v>
      </c>
      <c r="L130" s="28" t="s">
        <v>2</v>
      </c>
      <c r="M130" s="28" t="s">
        <v>2</v>
      </c>
      <c r="N130" s="28" t="s">
        <v>2</v>
      </c>
      <c r="O130" s="28" t="s">
        <v>2</v>
      </c>
      <c r="P130" s="28" t="s">
        <v>2</v>
      </c>
      <c r="Q130" s="28" t="s">
        <v>2</v>
      </c>
      <c r="R130" s="28" t="s">
        <v>2</v>
      </c>
      <c r="S130" s="28" t="s">
        <v>2</v>
      </c>
      <c r="T130" s="28" t="s">
        <v>2</v>
      </c>
      <c r="U130" s="28" t="s">
        <v>2</v>
      </c>
      <c r="V130" s="28" t="s">
        <v>2</v>
      </c>
      <c r="W130" s="28" t="s">
        <v>2</v>
      </c>
      <c r="X130" s="28" t="s">
        <v>2</v>
      </c>
      <c r="Y130" s="28" t="s">
        <v>2</v>
      </c>
      <c r="Z130" s="28" t="s">
        <v>2</v>
      </c>
      <c r="AA130" s="28" t="s">
        <v>2</v>
      </c>
      <c r="AB130" s="28" t="s">
        <v>2</v>
      </c>
      <c r="AC130" s="28" t="s">
        <v>2</v>
      </c>
      <c r="AD130" s="28" t="s">
        <v>2</v>
      </c>
      <c r="AE130" s="28" t="s">
        <v>2</v>
      </c>
      <c r="AF130" s="28" t="s">
        <v>2</v>
      </c>
      <c r="AG130" s="28" t="s">
        <v>2</v>
      </c>
      <c r="AH130" s="28" t="s">
        <v>2</v>
      </c>
      <c r="AI130" s="28" t="s">
        <v>2</v>
      </c>
      <c r="AJ130" s="28" t="s">
        <v>2</v>
      </c>
      <c r="AK130" s="28" t="s">
        <v>2</v>
      </c>
      <c r="AL130" s="28" t="s">
        <v>2</v>
      </c>
      <c r="AM130" s="28" t="s">
        <v>2</v>
      </c>
      <c r="AN130" s="28" t="s">
        <v>2</v>
      </c>
    </row>
    <row r="131" spans="1:40" ht="15.75" thickBot="1" x14ac:dyDescent="0.3">
      <c r="A131" s="110"/>
      <c r="B131" s="3">
        <f t="shared" si="5"/>
        <v>98</v>
      </c>
      <c r="C131" s="14" t="s">
        <v>42</v>
      </c>
      <c r="D131" s="96"/>
      <c r="E131" s="28" t="s">
        <v>0</v>
      </c>
      <c r="F131" s="28" t="s">
        <v>2</v>
      </c>
      <c r="G131" s="28" t="s">
        <v>2</v>
      </c>
      <c r="H131" s="28" t="s">
        <v>0</v>
      </c>
      <c r="I131" s="28" t="s">
        <v>2</v>
      </c>
      <c r="J131" s="28" t="s">
        <v>2</v>
      </c>
      <c r="K131" s="28" t="s">
        <v>2</v>
      </c>
      <c r="L131" s="28" t="s">
        <v>2</v>
      </c>
      <c r="M131" s="28" t="s">
        <v>2</v>
      </c>
      <c r="N131" s="28" t="s">
        <v>2</v>
      </c>
      <c r="O131" s="28" t="s">
        <v>2</v>
      </c>
      <c r="P131" s="28" t="s">
        <v>2</v>
      </c>
      <c r="Q131" s="28" t="s">
        <v>2</v>
      </c>
      <c r="R131" s="28" t="s">
        <v>2</v>
      </c>
      <c r="S131" s="28" t="s">
        <v>2</v>
      </c>
      <c r="T131" s="28" t="s">
        <v>2</v>
      </c>
      <c r="U131" s="28" t="s">
        <v>2</v>
      </c>
      <c r="V131" s="28" t="s">
        <v>2</v>
      </c>
      <c r="W131" s="28" t="s">
        <v>2</v>
      </c>
      <c r="X131" s="28" t="s">
        <v>2</v>
      </c>
      <c r="Y131" s="28" t="s">
        <v>2</v>
      </c>
      <c r="Z131" s="28" t="s">
        <v>2</v>
      </c>
      <c r="AA131" s="28" t="s">
        <v>2</v>
      </c>
      <c r="AB131" s="28" t="s">
        <v>2</v>
      </c>
      <c r="AC131" s="28" t="s">
        <v>2</v>
      </c>
      <c r="AD131" s="28" t="s">
        <v>2</v>
      </c>
      <c r="AE131" s="28" t="s">
        <v>2</v>
      </c>
      <c r="AF131" s="28" t="s">
        <v>2</v>
      </c>
      <c r="AG131" s="28" t="s">
        <v>2</v>
      </c>
      <c r="AH131" s="28" t="s">
        <v>2</v>
      </c>
      <c r="AI131" s="28" t="s">
        <v>2</v>
      </c>
      <c r="AJ131" s="28" t="s">
        <v>2</v>
      </c>
      <c r="AK131" s="28" t="s">
        <v>2</v>
      </c>
      <c r="AL131" s="28" t="s">
        <v>2</v>
      </c>
      <c r="AM131" s="28" t="s">
        <v>2</v>
      </c>
      <c r="AN131" s="28" t="s">
        <v>2</v>
      </c>
    </row>
    <row r="132" spans="1:40" ht="15.75" thickBot="1" x14ac:dyDescent="0.3">
      <c r="A132" s="110"/>
      <c r="B132" s="6">
        <f t="shared" si="5"/>
        <v>99</v>
      </c>
      <c r="C132" s="13" t="s">
        <v>45</v>
      </c>
      <c r="D132" s="95"/>
      <c r="E132" s="28" t="s">
        <v>0</v>
      </c>
      <c r="F132" s="28" t="s">
        <v>2</v>
      </c>
      <c r="G132" s="28" t="s">
        <v>2</v>
      </c>
      <c r="H132" s="28" t="s">
        <v>0</v>
      </c>
      <c r="I132" s="28" t="s">
        <v>2</v>
      </c>
      <c r="J132" s="28" t="s">
        <v>2</v>
      </c>
      <c r="K132" s="28" t="s">
        <v>2</v>
      </c>
      <c r="L132" s="28" t="s">
        <v>2</v>
      </c>
      <c r="M132" s="28" t="s">
        <v>2</v>
      </c>
      <c r="N132" s="28" t="s">
        <v>2</v>
      </c>
      <c r="O132" s="28" t="s">
        <v>2</v>
      </c>
      <c r="P132" s="28" t="s">
        <v>2</v>
      </c>
      <c r="Q132" s="28" t="s">
        <v>2</v>
      </c>
      <c r="R132" s="28" t="s">
        <v>2</v>
      </c>
      <c r="S132" s="28" t="s">
        <v>2</v>
      </c>
      <c r="T132" s="28" t="s">
        <v>2</v>
      </c>
      <c r="U132" s="28" t="s">
        <v>2</v>
      </c>
      <c r="V132" s="28" t="s">
        <v>2</v>
      </c>
      <c r="W132" s="28" t="s">
        <v>2</v>
      </c>
      <c r="X132" s="28" t="s">
        <v>2</v>
      </c>
      <c r="Y132" s="28" t="s">
        <v>2</v>
      </c>
      <c r="Z132" s="28" t="s">
        <v>2</v>
      </c>
      <c r="AA132" s="28" t="s">
        <v>2</v>
      </c>
      <c r="AB132" s="28" t="s">
        <v>2</v>
      </c>
      <c r="AC132" s="28" t="s">
        <v>2</v>
      </c>
      <c r="AD132" s="28" t="s">
        <v>2</v>
      </c>
      <c r="AE132" s="28" t="s">
        <v>2</v>
      </c>
      <c r="AF132" s="28" t="s">
        <v>2</v>
      </c>
      <c r="AG132" s="28" t="s">
        <v>2</v>
      </c>
      <c r="AH132" s="28" t="s">
        <v>2</v>
      </c>
      <c r="AI132" s="28" t="s">
        <v>2</v>
      </c>
      <c r="AJ132" s="28" t="s">
        <v>2</v>
      </c>
      <c r="AK132" s="28" t="s">
        <v>2</v>
      </c>
      <c r="AL132" s="28" t="s">
        <v>2</v>
      </c>
      <c r="AM132" s="28" t="s">
        <v>2</v>
      </c>
      <c r="AN132" s="28" t="s">
        <v>2</v>
      </c>
    </row>
    <row r="133" spans="1:40" ht="15.75" thickBot="1" x14ac:dyDescent="0.3">
      <c r="A133" s="110"/>
      <c r="B133" s="3">
        <f t="shared" si="5"/>
        <v>100</v>
      </c>
      <c r="C133" s="13" t="s">
        <v>46</v>
      </c>
      <c r="D133" s="95"/>
      <c r="E133" s="28" t="s">
        <v>0</v>
      </c>
      <c r="F133" s="28" t="s">
        <v>2</v>
      </c>
      <c r="G133" s="28" t="s">
        <v>2</v>
      </c>
      <c r="H133" s="28" t="s">
        <v>0</v>
      </c>
      <c r="I133" s="28" t="s">
        <v>2</v>
      </c>
      <c r="J133" s="28" t="s">
        <v>2</v>
      </c>
      <c r="K133" s="28" t="s">
        <v>2</v>
      </c>
      <c r="L133" s="28" t="s">
        <v>2</v>
      </c>
      <c r="M133" s="28" t="s">
        <v>2</v>
      </c>
      <c r="N133" s="28" t="s">
        <v>0</v>
      </c>
      <c r="O133" s="28" t="s">
        <v>2</v>
      </c>
      <c r="P133" s="28" t="s">
        <v>2</v>
      </c>
      <c r="Q133" s="28" t="s">
        <v>2</v>
      </c>
      <c r="R133" s="28" t="s">
        <v>2</v>
      </c>
      <c r="S133" s="28" t="s">
        <v>2</v>
      </c>
      <c r="T133" s="28" t="s">
        <v>2</v>
      </c>
      <c r="U133" s="28" t="s">
        <v>2</v>
      </c>
      <c r="V133" s="28" t="s">
        <v>2</v>
      </c>
      <c r="W133" s="28" t="s">
        <v>2</v>
      </c>
      <c r="X133" s="28" t="s">
        <v>2</v>
      </c>
      <c r="Y133" s="28" t="s">
        <v>2</v>
      </c>
      <c r="Z133" s="28" t="s">
        <v>2</v>
      </c>
      <c r="AA133" s="28" t="s">
        <v>2</v>
      </c>
      <c r="AB133" s="28" t="s">
        <v>2</v>
      </c>
      <c r="AC133" s="28" t="s">
        <v>2</v>
      </c>
      <c r="AD133" s="28" t="s">
        <v>2</v>
      </c>
      <c r="AE133" s="28" t="s">
        <v>2</v>
      </c>
      <c r="AF133" s="28" t="s">
        <v>2</v>
      </c>
      <c r="AG133" s="28" t="s">
        <v>2</v>
      </c>
      <c r="AH133" s="28" t="s">
        <v>2</v>
      </c>
      <c r="AI133" s="28" t="s">
        <v>2</v>
      </c>
      <c r="AJ133" s="28" t="s">
        <v>2</v>
      </c>
      <c r="AK133" s="28" t="s">
        <v>2</v>
      </c>
      <c r="AL133" s="28" t="s">
        <v>2</v>
      </c>
      <c r="AM133" s="28" t="s">
        <v>2</v>
      </c>
      <c r="AN133" s="28" t="s">
        <v>2</v>
      </c>
    </row>
    <row r="134" spans="1:40" ht="15.75" thickBot="1" x14ac:dyDescent="0.3">
      <c r="A134" s="110"/>
      <c r="B134" s="3">
        <f t="shared" si="5"/>
        <v>101</v>
      </c>
      <c r="C134" s="13" t="s">
        <v>47</v>
      </c>
      <c r="D134" s="95"/>
      <c r="E134" s="28" t="s">
        <v>0</v>
      </c>
      <c r="F134" s="28" t="s">
        <v>2</v>
      </c>
      <c r="G134" s="28" t="s">
        <v>2</v>
      </c>
      <c r="H134" s="28" t="s">
        <v>0</v>
      </c>
      <c r="I134" s="28" t="s">
        <v>2</v>
      </c>
      <c r="J134" s="28" t="s">
        <v>2</v>
      </c>
      <c r="K134" s="28" t="s">
        <v>2</v>
      </c>
      <c r="L134" s="28" t="s">
        <v>2</v>
      </c>
      <c r="M134" s="28" t="s">
        <v>2</v>
      </c>
      <c r="N134" s="28" t="s">
        <v>2</v>
      </c>
      <c r="O134" s="28" t="s">
        <v>2</v>
      </c>
      <c r="P134" s="28" t="s">
        <v>2</v>
      </c>
      <c r="Q134" s="28" t="s">
        <v>2</v>
      </c>
      <c r="R134" s="28" t="s">
        <v>2</v>
      </c>
      <c r="S134" s="28" t="s">
        <v>2</v>
      </c>
      <c r="T134" s="28" t="s">
        <v>2</v>
      </c>
      <c r="U134" s="28" t="s">
        <v>2</v>
      </c>
      <c r="V134" s="28" t="s">
        <v>2</v>
      </c>
      <c r="W134" s="28" t="s">
        <v>2</v>
      </c>
      <c r="X134" s="28" t="s">
        <v>2</v>
      </c>
      <c r="Y134" s="28" t="s">
        <v>2</v>
      </c>
      <c r="Z134" s="28" t="s">
        <v>2</v>
      </c>
      <c r="AA134" s="28" t="s">
        <v>2</v>
      </c>
      <c r="AB134" s="28" t="s">
        <v>2</v>
      </c>
      <c r="AC134" s="28" t="s">
        <v>2</v>
      </c>
      <c r="AD134" s="28" t="s">
        <v>2</v>
      </c>
      <c r="AE134" s="28" t="s">
        <v>2</v>
      </c>
      <c r="AF134" s="28" t="s">
        <v>2</v>
      </c>
      <c r="AG134" s="28" t="s">
        <v>2</v>
      </c>
      <c r="AH134" s="28" t="s">
        <v>2</v>
      </c>
      <c r="AI134" s="28" t="s">
        <v>2</v>
      </c>
      <c r="AJ134" s="28" t="s">
        <v>2</v>
      </c>
      <c r="AK134" s="28" t="s">
        <v>2</v>
      </c>
      <c r="AL134" s="28" t="s">
        <v>2</v>
      </c>
      <c r="AM134" s="28" t="s">
        <v>2</v>
      </c>
      <c r="AN134" s="28" t="s">
        <v>2</v>
      </c>
    </row>
    <row r="135" spans="1:40" ht="15.75" thickBot="1" x14ac:dyDescent="0.3">
      <c r="A135" s="110"/>
      <c r="B135" s="6">
        <f t="shared" si="5"/>
        <v>102</v>
      </c>
      <c r="C135" s="13" t="s">
        <v>49</v>
      </c>
      <c r="D135" s="95"/>
      <c r="E135" s="28" t="s">
        <v>0</v>
      </c>
      <c r="F135" s="28" t="s">
        <v>2</v>
      </c>
      <c r="G135" s="28" t="s">
        <v>2</v>
      </c>
      <c r="H135" s="28" t="s">
        <v>0</v>
      </c>
      <c r="I135" s="28" t="s">
        <v>2</v>
      </c>
      <c r="J135" s="28" t="s">
        <v>2</v>
      </c>
      <c r="K135" s="28" t="s">
        <v>2</v>
      </c>
      <c r="L135" s="28" t="s">
        <v>2</v>
      </c>
      <c r="M135" s="28" t="s">
        <v>2</v>
      </c>
      <c r="N135" s="28" t="s">
        <v>2</v>
      </c>
      <c r="O135" s="28" t="s">
        <v>2</v>
      </c>
      <c r="P135" s="28" t="s">
        <v>2</v>
      </c>
      <c r="Q135" s="28" t="s">
        <v>2</v>
      </c>
      <c r="R135" s="28" t="s">
        <v>2</v>
      </c>
      <c r="S135" s="28" t="s">
        <v>2</v>
      </c>
      <c r="T135" s="28" t="s">
        <v>2</v>
      </c>
      <c r="U135" s="28" t="s">
        <v>2</v>
      </c>
      <c r="V135" s="28" t="s">
        <v>2</v>
      </c>
      <c r="W135" s="28" t="s">
        <v>2</v>
      </c>
      <c r="X135" s="28" t="s">
        <v>2</v>
      </c>
      <c r="Y135" s="28" t="s">
        <v>2</v>
      </c>
      <c r="Z135" s="28" t="s">
        <v>2</v>
      </c>
      <c r="AA135" s="28" t="s">
        <v>2</v>
      </c>
      <c r="AB135" s="28" t="s">
        <v>2</v>
      </c>
      <c r="AC135" s="28" t="s">
        <v>2</v>
      </c>
      <c r="AD135" s="28" t="s">
        <v>2</v>
      </c>
      <c r="AE135" s="28" t="s">
        <v>2</v>
      </c>
      <c r="AF135" s="28" t="s">
        <v>2</v>
      </c>
      <c r="AG135" s="28" t="s">
        <v>2</v>
      </c>
      <c r="AH135" s="28" t="s">
        <v>2</v>
      </c>
      <c r="AI135" s="28" t="s">
        <v>2</v>
      </c>
      <c r="AJ135" s="28" t="s">
        <v>2</v>
      </c>
      <c r="AK135" s="28" t="s">
        <v>2</v>
      </c>
      <c r="AL135" s="28" t="s">
        <v>2</v>
      </c>
      <c r="AM135" s="28" t="s">
        <v>2</v>
      </c>
      <c r="AN135" s="28" t="s">
        <v>2</v>
      </c>
    </row>
    <row r="136" spans="1:40" ht="15.75" thickBot="1" x14ac:dyDescent="0.3">
      <c r="A136" s="110"/>
      <c r="B136" s="3">
        <f t="shared" si="5"/>
        <v>103</v>
      </c>
      <c r="C136" s="13" t="s">
        <v>52</v>
      </c>
      <c r="D136" s="95"/>
      <c r="E136" s="28" t="s">
        <v>0</v>
      </c>
      <c r="F136" s="28" t="s">
        <v>2</v>
      </c>
      <c r="G136" s="28" t="s">
        <v>2</v>
      </c>
      <c r="H136" s="28" t="s">
        <v>0</v>
      </c>
      <c r="I136" s="28" t="s">
        <v>2</v>
      </c>
      <c r="J136" s="28" t="s">
        <v>2</v>
      </c>
      <c r="K136" s="28" t="s">
        <v>2</v>
      </c>
      <c r="L136" s="28" t="s">
        <v>2</v>
      </c>
      <c r="M136" s="28" t="s">
        <v>2</v>
      </c>
      <c r="N136" s="28" t="s">
        <v>2</v>
      </c>
      <c r="O136" s="28" t="s">
        <v>2</v>
      </c>
      <c r="P136" s="28" t="s">
        <v>2</v>
      </c>
      <c r="Q136" s="28" t="s">
        <v>2</v>
      </c>
      <c r="R136" s="28" t="s">
        <v>2</v>
      </c>
      <c r="S136" s="28" t="s">
        <v>2</v>
      </c>
      <c r="T136" s="28" t="s">
        <v>2</v>
      </c>
      <c r="U136" s="28" t="s">
        <v>2</v>
      </c>
      <c r="V136" s="28" t="s">
        <v>2</v>
      </c>
      <c r="W136" s="28" t="s">
        <v>2</v>
      </c>
      <c r="X136" s="28" t="s">
        <v>2</v>
      </c>
      <c r="Y136" s="28" t="s">
        <v>2</v>
      </c>
      <c r="Z136" s="28" t="s">
        <v>2</v>
      </c>
      <c r="AA136" s="28" t="s">
        <v>2</v>
      </c>
      <c r="AB136" s="28" t="s">
        <v>2</v>
      </c>
      <c r="AC136" s="28" t="s">
        <v>2</v>
      </c>
      <c r="AD136" s="28" t="s">
        <v>2</v>
      </c>
      <c r="AE136" s="28" t="s">
        <v>2</v>
      </c>
      <c r="AF136" s="28" t="s">
        <v>2</v>
      </c>
      <c r="AG136" s="28" t="s">
        <v>2</v>
      </c>
      <c r="AH136" s="28" t="s">
        <v>2</v>
      </c>
      <c r="AI136" s="28" t="s">
        <v>2</v>
      </c>
      <c r="AJ136" s="28" t="s">
        <v>2</v>
      </c>
      <c r="AK136" s="28" t="s">
        <v>2</v>
      </c>
      <c r="AL136" s="28" t="s">
        <v>2</v>
      </c>
      <c r="AM136" s="28" t="s">
        <v>2</v>
      </c>
      <c r="AN136" s="28" t="s">
        <v>2</v>
      </c>
    </row>
    <row r="137" spans="1:40" ht="15.75" thickBot="1" x14ac:dyDescent="0.3">
      <c r="A137" s="110"/>
      <c r="B137" s="3">
        <f t="shared" si="5"/>
        <v>104</v>
      </c>
      <c r="C137" s="13" t="s">
        <v>54</v>
      </c>
      <c r="D137" s="95"/>
      <c r="E137" s="28" t="s">
        <v>0</v>
      </c>
      <c r="F137" s="28" t="s">
        <v>2</v>
      </c>
      <c r="G137" s="28" t="s">
        <v>0</v>
      </c>
      <c r="H137" s="28" t="s">
        <v>0</v>
      </c>
      <c r="I137" s="28" t="s">
        <v>2</v>
      </c>
      <c r="J137" s="28" t="s">
        <v>2</v>
      </c>
      <c r="K137" s="28" t="s">
        <v>2</v>
      </c>
      <c r="L137" s="28" t="s">
        <v>2</v>
      </c>
      <c r="M137" s="28" t="s">
        <v>2</v>
      </c>
      <c r="N137" s="28" t="s">
        <v>2</v>
      </c>
      <c r="O137" s="28" t="s">
        <v>2</v>
      </c>
      <c r="P137" s="28" t="s">
        <v>2</v>
      </c>
      <c r="Q137" s="28" t="s">
        <v>2</v>
      </c>
      <c r="R137" s="28" t="s">
        <v>0</v>
      </c>
      <c r="S137" s="28" t="s">
        <v>2</v>
      </c>
      <c r="T137" s="28" t="s">
        <v>2</v>
      </c>
      <c r="U137" s="28" t="s">
        <v>2</v>
      </c>
      <c r="V137" s="28" t="s">
        <v>0</v>
      </c>
      <c r="W137" s="28" t="s">
        <v>2</v>
      </c>
      <c r="X137" s="28" t="s">
        <v>2</v>
      </c>
      <c r="Y137" s="28" t="s">
        <v>2</v>
      </c>
      <c r="Z137" s="28" t="s">
        <v>2</v>
      </c>
      <c r="AA137" s="28" t="s">
        <v>2</v>
      </c>
      <c r="AB137" s="28" t="s">
        <v>2</v>
      </c>
      <c r="AC137" s="28" t="s">
        <v>2</v>
      </c>
      <c r="AD137" s="28" t="s">
        <v>2</v>
      </c>
      <c r="AE137" s="28" t="s">
        <v>2</v>
      </c>
      <c r="AF137" s="28" t="s">
        <v>2</v>
      </c>
      <c r="AG137" s="28" t="s">
        <v>2</v>
      </c>
      <c r="AH137" s="28" t="s">
        <v>2</v>
      </c>
      <c r="AI137" s="28" t="s">
        <v>2</v>
      </c>
      <c r="AJ137" s="28" t="s">
        <v>2</v>
      </c>
      <c r="AK137" s="28" t="s">
        <v>2</v>
      </c>
      <c r="AL137" s="28" t="s">
        <v>2</v>
      </c>
      <c r="AM137" s="28" t="s">
        <v>2</v>
      </c>
      <c r="AN137" s="28" t="s">
        <v>2</v>
      </c>
    </row>
    <row r="138" spans="1:40" ht="15.75" thickBot="1" x14ac:dyDescent="0.3">
      <c r="A138" s="110"/>
      <c r="B138" s="6">
        <f t="shared" si="5"/>
        <v>105</v>
      </c>
      <c r="C138" s="13" t="s">
        <v>55</v>
      </c>
      <c r="D138" s="95"/>
      <c r="E138" s="28" t="s">
        <v>0</v>
      </c>
      <c r="F138" s="28" t="s">
        <v>2</v>
      </c>
      <c r="G138" s="28" t="s">
        <v>2</v>
      </c>
      <c r="H138" s="28" t="s">
        <v>0</v>
      </c>
      <c r="I138" s="28" t="s">
        <v>2</v>
      </c>
      <c r="J138" s="28" t="s">
        <v>2</v>
      </c>
      <c r="K138" s="28" t="s">
        <v>2</v>
      </c>
      <c r="L138" s="28" t="s">
        <v>2</v>
      </c>
      <c r="M138" s="28" t="s">
        <v>2</v>
      </c>
      <c r="N138" s="28" t="s">
        <v>2</v>
      </c>
      <c r="O138" s="28" t="s">
        <v>2</v>
      </c>
      <c r="P138" s="28" t="s">
        <v>2</v>
      </c>
      <c r="Q138" s="28" t="s">
        <v>2</v>
      </c>
      <c r="R138" s="28" t="s">
        <v>2</v>
      </c>
      <c r="S138" s="28" t="s">
        <v>2</v>
      </c>
      <c r="T138" s="28" t="s">
        <v>2</v>
      </c>
      <c r="U138" s="28" t="s">
        <v>2</v>
      </c>
      <c r="V138" s="28" t="s">
        <v>2</v>
      </c>
      <c r="W138" s="28" t="s">
        <v>2</v>
      </c>
      <c r="X138" s="28" t="s">
        <v>2</v>
      </c>
      <c r="Y138" s="28" t="s">
        <v>2</v>
      </c>
      <c r="Z138" s="28" t="s">
        <v>2</v>
      </c>
      <c r="AA138" s="28" t="s">
        <v>2</v>
      </c>
      <c r="AB138" s="28" t="s">
        <v>2</v>
      </c>
      <c r="AC138" s="28" t="s">
        <v>2</v>
      </c>
      <c r="AD138" s="28" t="s">
        <v>2</v>
      </c>
      <c r="AE138" s="28" t="s">
        <v>2</v>
      </c>
      <c r="AF138" s="28" t="s">
        <v>2</v>
      </c>
      <c r="AG138" s="28" t="s">
        <v>2</v>
      </c>
      <c r="AH138" s="28" t="s">
        <v>2</v>
      </c>
      <c r="AI138" s="28" t="s">
        <v>2</v>
      </c>
      <c r="AJ138" s="28" t="s">
        <v>2</v>
      </c>
      <c r="AK138" s="28" t="s">
        <v>2</v>
      </c>
      <c r="AL138" s="28" t="s">
        <v>2</v>
      </c>
      <c r="AM138" s="28" t="s">
        <v>2</v>
      </c>
      <c r="AN138" s="28" t="s">
        <v>2</v>
      </c>
    </row>
    <row r="139" spans="1:40" ht="15.75" thickBot="1" x14ac:dyDescent="0.3">
      <c r="A139" s="110"/>
      <c r="B139" s="3">
        <f t="shared" si="5"/>
        <v>106</v>
      </c>
      <c r="C139" s="13" t="s">
        <v>57</v>
      </c>
      <c r="D139" s="95"/>
      <c r="E139" s="28" t="s">
        <v>0</v>
      </c>
      <c r="F139" s="28" t="s">
        <v>2</v>
      </c>
      <c r="G139" s="28" t="s">
        <v>2</v>
      </c>
      <c r="H139" s="28" t="s">
        <v>0</v>
      </c>
      <c r="I139" s="28" t="s">
        <v>2</v>
      </c>
      <c r="J139" s="28" t="s">
        <v>2</v>
      </c>
      <c r="K139" s="28" t="s">
        <v>2</v>
      </c>
      <c r="L139" s="28" t="s">
        <v>2</v>
      </c>
      <c r="M139" s="28" t="s">
        <v>2</v>
      </c>
      <c r="N139" s="28" t="s">
        <v>2</v>
      </c>
      <c r="O139" s="28" t="s">
        <v>2</v>
      </c>
      <c r="P139" s="28" t="s">
        <v>2</v>
      </c>
      <c r="Q139" s="28" t="s">
        <v>2</v>
      </c>
      <c r="R139" s="28" t="s">
        <v>2</v>
      </c>
      <c r="S139" s="28" t="s">
        <v>2</v>
      </c>
      <c r="T139" s="28" t="s">
        <v>2</v>
      </c>
      <c r="U139" s="28" t="s">
        <v>2</v>
      </c>
      <c r="V139" s="28" t="s">
        <v>2</v>
      </c>
      <c r="W139" s="28" t="s">
        <v>2</v>
      </c>
      <c r="X139" s="28" t="s">
        <v>2</v>
      </c>
      <c r="Y139" s="28" t="s">
        <v>2</v>
      </c>
      <c r="Z139" s="28" t="s">
        <v>2</v>
      </c>
      <c r="AA139" s="28" t="s">
        <v>2</v>
      </c>
      <c r="AB139" s="28" t="s">
        <v>2</v>
      </c>
      <c r="AC139" s="28" t="s">
        <v>2</v>
      </c>
      <c r="AD139" s="28" t="s">
        <v>2</v>
      </c>
      <c r="AE139" s="28" t="s">
        <v>2</v>
      </c>
      <c r="AF139" s="28" t="s">
        <v>2</v>
      </c>
      <c r="AG139" s="28" t="s">
        <v>2</v>
      </c>
      <c r="AH139" s="28" t="s">
        <v>2</v>
      </c>
      <c r="AI139" s="28" t="s">
        <v>2</v>
      </c>
      <c r="AJ139" s="28" t="s">
        <v>2</v>
      </c>
      <c r="AK139" s="28" t="s">
        <v>2</v>
      </c>
      <c r="AL139" s="28" t="s">
        <v>2</v>
      </c>
      <c r="AM139" s="28" t="s">
        <v>2</v>
      </c>
      <c r="AN139" s="28" t="s">
        <v>2</v>
      </c>
    </row>
    <row r="140" spans="1:40" ht="15.75" thickBot="1" x14ac:dyDescent="0.3">
      <c r="A140" s="110"/>
      <c r="B140" s="3">
        <f t="shared" si="5"/>
        <v>107</v>
      </c>
      <c r="C140" s="13" t="s">
        <v>59</v>
      </c>
      <c r="D140" s="95"/>
      <c r="E140" s="28" t="s">
        <v>0</v>
      </c>
      <c r="F140" s="28" t="s">
        <v>2</v>
      </c>
      <c r="G140" s="28" t="s">
        <v>2</v>
      </c>
      <c r="H140" s="28" t="s">
        <v>0</v>
      </c>
      <c r="I140" s="28" t="s">
        <v>2</v>
      </c>
      <c r="J140" s="28" t="s">
        <v>2</v>
      </c>
      <c r="K140" s="28" t="s">
        <v>2</v>
      </c>
      <c r="L140" s="28" t="s">
        <v>2</v>
      </c>
      <c r="M140" s="28" t="s">
        <v>2</v>
      </c>
      <c r="N140" s="28" t="s">
        <v>2</v>
      </c>
      <c r="O140" s="28" t="s">
        <v>2</v>
      </c>
      <c r="P140" s="28" t="s">
        <v>2</v>
      </c>
      <c r="Q140" s="28" t="s">
        <v>2</v>
      </c>
      <c r="R140" s="28" t="s">
        <v>2</v>
      </c>
      <c r="S140" s="28" t="s">
        <v>2</v>
      </c>
      <c r="T140" s="28" t="s">
        <v>2</v>
      </c>
      <c r="U140" s="28" t="s">
        <v>2</v>
      </c>
      <c r="V140" s="28" t="s">
        <v>0</v>
      </c>
      <c r="W140" s="28" t="s">
        <v>2</v>
      </c>
      <c r="X140" s="28" t="s">
        <v>2</v>
      </c>
      <c r="Y140" s="28" t="s">
        <v>2</v>
      </c>
      <c r="Z140" s="28" t="s">
        <v>2</v>
      </c>
      <c r="AA140" s="28" t="s">
        <v>2</v>
      </c>
      <c r="AB140" s="28" t="s">
        <v>2</v>
      </c>
      <c r="AC140" s="28" t="s">
        <v>2</v>
      </c>
      <c r="AD140" s="28" t="s">
        <v>2</v>
      </c>
      <c r="AE140" s="28" t="s">
        <v>2</v>
      </c>
      <c r="AF140" s="28" t="s">
        <v>2</v>
      </c>
      <c r="AG140" s="28" t="s">
        <v>2</v>
      </c>
      <c r="AH140" s="28" t="s">
        <v>0</v>
      </c>
      <c r="AI140" s="28" t="s">
        <v>2</v>
      </c>
      <c r="AJ140" s="28" t="s">
        <v>0</v>
      </c>
      <c r="AK140" s="28" t="s">
        <v>2</v>
      </c>
      <c r="AL140" s="28" t="s">
        <v>2</v>
      </c>
      <c r="AM140" s="28" t="s">
        <v>2</v>
      </c>
      <c r="AN140" s="28" t="s">
        <v>2</v>
      </c>
    </row>
    <row r="141" spans="1:40" ht="15.75" thickBot="1" x14ac:dyDescent="0.3">
      <c r="A141" s="110"/>
      <c r="B141" s="6">
        <f t="shared" si="5"/>
        <v>108</v>
      </c>
      <c r="C141" s="13" t="s">
        <v>61</v>
      </c>
      <c r="D141" s="95"/>
      <c r="E141" s="28" t="s">
        <v>0</v>
      </c>
      <c r="F141" s="28" t="s">
        <v>2</v>
      </c>
      <c r="G141" s="28" t="s">
        <v>2</v>
      </c>
      <c r="H141" s="28" t="s">
        <v>0</v>
      </c>
      <c r="I141" s="28" t="s">
        <v>2</v>
      </c>
      <c r="J141" s="28" t="s">
        <v>2</v>
      </c>
      <c r="K141" s="28" t="s">
        <v>2</v>
      </c>
      <c r="L141" s="28" t="s">
        <v>2</v>
      </c>
      <c r="M141" s="28" t="s">
        <v>2</v>
      </c>
      <c r="N141" s="28" t="s">
        <v>2</v>
      </c>
      <c r="O141" s="28" t="s">
        <v>2</v>
      </c>
      <c r="P141" s="28" t="s">
        <v>2</v>
      </c>
      <c r="Q141" s="28" t="s">
        <v>2</v>
      </c>
      <c r="R141" s="28" t="s">
        <v>2</v>
      </c>
      <c r="S141" s="28" t="s">
        <v>2</v>
      </c>
      <c r="T141" s="28" t="s">
        <v>2</v>
      </c>
      <c r="U141" s="28" t="s">
        <v>2</v>
      </c>
      <c r="V141" s="28" t="s">
        <v>2</v>
      </c>
      <c r="W141" s="28" t="s">
        <v>2</v>
      </c>
      <c r="X141" s="28" t="s">
        <v>2</v>
      </c>
      <c r="Y141" s="28" t="s">
        <v>2</v>
      </c>
      <c r="Z141" s="28" t="s">
        <v>2</v>
      </c>
      <c r="AA141" s="28" t="s">
        <v>2</v>
      </c>
      <c r="AB141" s="28" t="s">
        <v>2</v>
      </c>
      <c r="AC141" s="28" t="s">
        <v>2</v>
      </c>
      <c r="AD141" s="28" t="s">
        <v>2</v>
      </c>
      <c r="AE141" s="28" t="s">
        <v>2</v>
      </c>
      <c r="AF141" s="28" t="s">
        <v>2</v>
      </c>
      <c r="AG141" s="28" t="s">
        <v>2</v>
      </c>
      <c r="AH141" s="28" t="s">
        <v>2</v>
      </c>
      <c r="AI141" s="28" t="s">
        <v>2</v>
      </c>
      <c r="AJ141" s="28" t="s">
        <v>2</v>
      </c>
      <c r="AK141" s="28" t="s">
        <v>2</v>
      </c>
      <c r="AL141" s="28" t="s">
        <v>2</v>
      </c>
      <c r="AM141" s="28" t="s">
        <v>2</v>
      </c>
      <c r="AN141" s="28" t="s">
        <v>2</v>
      </c>
    </row>
    <row r="142" spans="1:40" ht="15.75" thickBot="1" x14ac:dyDescent="0.3">
      <c r="A142" s="110"/>
      <c r="B142" s="3">
        <f t="shared" si="5"/>
        <v>109</v>
      </c>
      <c r="C142" s="13" t="s">
        <v>62</v>
      </c>
      <c r="D142" s="95"/>
      <c r="E142" s="28" t="s">
        <v>0</v>
      </c>
      <c r="F142" s="28" t="s">
        <v>2</v>
      </c>
      <c r="G142" s="28" t="s">
        <v>2</v>
      </c>
      <c r="H142" s="28" t="s">
        <v>0</v>
      </c>
      <c r="I142" s="28" t="s">
        <v>2</v>
      </c>
      <c r="J142" s="28" t="s">
        <v>2</v>
      </c>
      <c r="K142" s="28" t="s">
        <v>2</v>
      </c>
      <c r="L142" s="28" t="s">
        <v>2</v>
      </c>
      <c r="M142" s="28" t="s">
        <v>2</v>
      </c>
      <c r="N142" s="28" t="s">
        <v>2</v>
      </c>
      <c r="O142" s="28" t="s">
        <v>2</v>
      </c>
      <c r="P142" s="28" t="s">
        <v>2</v>
      </c>
      <c r="Q142" s="28" t="s">
        <v>2</v>
      </c>
      <c r="R142" s="28" t="s">
        <v>2</v>
      </c>
      <c r="S142" s="28" t="s">
        <v>2</v>
      </c>
      <c r="T142" s="28" t="s">
        <v>2</v>
      </c>
      <c r="U142" s="28" t="s">
        <v>0</v>
      </c>
      <c r="V142" s="28" t="s">
        <v>2</v>
      </c>
      <c r="W142" s="28" t="s">
        <v>2</v>
      </c>
      <c r="X142" s="28" t="s">
        <v>2</v>
      </c>
      <c r="Y142" s="28" t="s">
        <v>2</v>
      </c>
      <c r="Z142" s="28" t="s">
        <v>2</v>
      </c>
      <c r="AA142" s="28" t="s">
        <v>2</v>
      </c>
      <c r="AB142" s="28" t="s">
        <v>2</v>
      </c>
      <c r="AC142" s="28" t="s">
        <v>2</v>
      </c>
      <c r="AD142" s="28" t="s">
        <v>2</v>
      </c>
      <c r="AE142" s="28" t="s">
        <v>2</v>
      </c>
      <c r="AF142" s="28" t="s">
        <v>2</v>
      </c>
      <c r="AG142" s="28" t="s">
        <v>2</v>
      </c>
      <c r="AH142" s="28" t="s">
        <v>2</v>
      </c>
      <c r="AI142" s="28" t="s">
        <v>2</v>
      </c>
      <c r="AJ142" s="28" t="s">
        <v>2</v>
      </c>
      <c r="AK142" s="28" t="s">
        <v>2</v>
      </c>
      <c r="AL142" s="28" t="s">
        <v>2</v>
      </c>
      <c r="AM142" s="28" t="s">
        <v>0</v>
      </c>
      <c r="AN142" s="28" t="s">
        <v>2</v>
      </c>
    </row>
    <row r="143" spans="1:40" ht="15.75" thickBot="1" x14ac:dyDescent="0.3">
      <c r="A143" s="110"/>
      <c r="B143" s="3">
        <f t="shared" si="5"/>
        <v>110</v>
      </c>
      <c r="C143" s="14" t="s">
        <v>101</v>
      </c>
      <c r="D143" s="96"/>
      <c r="E143" s="28" t="s">
        <v>0</v>
      </c>
      <c r="F143" s="28" t="s">
        <v>0</v>
      </c>
      <c r="G143" s="28" t="s">
        <v>2</v>
      </c>
      <c r="H143" s="28" t="s">
        <v>0</v>
      </c>
      <c r="I143" s="28" t="s">
        <v>2</v>
      </c>
      <c r="J143" s="28" t="s">
        <v>2</v>
      </c>
      <c r="K143" s="28" t="s">
        <v>2</v>
      </c>
      <c r="L143" s="28" t="s">
        <v>2</v>
      </c>
      <c r="M143" s="28" t="s">
        <v>2</v>
      </c>
      <c r="N143" s="28" t="s">
        <v>2</v>
      </c>
      <c r="O143" s="28" t="s">
        <v>0</v>
      </c>
      <c r="P143" s="28" t="s">
        <v>2</v>
      </c>
      <c r="Q143" s="28" t="s">
        <v>2</v>
      </c>
      <c r="R143" s="28" t="s">
        <v>2</v>
      </c>
      <c r="S143" s="28" t="s">
        <v>2</v>
      </c>
      <c r="T143" s="28" t="s">
        <v>2</v>
      </c>
      <c r="U143" s="28" t="s">
        <v>2</v>
      </c>
      <c r="V143" s="28" t="s">
        <v>2</v>
      </c>
      <c r="W143" s="28" t="s">
        <v>2</v>
      </c>
      <c r="X143" s="28" t="s">
        <v>2</v>
      </c>
      <c r="Y143" s="28" t="s">
        <v>2</v>
      </c>
      <c r="Z143" s="28" t="s">
        <v>2</v>
      </c>
      <c r="AA143" s="28" t="s">
        <v>2</v>
      </c>
      <c r="AB143" s="28" t="s">
        <v>0</v>
      </c>
      <c r="AC143" s="28" t="s">
        <v>2</v>
      </c>
      <c r="AD143" s="28" t="s">
        <v>2</v>
      </c>
      <c r="AE143" s="28" t="s">
        <v>2</v>
      </c>
      <c r="AF143" s="28" t="s">
        <v>2</v>
      </c>
      <c r="AG143" s="28" t="s">
        <v>2</v>
      </c>
      <c r="AH143" s="28" t="s">
        <v>2</v>
      </c>
      <c r="AI143" s="28" t="s">
        <v>2</v>
      </c>
      <c r="AJ143" s="28" t="s">
        <v>2</v>
      </c>
      <c r="AK143" s="28" t="s">
        <v>2</v>
      </c>
      <c r="AL143" s="28" t="s">
        <v>2</v>
      </c>
      <c r="AM143" s="28" t="s">
        <v>2</v>
      </c>
      <c r="AN143" s="28" t="s">
        <v>2</v>
      </c>
    </row>
    <row r="144" spans="1:40" ht="15.75" thickBot="1" x14ac:dyDescent="0.3">
      <c r="A144" s="111"/>
      <c r="B144" s="8">
        <f t="shared" si="5"/>
        <v>111</v>
      </c>
      <c r="C144" s="15" t="s">
        <v>64</v>
      </c>
      <c r="D144" s="97"/>
      <c r="E144" s="28" t="s">
        <v>0</v>
      </c>
      <c r="F144" s="28" t="s">
        <v>2</v>
      </c>
      <c r="G144" s="28" t="s">
        <v>2</v>
      </c>
      <c r="H144" s="28" t="s">
        <v>0</v>
      </c>
      <c r="I144" s="28" t="s">
        <v>2</v>
      </c>
      <c r="J144" s="28" t="s">
        <v>2</v>
      </c>
      <c r="K144" s="28" t="s">
        <v>2</v>
      </c>
      <c r="L144" s="28" t="s">
        <v>0</v>
      </c>
      <c r="M144" s="28" t="s">
        <v>2</v>
      </c>
      <c r="N144" s="28" t="s">
        <v>2</v>
      </c>
      <c r="O144" s="28" t="s">
        <v>2</v>
      </c>
      <c r="P144" s="28" t="s">
        <v>2</v>
      </c>
      <c r="Q144" s="28" t="s">
        <v>2</v>
      </c>
      <c r="R144" s="28" t="s">
        <v>0</v>
      </c>
      <c r="S144" s="28" t="s">
        <v>2</v>
      </c>
      <c r="T144" s="28" t="s">
        <v>0</v>
      </c>
      <c r="U144" s="28" t="s">
        <v>0</v>
      </c>
      <c r="V144" s="28" t="s">
        <v>2</v>
      </c>
      <c r="W144" s="28" t="s">
        <v>2</v>
      </c>
      <c r="X144" s="28" t="s">
        <v>2</v>
      </c>
      <c r="Y144" s="28" t="s">
        <v>2</v>
      </c>
      <c r="Z144" s="28" t="s">
        <v>0</v>
      </c>
      <c r="AA144" s="28" t="s">
        <v>2</v>
      </c>
      <c r="AB144" s="28" t="s">
        <v>2</v>
      </c>
      <c r="AC144" s="28" t="s">
        <v>2</v>
      </c>
      <c r="AD144" s="28" t="s">
        <v>2</v>
      </c>
      <c r="AE144" s="28" t="s">
        <v>2</v>
      </c>
      <c r="AF144" s="28" t="s">
        <v>0</v>
      </c>
      <c r="AG144" s="28" t="s">
        <v>2</v>
      </c>
      <c r="AH144" s="28" t="s">
        <v>2</v>
      </c>
      <c r="AI144" s="28" t="s">
        <v>0</v>
      </c>
      <c r="AJ144" s="28" t="s">
        <v>2</v>
      </c>
      <c r="AK144" s="28" t="s">
        <v>2</v>
      </c>
      <c r="AL144" s="28" t="s">
        <v>2</v>
      </c>
      <c r="AM144" s="28" t="s">
        <v>2</v>
      </c>
      <c r="AN144" s="28" t="s">
        <v>2</v>
      </c>
    </row>
    <row r="145" spans="1:40" ht="15.75" thickBot="1" x14ac:dyDescent="0.3">
      <c r="A145" s="112" t="s">
        <v>108</v>
      </c>
      <c r="B145" s="2">
        <f>+ B144+1</f>
        <v>112</v>
      </c>
      <c r="C145" s="12" t="s">
        <v>86</v>
      </c>
      <c r="D145" s="94"/>
      <c r="E145" s="28" t="s">
        <v>0</v>
      </c>
      <c r="F145" s="28" t="s">
        <v>2</v>
      </c>
      <c r="G145" s="28" t="s">
        <v>2</v>
      </c>
      <c r="H145" s="28" t="s">
        <v>0</v>
      </c>
      <c r="I145" s="28" t="s">
        <v>2</v>
      </c>
      <c r="J145" s="28" t="s">
        <v>2</v>
      </c>
      <c r="K145" s="28" t="s">
        <v>2</v>
      </c>
      <c r="L145" s="28" t="s">
        <v>2</v>
      </c>
      <c r="M145" s="28" t="s">
        <v>2</v>
      </c>
      <c r="N145" s="28" t="s">
        <v>2</v>
      </c>
      <c r="O145" s="28" t="s">
        <v>2</v>
      </c>
      <c r="P145" s="28" t="s">
        <v>2</v>
      </c>
      <c r="Q145" s="28" t="s">
        <v>2</v>
      </c>
      <c r="R145" s="28" t="s">
        <v>2</v>
      </c>
      <c r="S145" s="28" t="s">
        <v>2</v>
      </c>
      <c r="T145" s="28" t="s">
        <v>2</v>
      </c>
      <c r="U145" s="28" t="s">
        <v>2</v>
      </c>
      <c r="V145" s="28" t="s">
        <v>2</v>
      </c>
      <c r="W145" s="28" t="s">
        <v>2</v>
      </c>
      <c r="X145" s="28" t="s">
        <v>2</v>
      </c>
      <c r="Y145" s="28" t="s">
        <v>2</v>
      </c>
      <c r="Z145" s="28" t="s">
        <v>2</v>
      </c>
      <c r="AA145" s="28" t="s">
        <v>2</v>
      </c>
      <c r="AB145" s="28" t="s">
        <v>2</v>
      </c>
      <c r="AC145" s="28" t="s">
        <v>2</v>
      </c>
      <c r="AD145" s="28" t="s">
        <v>2</v>
      </c>
      <c r="AE145" s="28" t="s">
        <v>2</v>
      </c>
      <c r="AF145" s="28" t="s">
        <v>2</v>
      </c>
      <c r="AG145" s="28" t="s">
        <v>2</v>
      </c>
      <c r="AH145" s="28" t="s">
        <v>2</v>
      </c>
      <c r="AI145" s="28" t="s">
        <v>2</v>
      </c>
      <c r="AJ145" s="28" t="s">
        <v>2</v>
      </c>
      <c r="AK145" s="28" t="s">
        <v>2</v>
      </c>
      <c r="AL145" s="28" t="s">
        <v>2</v>
      </c>
      <c r="AM145" s="28" t="s">
        <v>2</v>
      </c>
      <c r="AN145" s="28" t="s">
        <v>2</v>
      </c>
    </row>
    <row r="146" spans="1:40" ht="15.75" thickBot="1" x14ac:dyDescent="0.3">
      <c r="A146" s="110"/>
      <c r="B146" s="6">
        <f t="shared" ref="B146:B155" si="6">+ B145+1</f>
        <v>113</v>
      </c>
      <c r="C146" s="13" t="s">
        <v>87</v>
      </c>
      <c r="D146" s="95"/>
      <c r="E146" s="28" t="s">
        <v>0</v>
      </c>
      <c r="F146" s="28" t="s">
        <v>2</v>
      </c>
      <c r="G146" s="28" t="s">
        <v>2</v>
      </c>
      <c r="H146" s="28" t="s">
        <v>0</v>
      </c>
      <c r="I146" s="28" t="s">
        <v>2</v>
      </c>
      <c r="J146" s="28" t="s">
        <v>2</v>
      </c>
      <c r="K146" s="28" t="s">
        <v>2</v>
      </c>
      <c r="L146" s="28" t="s">
        <v>2</v>
      </c>
      <c r="M146" s="28" t="s">
        <v>2</v>
      </c>
      <c r="N146" s="28" t="s">
        <v>2</v>
      </c>
      <c r="O146" s="28" t="s">
        <v>2</v>
      </c>
      <c r="P146" s="28" t="s">
        <v>2</v>
      </c>
      <c r="Q146" s="28" t="s">
        <v>2</v>
      </c>
      <c r="R146" s="28" t="s">
        <v>2</v>
      </c>
      <c r="S146" s="28" t="s">
        <v>2</v>
      </c>
      <c r="T146" s="28" t="s">
        <v>2</v>
      </c>
      <c r="U146" s="28" t="s">
        <v>2</v>
      </c>
      <c r="V146" s="28" t="s">
        <v>2</v>
      </c>
      <c r="W146" s="28" t="s">
        <v>2</v>
      </c>
      <c r="X146" s="28" t="s">
        <v>2</v>
      </c>
      <c r="Y146" s="28" t="s">
        <v>2</v>
      </c>
      <c r="Z146" s="28" t="s">
        <v>2</v>
      </c>
      <c r="AA146" s="28" t="s">
        <v>2</v>
      </c>
      <c r="AB146" s="28" t="s">
        <v>2</v>
      </c>
      <c r="AC146" s="28" t="s">
        <v>2</v>
      </c>
      <c r="AD146" s="28" t="s">
        <v>2</v>
      </c>
      <c r="AE146" s="28" t="s">
        <v>2</v>
      </c>
      <c r="AF146" s="28" t="s">
        <v>2</v>
      </c>
      <c r="AG146" s="28" t="s">
        <v>2</v>
      </c>
      <c r="AH146" s="28" t="s">
        <v>2</v>
      </c>
      <c r="AI146" s="28" t="s">
        <v>2</v>
      </c>
      <c r="AJ146" s="28" t="s">
        <v>2</v>
      </c>
      <c r="AK146" s="28" t="s">
        <v>2</v>
      </c>
      <c r="AL146" s="28" t="s">
        <v>2</v>
      </c>
      <c r="AM146" s="28" t="s">
        <v>2</v>
      </c>
      <c r="AN146" s="28" t="s">
        <v>2</v>
      </c>
    </row>
    <row r="147" spans="1:40" ht="15.75" thickBot="1" x14ac:dyDescent="0.3">
      <c r="A147" s="110"/>
      <c r="B147" s="6">
        <f t="shared" si="6"/>
        <v>114</v>
      </c>
      <c r="C147" s="13" t="s">
        <v>88</v>
      </c>
      <c r="D147" s="95"/>
      <c r="E147" s="28" t="s">
        <v>0</v>
      </c>
      <c r="F147" s="28" t="s">
        <v>2</v>
      </c>
      <c r="G147" s="28" t="s">
        <v>2</v>
      </c>
      <c r="H147" s="28" t="s">
        <v>0</v>
      </c>
      <c r="I147" s="28" t="s">
        <v>2</v>
      </c>
      <c r="J147" s="28" t="s">
        <v>2</v>
      </c>
      <c r="K147" s="28" t="s">
        <v>2</v>
      </c>
      <c r="L147" s="28" t="s">
        <v>2</v>
      </c>
      <c r="M147" s="28" t="s">
        <v>2</v>
      </c>
      <c r="N147" s="28" t="s">
        <v>2</v>
      </c>
      <c r="O147" s="28" t="s">
        <v>2</v>
      </c>
      <c r="P147" s="28" t="s">
        <v>2</v>
      </c>
      <c r="Q147" s="28" t="s">
        <v>2</v>
      </c>
      <c r="R147" s="28" t="s">
        <v>2</v>
      </c>
      <c r="S147" s="28" t="s">
        <v>2</v>
      </c>
      <c r="T147" s="28" t="s">
        <v>2</v>
      </c>
      <c r="U147" s="28" t="s">
        <v>2</v>
      </c>
      <c r="V147" s="28" t="s">
        <v>2</v>
      </c>
      <c r="W147" s="28" t="s">
        <v>2</v>
      </c>
      <c r="X147" s="28" t="s">
        <v>2</v>
      </c>
      <c r="Y147" s="28" t="s">
        <v>2</v>
      </c>
      <c r="Z147" s="28" t="s">
        <v>2</v>
      </c>
      <c r="AA147" s="28" t="s">
        <v>2</v>
      </c>
      <c r="AB147" s="28" t="s">
        <v>2</v>
      </c>
      <c r="AC147" s="28" t="s">
        <v>2</v>
      </c>
      <c r="AD147" s="28" t="s">
        <v>2</v>
      </c>
      <c r="AE147" s="28" t="s">
        <v>2</v>
      </c>
      <c r="AF147" s="28" t="s">
        <v>2</v>
      </c>
      <c r="AG147" s="28" t="s">
        <v>2</v>
      </c>
      <c r="AH147" s="28" t="s">
        <v>2</v>
      </c>
      <c r="AI147" s="28" t="s">
        <v>2</v>
      </c>
      <c r="AJ147" s="28" t="s">
        <v>2</v>
      </c>
      <c r="AK147" s="28" t="s">
        <v>2</v>
      </c>
      <c r="AL147" s="28" t="s">
        <v>2</v>
      </c>
      <c r="AM147" s="28" t="s">
        <v>2</v>
      </c>
      <c r="AN147" s="28" t="s">
        <v>2</v>
      </c>
    </row>
    <row r="148" spans="1:40" ht="15.75" thickBot="1" x14ac:dyDescent="0.3">
      <c r="A148" s="110"/>
      <c r="B148" s="6">
        <f t="shared" si="6"/>
        <v>115</v>
      </c>
      <c r="C148" s="13" t="s">
        <v>89</v>
      </c>
      <c r="D148" s="95"/>
      <c r="E148" s="28" t="s">
        <v>0</v>
      </c>
      <c r="F148" s="28" t="s">
        <v>2</v>
      </c>
      <c r="G148" s="28" t="s">
        <v>2</v>
      </c>
      <c r="H148" s="28" t="s">
        <v>0</v>
      </c>
      <c r="I148" s="28" t="s">
        <v>2</v>
      </c>
      <c r="J148" s="28" t="s">
        <v>2</v>
      </c>
      <c r="K148" s="28" t="s">
        <v>2</v>
      </c>
      <c r="L148" s="28" t="s">
        <v>2</v>
      </c>
      <c r="M148" s="28" t="s">
        <v>2</v>
      </c>
      <c r="N148" s="28" t="s">
        <v>2</v>
      </c>
      <c r="O148" s="28" t="s">
        <v>2</v>
      </c>
      <c r="P148" s="28" t="s">
        <v>2</v>
      </c>
      <c r="Q148" s="28" t="s">
        <v>2</v>
      </c>
      <c r="R148" s="28" t="s">
        <v>2</v>
      </c>
      <c r="S148" s="28" t="s">
        <v>2</v>
      </c>
      <c r="T148" s="28" t="s">
        <v>2</v>
      </c>
      <c r="U148" s="28" t="s">
        <v>2</v>
      </c>
      <c r="V148" s="28" t="s">
        <v>2</v>
      </c>
      <c r="W148" s="28" t="s">
        <v>2</v>
      </c>
      <c r="X148" s="28" t="s">
        <v>2</v>
      </c>
      <c r="Y148" s="28" t="s">
        <v>2</v>
      </c>
      <c r="Z148" s="28" t="s">
        <v>2</v>
      </c>
      <c r="AA148" s="28" t="s">
        <v>2</v>
      </c>
      <c r="AB148" s="28" t="s">
        <v>2</v>
      </c>
      <c r="AC148" s="28" t="s">
        <v>2</v>
      </c>
      <c r="AD148" s="28" t="s">
        <v>2</v>
      </c>
      <c r="AE148" s="28" t="s">
        <v>2</v>
      </c>
      <c r="AF148" s="28" t="s">
        <v>2</v>
      </c>
      <c r="AG148" s="28" t="s">
        <v>2</v>
      </c>
      <c r="AH148" s="28" t="s">
        <v>2</v>
      </c>
      <c r="AI148" s="28" t="s">
        <v>2</v>
      </c>
      <c r="AJ148" s="28" t="s">
        <v>2</v>
      </c>
      <c r="AK148" s="28" t="s">
        <v>2</v>
      </c>
      <c r="AL148" s="28" t="s">
        <v>2</v>
      </c>
      <c r="AM148" s="28" t="s">
        <v>2</v>
      </c>
      <c r="AN148" s="28" t="s">
        <v>2</v>
      </c>
    </row>
    <row r="149" spans="1:40" ht="15.75" thickBot="1" x14ac:dyDescent="0.3">
      <c r="A149" s="110"/>
      <c r="B149" s="6">
        <f t="shared" si="6"/>
        <v>116</v>
      </c>
      <c r="C149" s="13" t="s">
        <v>76</v>
      </c>
      <c r="D149" s="95"/>
      <c r="E149" s="28" t="s">
        <v>0</v>
      </c>
      <c r="F149" s="28" t="s">
        <v>2</v>
      </c>
      <c r="G149" s="28" t="s">
        <v>2</v>
      </c>
      <c r="H149" s="28" t="s">
        <v>0</v>
      </c>
      <c r="I149" s="28" t="s">
        <v>2</v>
      </c>
      <c r="J149" s="28" t="s">
        <v>2</v>
      </c>
      <c r="K149" s="28" t="s">
        <v>2</v>
      </c>
      <c r="L149" s="28" t="s">
        <v>2</v>
      </c>
      <c r="M149" s="28" t="s">
        <v>2</v>
      </c>
      <c r="N149" s="28" t="s">
        <v>2</v>
      </c>
      <c r="O149" s="28" t="s">
        <v>2</v>
      </c>
      <c r="P149" s="28" t="s">
        <v>2</v>
      </c>
      <c r="Q149" s="28" t="s">
        <v>2</v>
      </c>
      <c r="R149" s="28" t="s">
        <v>2</v>
      </c>
      <c r="S149" s="28" t="s">
        <v>2</v>
      </c>
      <c r="T149" s="28" t="s">
        <v>2</v>
      </c>
      <c r="U149" s="28" t="s">
        <v>2</v>
      </c>
      <c r="V149" s="28" t="s">
        <v>2</v>
      </c>
      <c r="W149" s="28" t="s">
        <v>2</v>
      </c>
      <c r="X149" s="28" t="s">
        <v>2</v>
      </c>
      <c r="Y149" s="28" t="s">
        <v>2</v>
      </c>
      <c r="Z149" s="28" t="s">
        <v>2</v>
      </c>
      <c r="AA149" s="28" t="s">
        <v>2</v>
      </c>
      <c r="AB149" s="28" t="s">
        <v>2</v>
      </c>
      <c r="AC149" s="28" t="s">
        <v>2</v>
      </c>
      <c r="AD149" s="28" t="s">
        <v>2</v>
      </c>
      <c r="AE149" s="28" t="s">
        <v>2</v>
      </c>
      <c r="AF149" s="28" t="s">
        <v>2</v>
      </c>
      <c r="AG149" s="28" t="s">
        <v>2</v>
      </c>
      <c r="AH149" s="28" t="s">
        <v>2</v>
      </c>
      <c r="AI149" s="28" t="s">
        <v>2</v>
      </c>
      <c r="AJ149" s="28" t="s">
        <v>2</v>
      </c>
      <c r="AK149" s="28" t="s">
        <v>2</v>
      </c>
      <c r="AL149" s="28" t="s">
        <v>2</v>
      </c>
      <c r="AM149" s="28" t="s">
        <v>2</v>
      </c>
      <c r="AN149" s="28" t="s">
        <v>2</v>
      </c>
    </row>
    <row r="150" spans="1:40" ht="15.75" thickBot="1" x14ac:dyDescent="0.3">
      <c r="A150" s="110"/>
      <c r="B150" s="6">
        <f t="shared" si="6"/>
        <v>117</v>
      </c>
      <c r="C150" s="13" t="s">
        <v>77</v>
      </c>
      <c r="D150" s="95"/>
      <c r="E150" s="28" t="s">
        <v>0</v>
      </c>
      <c r="F150" s="28" t="s">
        <v>2</v>
      </c>
      <c r="G150" s="28" t="s">
        <v>2</v>
      </c>
      <c r="H150" s="28" t="s">
        <v>0</v>
      </c>
      <c r="I150" s="28" t="s">
        <v>2</v>
      </c>
      <c r="J150" s="28" t="s">
        <v>2</v>
      </c>
      <c r="K150" s="28" t="s">
        <v>2</v>
      </c>
      <c r="L150" s="28" t="s">
        <v>2</v>
      </c>
      <c r="M150" s="28" t="s">
        <v>2</v>
      </c>
      <c r="N150" s="28" t="s">
        <v>2</v>
      </c>
      <c r="O150" s="28" t="s">
        <v>2</v>
      </c>
      <c r="P150" s="28" t="s">
        <v>2</v>
      </c>
      <c r="Q150" s="28" t="s">
        <v>2</v>
      </c>
      <c r="R150" s="28" t="s">
        <v>2</v>
      </c>
      <c r="S150" s="28" t="s">
        <v>2</v>
      </c>
      <c r="T150" s="28" t="s">
        <v>2</v>
      </c>
      <c r="U150" s="28" t="s">
        <v>2</v>
      </c>
      <c r="V150" s="28" t="s">
        <v>0</v>
      </c>
      <c r="W150" s="28" t="s">
        <v>2</v>
      </c>
      <c r="X150" s="28" t="s">
        <v>2</v>
      </c>
      <c r="Y150" s="28" t="s">
        <v>2</v>
      </c>
      <c r="Z150" s="28" t="s">
        <v>2</v>
      </c>
      <c r="AA150" s="28" t="s">
        <v>0</v>
      </c>
      <c r="AB150" s="28" t="s">
        <v>2</v>
      </c>
      <c r="AC150" s="28" t="s">
        <v>2</v>
      </c>
      <c r="AD150" s="28" t="s">
        <v>2</v>
      </c>
      <c r="AE150" s="28" t="s">
        <v>2</v>
      </c>
      <c r="AF150" s="28" t="s">
        <v>0</v>
      </c>
      <c r="AG150" s="28" t="s">
        <v>2</v>
      </c>
      <c r="AH150" s="28" t="s">
        <v>2</v>
      </c>
      <c r="AI150" s="28" t="s">
        <v>2</v>
      </c>
      <c r="AJ150" s="28" t="s">
        <v>0</v>
      </c>
      <c r="AK150" s="28" t="s">
        <v>2</v>
      </c>
      <c r="AL150" s="28" t="s">
        <v>2</v>
      </c>
      <c r="AM150" s="28" t="s">
        <v>2</v>
      </c>
      <c r="AN150" s="28" t="s">
        <v>2</v>
      </c>
    </row>
    <row r="151" spans="1:40" ht="15.75" thickBot="1" x14ac:dyDescent="0.3">
      <c r="A151" s="110"/>
      <c r="B151" s="6">
        <f t="shared" si="6"/>
        <v>118</v>
      </c>
      <c r="C151" s="13" t="s">
        <v>59</v>
      </c>
      <c r="D151" s="95"/>
      <c r="E151" s="28" t="s">
        <v>0</v>
      </c>
      <c r="F151" s="28" t="s">
        <v>2</v>
      </c>
      <c r="G151" s="28" t="s">
        <v>2</v>
      </c>
      <c r="H151" s="28" t="s">
        <v>0</v>
      </c>
      <c r="I151" s="28" t="s">
        <v>2</v>
      </c>
      <c r="J151" s="28" t="s">
        <v>2</v>
      </c>
      <c r="K151" s="28" t="s">
        <v>2</v>
      </c>
      <c r="L151" s="28" t="s">
        <v>2</v>
      </c>
      <c r="M151" s="28" t="s">
        <v>2</v>
      </c>
      <c r="N151" s="28" t="s">
        <v>2</v>
      </c>
      <c r="O151" s="28" t="s">
        <v>2</v>
      </c>
      <c r="P151" s="28" t="s">
        <v>2</v>
      </c>
      <c r="Q151" s="28" t="s">
        <v>2</v>
      </c>
      <c r="R151" s="28" t="s">
        <v>2</v>
      </c>
      <c r="S151" s="28" t="s">
        <v>2</v>
      </c>
      <c r="T151" s="28" t="s">
        <v>0</v>
      </c>
      <c r="U151" s="28" t="s">
        <v>2</v>
      </c>
      <c r="V151" s="28" t="s">
        <v>2</v>
      </c>
      <c r="W151" s="28" t="s">
        <v>2</v>
      </c>
      <c r="X151" s="28" t="s">
        <v>2</v>
      </c>
      <c r="Y151" s="28" t="s">
        <v>2</v>
      </c>
      <c r="Z151" s="28" t="s">
        <v>2</v>
      </c>
      <c r="AA151" s="28" t="s">
        <v>2</v>
      </c>
      <c r="AB151" s="28" t="s">
        <v>0</v>
      </c>
      <c r="AC151" s="28" t="s">
        <v>2</v>
      </c>
      <c r="AD151" s="28" t="s">
        <v>2</v>
      </c>
      <c r="AE151" s="28" t="s">
        <v>2</v>
      </c>
      <c r="AF151" s="28" t="s">
        <v>2</v>
      </c>
      <c r="AG151" s="28" t="s">
        <v>2</v>
      </c>
      <c r="AH151" s="28" t="s">
        <v>2</v>
      </c>
      <c r="AI151" s="28" t="s">
        <v>2</v>
      </c>
      <c r="AJ151" s="28" t="s">
        <v>2</v>
      </c>
      <c r="AK151" s="28" t="s">
        <v>2</v>
      </c>
      <c r="AL151" s="28" t="s">
        <v>2</v>
      </c>
      <c r="AM151" s="28" t="s">
        <v>2</v>
      </c>
      <c r="AN151" s="28" t="s">
        <v>0</v>
      </c>
    </row>
    <row r="152" spans="1:40" ht="15.75" thickBot="1" x14ac:dyDescent="0.3">
      <c r="A152" s="110"/>
      <c r="B152" s="6">
        <f t="shared" si="6"/>
        <v>119</v>
      </c>
      <c r="C152" s="13" t="s">
        <v>61</v>
      </c>
      <c r="D152" s="95"/>
      <c r="E152" s="28" t="s">
        <v>0</v>
      </c>
      <c r="F152" s="28" t="s">
        <v>2</v>
      </c>
      <c r="G152" s="28" t="s">
        <v>2</v>
      </c>
      <c r="H152" s="28" t="s">
        <v>0</v>
      </c>
      <c r="I152" s="28" t="s">
        <v>2</v>
      </c>
      <c r="J152" s="28" t="s">
        <v>2</v>
      </c>
      <c r="K152" s="28" t="s">
        <v>2</v>
      </c>
      <c r="L152" s="28" t="s">
        <v>2</v>
      </c>
      <c r="M152" s="28" t="s">
        <v>2</v>
      </c>
      <c r="N152" s="28" t="s">
        <v>2</v>
      </c>
      <c r="O152" s="28" t="s">
        <v>2</v>
      </c>
      <c r="P152" s="28" t="s">
        <v>2</v>
      </c>
      <c r="Q152" s="28" t="s">
        <v>2</v>
      </c>
      <c r="R152" s="28" t="s">
        <v>2</v>
      </c>
      <c r="S152" s="28" t="s">
        <v>2</v>
      </c>
      <c r="T152" s="28" t="s">
        <v>2</v>
      </c>
      <c r="U152" s="28" t="s">
        <v>2</v>
      </c>
      <c r="V152" s="28" t="s">
        <v>0</v>
      </c>
      <c r="W152" s="28" t="s">
        <v>2</v>
      </c>
      <c r="X152" s="28" t="s">
        <v>2</v>
      </c>
      <c r="Y152" s="28" t="s">
        <v>2</v>
      </c>
      <c r="Z152" s="28" t="s">
        <v>2</v>
      </c>
      <c r="AA152" s="28" t="s">
        <v>2</v>
      </c>
      <c r="AB152" s="28" t="s">
        <v>2</v>
      </c>
      <c r="AC152" s="28" t="s">
        <v>2</v>
      </c>
      <c r="AD152" s="28" t="s">
        <v>2</v>
      </c>
      <c r="AE152" s="28" t="s">
        <v>2</v>
      </c>
      <c r="AF152" s="28" t="s">
        <v>2</v>
      </c>
      <c r="AG152" s="28" t="s">
        <v>2</v>
      </c>
      <c r="AH152" s="28" t="s">
        <v>2</v>
      </c>
      <c r="AI152" s="28" t="s">
        <v>2</v>
      </c>
      <c r="AJ152" s="28" t="s">
        <v>2</v>
      </c>
      <c r="AK152" s="28" t="s">
        <v>2</v>
      </c>
      <c r="AL152" s="28" t="s">
        <v>2</v>
      </c>
      <c r="AM152" s="28" t="s">
        <v>2</v>
      </c>
      <c r="AN152" s="28" t="s">
        <v>2</v>
      </c>
    </row>
    <row r="153" spans="1:40" ht="15.75" thickBot="1" x14ac:dyDescent="0.3">
      <c r="A153" s="110"/>
      <c r="B153" s="6">
        <f t="shared" si="6"/>
        <v>120</v>
      </c>
      <c r="C153" s="13" t="s">
        <v>62</v>
      </c>
      <c r="D153" s="95"/>
      <c r="E153" s="28" t="s">
        <v>0</v>
      </c>
      <c r="F153" s="28" t="s">
        <v>2</v>
      </c>
      <c r="G153" s="28" t="s">
        <v>2</v>
      </c>
      <c r="H153" s="28" t="s">
        <v>0</v>
      </c>
      <c r="I153" s="28" t="s">
        <v>2</v>
      </c>
      <c r="J153" s="28" t="s">
        <v>2</v>
      </c>
      <c r="K153" s="28" t="s">
        <v>2</v>
      </c>
      <c r="L153" s="28" t="s">
        <v>2</v>
      </c>
      <c r="M153" s="28" t="s">
        <v>2</v>
      </c>
      <c r="N153" s="28" t="s">
        <v>2</v>
      </c>
      <c r="O153" s="28" t="s">
        <v>2</v>
      </c>
      <c r="P153" s="28" t="s">
        <v>2</v>
      </c>
      <c r="Q153" s="28" t="s">
        <v>2</v>
      </c>
      <c r="R153" s="28" t="s">
        <v>2</v>
      </c>
      <c r="S153" s="28" t="s">
        <v>2</v>
      </c>
      <c r="T153" s="28" t="s">
        <v>2</v>
      </c>
      <c r="U153" s="28" t="s">
        <v>0</v>
      </c>
      <c r="V153" s="28" t="s">
        <v>2</v>
      </c>
      <c r="W153" s="28" t="s">
        <v>2</v>
      </c>
      <c r="X153" s="28" t="s">
        <v>2</v>
      </c>
      <c r="Y153" s="28" t="s">
        <v>2</v>
      </c>
      <c r="Z153" s="28" t="s">
        <v>2</v>
      </c>
      <c r="AA153" s="28" t="s">
        <v>2</v>
      </c>
      <c r="AB153" s="28" t="s">
        <v>2</v>
      </c>
      <c r="AC153" s="28" t="s">
        <v>2</v>
      </c>
      <c r="AD153" s="28" t="s">
        <v>2</v>
      </c>
      <c r="AE153" s="28" t="s">
        <v>2</v>
      </c>
      <c r="AF153" s="28" t="s">
        <v>2</v>
      </c>
      <c r="AG153" s="28" t="s">
        <v>2</v>
      </c>
      <c r="AH153" s="28" t="s">
        <v>2</v>
      </c>
      <c r="AI153" s="28" t="s">
        <v>2</v>
      </c>
      <c r="AJ153" s="28" t="s">
        <v>2</v>
      </c>
      <c r="AK153" s="28" t="s">
        <v>2</v>
      </c>
      <c r="AL153" s="28" t="s">
        <v>2</v>
      </c>
      <c r="AM153" s="28" t="s">
        <v>2</v>
      </c>
      <c r="AN153" s="28" t="s">
        <v>2</v>
      </c>
    </row>
    <row r="154" spans="1:40" ht="15.75" thickBot="1" x14ac:dyDescent="0.3">
      <c r="A154" s="110"/>
      <c r="B154" s="6">
        <f t="shared" si="6"/>
        <v>121</v>
      </c>
      <c r="C154" s="13" t="s">
        <v>103</v>
      </c>
      <c r="D154" s="95"/>
      <c r="E154" s="28" t="s">
        <v>0</v>
      </c>
      <c r="F154" s="28" t="s">
        <v>2</v>
      </c>
      <c r="G154" s="28" t="s">
        <v>2</v>
      </c>
      <c r="H154" s="28" t="s">
        <v>0</v>
      </c>
      <c r="I154" s="28" t="s">
        <v>2</v>
      </c>
      <c r="J154" s="28" t="s">
        <v>2</v>
      </c>
      <c r="K154" s="28" t="s">
        <v>2</v>
      </c>
      <c r="L154" s="28" t="s">
        <v>2</v>
      </c>
      <c r="M154" s="28" t="s">
        <v>2</v>
      </c>
      <c r="N154" s="28" t="s">
        <v>2</v>
      </c>
      <c r="O154" s="28" t="s">
        <v>2</v>
      </c>
      <c r="P154" s="28" t="s">
        <v>2</v>
      </c>
      <c r="Q154" s="28" t="s">
        <v>2</v>
      </c>
      <c r="R154" s="28" t="s">
        <v>2</v>
      </c>
      <c r="S154" s="28" t="s">
        <v>2</v>
      </c>
      <c r="T154" s="28" t="s">
        <v>2</v>
      </c>
      <c r="U154" s="28" t="s">
        <v>2</v>
      </c>
      <c r="V154" s="28" t="s">
        <v>2</v>
      </c>
      <c r="W154" s="28" t="s">
        <v>2</v>
      </c>
      <c r="X154" s="28" t="s">
        <v>2</v>
      </c>
      <c r="Y154" s="28" t="s">
        <v>2</v>
      </c>
      <c r="Z154" s="28" t="s">
        <v>2</v>
      </c>
      <c r="AA154" s="28" t="s">
        <v>2</v>
      </c>
      <c r="AB154" s="28" t="s">
        <v>2</v>
      </c>
      <c r="AC154" s="28" t="s">
        <v>2</v>
      </c>
      <c r="AD154" s="28" t="s">
        <v>2</v>
      </c>
      <c r="AE154" s="28" t="s">
        <v>2</v>
      </c>
      <c r="AF154" s="28" t="s">
        <v>2</v>
      </c>
      <c r="AG154" s="28" t="s">
        <v>2</v>
      </c>
      <c r="AH154" s="28" t="s">
        <v>2</v>
      </c>
      <c r="AI154" s="28" t="s">
        <v>2</v>
      </c>
      <c r="AJ154" s="28" t="s">
        <v>2</v>
      </c>
      <c r="AK154" s="28" t="s">
        <v>2</v>
      </c>
      <c r="AL154" s="28" t="s">
        <v>2</v>
      </c>
      <c r="AM154" s="28" t="s">
        <v>2</v>
      </c>
      <c r="AN154" s="28" t="s">
        <v>2</v>
      </c>
    </row>
    <row r="155" spans="1:40" ht="15.75" thickBot="1" x14ac:dyDescent="0.3">
      <c r="A155" s="110"/>
      <c r="B155" s="6">
        <f t="shared" si="6"/>
        <v>122</v>
      </c>
      <c r="C155" s="13" t="s">
        <v>104</v>
      </c>
      <c r="D155" s="95"/>
      <c r="E155" s="28" t="s">
        <v>0</v>
      </c>
      <c r="F155" s="28" t="s">
        <v>2</v>
      </c>
      <c r="G155" s="28" t="s">
        <v>2</v>
      </c>
      <c r="H155" s="28" t="s">
        <v>0</v>
      </c>
      <c r="I155" s="28" t="s">
        <v>2</v>
      </c>
      <c r="J155" s="28" t="s">
        <v>2</v>
      </c>
      <c r="K155" s="28" t="s">
        <v>2</v>
      </c>
      <c r="L155" s="28" t="s">
        <v>2</v>
      </c>
      <c r="M155" s="28" t="s">
        <v>2</v>
      </c>
      <c r="N155" s="28" t="s">
        <v>2</v>
      </c>
      <c r="O155" s="28" t="s">
        <v>2</v>
      </c>
      <c r="P155" s="28" t="s">
        <v>2</v>
      </c>
      <c r="Q155" s="28" t="s">
        <v>2</v>
      </c>
      <c r="R155" s="28" t="s">
        <v>2</v>
      </c>
      <c r="S155" s="28" t="s">
        <v>2</v>
      </c>
      <c r="T155" s="28" t="s">
        <v>2</v>
      </c>
      <c r="U155" s="28" t="s">
        <v>2</v>
      </c>
      <c r="V155" s="28" t="s">
        <v>2</v>
      </c>
      <c r="W155" s="28" t="s">
        <v>2</v>
      </c>
      <c r="X155" s="28" t="s">
        <v>2</v>
      </c>
      <c r="Y155" s="28" t="s">
        <v>2</v>
      </c>
      <c r="Z155" s="28" t="s">
        <v>2</v>
      </c>
      <c r="AA155" s="28" t="s">
        <v>2</v>
      </c>
      <c r="AB155" s="28" t="s">
        <v>2</v>
      </c>
      <c r="AC155" s="28" t="s">
        <v>2</v>
      </c>
      <c r="AD155" s="28" t="s">
        <v>2</v>
      </c>
      <c r="AE155" s="28" t="s">
        <v>2</v>
      </c>
      <c r="AF155" s="28" t="s">
        <v>2</v>
      </c>
      <c r="AG155" s="28" t="s">
        <v>2</v>
      </c>
      <c r="AH155" s="28" t="s">
        <v>2</v>
      </c>
      <c r="AI155" s="28" t="s">
        <v>2</v>
      </c>
      <c r="AJ155" s="28" t="s">
        <v>2</v>
      </c>
      <c r="AK155" s="28" t="s">
        <v>2</v>
      </c>
      <c r="AL155" s="28" t="s">
        <v>2</v>
      </c>
      <c r="AM155" s="28" t="s">
        <v>2</v>
      </c>
      <c r="AN155" s="28" t="s">
        <v>2</v>
      </c>
    </row>
    <row r="156" spans="1:40" ht="15.75" thickBot="1" x14ac:dyDescent="0.3">
      <c r="A156" s="110"/>
      <c r="B156" s="6">
        <f>+ B155+1</f>
        <v>123</v>
      </c>
      <c r="C156" s="13" t="s">
        <v>105</v>
      </c>
      <c r="D156" s="95"/>
      <c r="E156" s="28" t="s">
        <v>0</v>
      </c>
      <c r="F156" s="28" t="s">
        <v>2</v>
      </c>
      <c r="G156" s="28" t="s">
        <v>2</v>
      </c>
      <c r="H156" s="28" t="s">
        <v>0</v>
      </c>
      <c r="I156" s="28" t="s">
        <v>2</v>
      </c>
      <c r="J156" s="28" t="s">
        <v>2</v>
      </c>
      <c r="K156" s="28" t="s">
        <v>2</v>
      </c>
      <c r="L156" s="28" t="s">
        <v>2</v>
      </c>
      <c r="M156" s="28" t="s">
        <v>2</v>
      </c>
      <c r="N156" s="28" t="s">
        <v>2</v>
      </c>
      <c r="O156" s="28" t="s">
        <v>2</v>
      </c>
      <c r="P156" s="28" t="s">
        <v>2</v>
      </c>
      <c r="Q156" s="28" t="s">
        <v>2</v>
      </c>
      <c r="R156" s="28" t="s">
        <v>2</v>
      </c>
      <c r="S156" s="28" t="s">
        <v>2</v>
      </c>
      <c r="T156" s="28" t="s">
        <v>2</v>
      </c>
      <c r="U156" s="28" t="s">
        <v>2</v>
      </c>
      <c r="V156" s="28" t="s">
        <v>2</v>
      </c>
      <c r="W156" s="28" t="s">
        <v>2</v>
      </c>
      <c r="X156" s="28" t="s">
        <v>2</v>
      </c>
      <c r="Y156" s="28" t="s">
        <v>2</v>
      </c>
      <c r="Z156" s="28" t="s">
        <v>2</v>
      </c>
      <c r="AA156" s="28" t="s">
        <v>2</v>
      </c>
      <c r="AB156" s="28" t="s">
        <v>0</v>
      </c>
      <c r="AC156" s="28" t="s">
        <v>2</v>
      </c>
      <c r="AD156" s="28" t="s">
        <v>2</v>
      </c>
      <c r="AE156" s="28" t="s">
        <v>2</v>
      </c>
      <c r="AF156" s="28" t="s">
        <v>2</v>
      </c>
      <c r="AG156" s="28" t="s">
        <v>2</v>
      </c>
      <c r="AH156" s="28" t="s">
        <v>2</v>
      </c>
      <c r="AI156" s="28" t="s">
        <v>2</v>
      </c>
      <c r="AJ156" s="28" t="s">
        <v>2</v>
      </c>
      <c r="AK156" s="28" t="s">
        <v>2</v>
      </c>
      <c r="AL156" s="28" t="s">
        <v>2</v>
      </c>
      <c r="AM156" s="28" t="s">
        <v>2</v>
      </c>
      <c r="AN156" s="28" t="s">
        <v>2</v>
      </c>
    </row>
    <row r="157" spans="1:40" ht="15.75" thickBot="1" x14ac:dyDescent="0.3">
      <c r="A157" s="111"/>
      <c r="B157" s="8">
        <f>+B156+1</f>
        <v>124</v>
      </c>
      <c r="C157" s="18" t="s">
        <v>78</v>
      </c>
      <c r="D157" s="100"/>
      <c r="E157" s="28" t="s">
        <v>0</v>
      </c>
      <c r="F157" s="28" t="s">
        <v>2</v>
      </c>
      <c r="G157" s="28" t="s">
        <v>2</v>
      </c>
      <c r="H157" s="28" t="s">
        <v>0</v>
      </c>
      <c r="I157" s="28" t="s">
        <v>2</v>
      </c>
      <c r="J157" s="28" t="s">
        <v>2</v>
      </c>
      <c r="K157" s="28" t="s">
        <v>2</v>
      </c>
      <c r="L157" s="28" t="s">
        <v>2</v>
      </c>
      <c r="M157" s="28" t="s">
        <v>2</v>
      </c>
      <c r="N157" s="28" t="s">
        <v>2</v>
      </c>
      <c r="O157" s="28" t="s">
        <v>2</v>
      </c>
      <c r="P157" s="28" t="s">
        <v>0</v>
      </c>
      <c r="Q157" s="28" t="s">
        <v>2</v>
      </c>
      <c r="R157" s="28" t="s">
        <v>2</v>
      </c>
      <c r="S157" s="28" t="s">
        <v>2</v>
      </c>
      <c r="T157" s="28" t="s">
        <v>2</v>
      </c>
      <c r="U157" s="28" t="s">
        <v>2</v>
      </c>
      <c r="V157" s="28" t="s">
        <v>2</v>
      </c>
      <c r="W157" s="28" t="s">
        <v>2</v>
      </c>
      <c r="X157" s="28" t="s">
        <v>2</v>
      </c>
      <c r="Y157" s="28" t="s">
        <v>2</v>
      </c>
      <c r="Z157" s="28" t="s">
        <v>2</v>
      </c>
      <c r="AA157" s="28" t="s">
        <v>2</v>
      </c>
      <c r="AB157" s="28" t="s">
        <v>2</v>
      </c>
      <c r="AC157" s="28" t="s">
        <v>2</v>
      </c>
      <c r="AD157" s="28" t="s">
        <v>2</v>
      </c>
      <c r="AE157" s="28" t="s">
        <v>2</v>
      </c>
      <c r="AF157" s="28" t="s">
        <v>2</v>
      </c>
      <c r="AG157" s="28" t="s">
        <v>2</v>
      </c>
      <c r="AH157" s="28" t="s">
        <v>2</v>
      </c>
      <c r="AI157" s="28" t="s">
        <v>2</v>
      </c>
      <c r="AJ157" s="28" t="s">
        <v>2</v>
      </c>
      <c r="AK157" s="28" t="s">
        <v>2</v>
      </c>
      <c r="AL157" s="28" t="s">
        <v>2</v>
      </c>
      <c r="AM157" s="28" t="s">
        <v>2</v>
      </c>
      <c r="AN157" s="28" t="s">
        <v>2</v>
      </c>
    </row>
    <row r="158" spans="1:40" ht="15.75" thickBot="1" x14ac:dyDescent="0.3">
      <c r="A158" s="112" t="s">
        <v>109</v>
      </c>
      <c r="B158" s="2">
        <f>+B157+1</f>
        <v>125</v>
      </c>
      <c r="C158" s="12" t="s">
        <v>110</v>
      </c>
      <c r="D158" s="94"/>
      <c r="E158" s="28" t="s">
        <v>0</v>
      </c>
      <c r="F158" s="28" t="s">
        <v>2</v>
      </c>
      <c r="G158" s="28" t="s">
        <v>2</v>
      </c>
      <c r="H158" s="28" t="s">
        <v>0</v>
      </c>
      <c r="I158" s="28" t="s">
        <v>2</v>
      </c>
      <c r="J158" s="28" t="s">
        <v>2</v>
      </c>
      <c r="K158" s="28" t="s">
        <v>2</v>
      </c>
      <c r="L158" s="28" t="s">
        <v>2</v>
      </c>
      <c r="M158" s="28" t="s">
        <v>2</v>
      </c>
      <c r="N158" s="28" t="s">
        <v>2</v>
      </c>
      <c r="O158" s="28" t="s">
        <v>2</v>
      </c>
      <c r="P158" s="28" t="s">
        <v>2</v>
      </c>
      <c r="Q158" s="28" t="s">
        <v>2</v>
      </c>
      <c r="R158" s="28" t="s">
        <v>0</v>
      </c>
      <c r="S158" s="28" t="s">
        <v>2</v>
      </c>
      <c r="T158" s="28" t="s">
        <v>2</v>
      </c>
      <c r="U158" s="28" t="s">
        <v>2</v>
      </c>
      <c r="V158" s="28" t="s">
        <v>2</v>
      </c>
      <c r="W158" s="28" t="s">
        <v>2</v>
      </c>
      <c r="X158" s="28" t="s">
        <v>2</v>
      </c>
      <c r="Y158" s="28" t="s">
        <v>2</v>
      </c>
      <c r="Z158" s="28" t="s">
        <v>2</v>
      </c>
      <c r="AA158" s="28" t="s">
        <v>2</v>
      </c>
      <c r="AB158" s="28" t="s">
        <v>2</v>
      </c>
      <c r="AC158" s="28" t="s">
        <v>2</v>
      </c>
      <c r="AD158" s="28" t="s">
        <v>2</v>
      </c>
      <c r="AE158" s="28" t="s">
        <v>2</v>
      </c>
      <c r="AF158" s="28" t="s">
        <v>2</v>
      </c>
      <c r="AG158" s="28" t="s">
        <v>2</v>
      </c>
      <c r="AH158" s="28" t="s">
        <v>2</v>
      </c>
      <c r="AI158" s="28" t="s">
        <v>2</v>
      </c>
      <c r="AJ158" s="28" t="s">
        <v>2</v>
      </c>
      <c r="AK158" s="28" t="s">
        <v>2</v>
      </c>
      <c r="AL158" s="28" t="s">
        <v>2</v>
      </c>
      <c r="AM158" s="28" t="s">
        <v>2</v>
      </c>
      <c r="AN158" s="28" t="s">
        <v>2</v>
      </c>
    </row>
    <row r="159" spans="1:40" ht="15.75" thickBot="1" x14ac:dyDescent="0.3">
      <c r="A159" s="110"/>
      <c r="B159" s="3">
        <f t="shared" ref="B159:B167" si="7">+B158+1</f>
        <v>126</v>
      </c>
      <c r="C159" s="14" t="s">
        <v>91</v>
      </c>
      <c r="D159" s="96"/>
      <c r="E159" s="28" t="s">
        <v>0</v>
      </c>
      <c r="F159" s="28" t="s">
        <v>2</v>
      </c>
      <c r="G159" s="28" t="s">
        <v>2</v>
      </c>
      <c r="H159" s="28" t="s">
        <v>0</v>
      </c>
      <c r="I159" s="28" t="s">
        <v>2</v>
      </c>
      <c r="J159" s="28" t="s">
        <v>2</v>
      </c>
      <c r="K159" s="28" t="s">
        <v>2</v>
      </c>
      <c r="L159" s="28" t="s">
        <v>2</v>
      </c>
      <c r="M159" s="28" t="s">
        <v>2</v>
      </c>
      <c r="N159" s="28" t="s">
        <v>2</v>
      </c>
      <c r="O159" s="28" t="s">
        <v>2</v>
      </c>
      <c r="P159" s="28" t="s">
        <v>2</v>
      </c>
      <c r="Q159" s="28" t="s">
        <v>2</v>
      </c>
      <c r="R159" s="28" t="s">
        <v>2</v>
      </c>
      <c r="S159" s="28" t="s">
        <v>2</v>
      </c>
      <c r="T159" s="28" t="s">
        <v>2</v>
      </c>
      <c r="U159" s="28" t="s">
        <v>2</v>
      </c>
      <c r="V159" s="28" t="s">
        <v>2</v>
      </c>
      <c r="W159" s="28" t="s">
        <v>2</v>
      </c>
      <c r="X159" s="28" t="s">
        <v>2</v>
      </c>
      <c r="Y159" s="28" t="s">
        <v>2</v>
      </c>
      <c r="Z159" s="28" t="s">
        <v>2</v>
      </c>
      <c r="AA159" s="28" t="s">
        <v>2</v>
      </c>
      <c r="AB159" s="28" t="s">
        <v>2</v>
      </c>
      <c r="AC159" s="28" t="s">
        <v>2</v>
      </c>
      <c r="AD159" s="28" t="s">
        <v>2</v>
      </c>
      <c r="AE159" s="28" t="s">
        <v>2</v>
      </c>
      <c r="AF159" s="28" t="s">
        <v>2</v>
      </c>
      <c r="AG159" s="28" t="s">
        <v>2</v>
      </c>
      <c r="AH159" s="28" t="s">
        <v>2</v>
      </c>
      <c r="AI159" s="28" t="s">
        <v>2</v>
      </c>
      <c r="AJ159" s="28" t="s">
        <v>2</v>
      </c>
      <c r="AK159" s="28" t="s">
        <v>2</v>
      </c>
      <c r="AL159" s="28" t="s">
        <v>2</v>
      </c>
      <c r="AM159" s="28" t="s">
        <v>2</v>
      </c>
      <c r="AN159" s="28" t="s">
        <v>2</v>
      </c>
    </row>
    <row r="160" spans="1:40" ht="15.75" thickBot="1" x14ac:dyDescent="0.3">
      <c r="A160" s="110"/>
      <c r="B160" s="3">
        <f>+B159+1</f>
        <v>127</v>
      </c>
      <c r="C160" s="13" t="s">
        <v>45</v>
      </c>
      <c r="D160" s="95"/>
      <c r="E160" s="28" t="s">
        <v>0</v>
      </c>
      <c r="F160" s="28" t="s">
        <v>2</v>
      </c>
      <c r="G160" s="28" t="s">
        <v>2</v>
      </c>
      <c r="H160" s="28" t="s">
        <v>0</v>
      </c>
      <c r="I160" s="28" t="s">
        <v>2</v>
      </c>
      <c r="J160" s="28" t="s">
        <v>2</v>
      </c>
      <c r="K160" s="28" t="s">
        <v>2</v>
      </c>
      <c r="L160" s="28" t="s">
        <v>2</v>
      </c>
      <c r="M160" s="28" t="s">
        <v>2</v>
      </c>
      <c r="N160" s="28" t="s">
        <v>2</v>
      </c>
      <c r="O160" s="28" t="s">
        <v>2</v>
      </c>
      <c r="P160" s="28" t="s">
        <v>2</v>
      </c>
      <c r="Q160" s="28" t="s">
        <v>2</v>
      </c>
      <c r="R160" s="28" t="s">
        <v>2</v>
      </c>
      <c r="S160" s="28" t="s">
        <v>2</v>
      </c>
      <c r="T160" s="28" t="s">
        <v>2</v>
      </c>
      <c r="U160" s="28" t="s">
        <v>2</v>
      </c>
      <c r="V160" s="28" t="s">
        <v>2</v>
      </c>
      <c r="W160" s="28" t="s">
        <v>2</v>
      </c>
      <c r="X160" s="28" t="s">
        <v>2</v>
      </c>
      <c r="Y160" s="28" t="s">
        <v>2</v>
      </c>
      <c r="Z160" s="28" t="s">
        <v>2</v>
      </c>
      <c r="AA160" s="28" t="s">
        <v>2</v>
      </c>
      <c r="AB160" s="28" t="s">
        <v>2</v>
      </c>
      <c r="AC160" s="28" t="s">
        <v>2</v>
      </c>
      <c r="AD160" s="28" t="s">
        <v>2</v>
      </c>
      <c r="AE160" s="28" t="s">
        <v>2</v>
      </c>
      <c r="AF160" s="28" t="s">
        <v>2</v>
      </c>
      <c r="AG160" s="28" t="s">
        <v>2</v>
      </c>
      <c r="AH160" s="28" t="s">
        <v>2</v>
      </c>
      <c r="AI160" s="28" t="s">
        <v>2</v>
      </c>
      <c r="AJ160" s="28" t="s">
        <v>2</v>
      </c>
      <c r="AK160" s="28" t="s">
        <v>2</v>
      </c>
      <c r="AL160" s="28" t="s">
        <v>2</v>
      </c>
      <c r="AM160" s="28" t="s">
        <v>2</v>
      </c>
      <c r="AN160" s="28" t="s">
        <v>2</v>
      </c>
    </row>
    <row r="161" spans="1:40" ht="15.75" thickBot="1" x14ac:dyDescent="0.3">
      <c r="A161" s="110"/>
      <c r="B161" s="3">
        <f t="shared" si="7"/>
        <v>128</v>
      </c>
      <c r="C161" s="13" t="s">
        <v>46</v>
      </c>
      <c r="D161" s="95"/>
      <c r="E161" s="28" t="s">
        <v>0</v>
      </c>
      <c r="F161" s="28" t="s">
        <v>2</v>
      </c>
      <c r="G161" s="28" t="s">
        <v>2</v>
      </c>
      <c r="H161" s="28" t="s">
        <v>0</v>
      </c>
      <c r="I161" s="28" t="s">
        <v>2</v>
      </c>
      <c r="J161" s="28" t="s">
        <v>2</v>
      </c>
      <c r="K161" s="28" t="s">
        <v>2</v>
      </c>
      <c r="L161" s="28" t="s">
        <v>2</v>
      </c>
      <c r="M161" s="28" t="s">
        <v>2</v>
      </c>
      <c r="N161" s="28" t="s">
        <v>2</v>
      </c>
      <c r="O161" s="28" t="s">
        <v>2</v>
      </c>
      <c r="P161" s="28" t="s">
        <v>2</v>
      </c>
      <c r="Q161" s="28" t="s">
        <v>2</v>
      </c>
      <c r="R161" s="28" t="s">
        <v>2</v>
      </c>
      <c r="S161" s="28" t="s">
        <v>2</v>
      </c>
      <c r="T161" s="28" t="s">
        <v>2</v>
      </c>
      <c r="U161" s="28" t="s">
        <v>2</v>
      </c>
      <c r="V161" s="28" t="s">
        <v>2</v>
      </c>
      <c r="W161" s="28" t="s">
        <v>2</v>
      </c>
      <c r="X161" s="28" t="s">
        <v>2</v>
      </c>
      <c r="Y161" s="28" t="s">
        <v>2</v>
      </c>
      <c r="Z161" s="28" t="s">
        <v>2</v>
      </c>
      <c r="AA161" s="28" t="s">
        <v>2</v>
      </c>
      <c r="AB161" s="28" t="s">
        <v>2</v>
      </c>
      <c r="AC161" s="28" t="s">
        <v>2</v>
      </c>
      <c r="AD161" s="28" t="s">
        <v>2</v>
      </c>
      <c r="AE161" s="28" t="s">
        <v>2</v>
      </c>
      <c r="AF161" s="28" t="s">
        <v>2</v>
      </c>
      <c r="AG161" s="28" t="s">
        <v>2</v>
      </c>
      <c r="AH161" s="28" t="s">
        <v>2</v>
      </c>
      <c r="AI161" s="28" t="s">
        <v>2</v>
      </c>
      <c r="AJ161" s="28" t="s">
        <v>2</v>
      </c>
      <c r="AK161" s="28" t="s">
        <v>2</v>
      </c>
      <c r="AL161" s="28" t="s">
        <v>2</v>
      </c>
      <c r="AM161" s="28" t="s">
        <v>2</v>
      </c>
      <c r="AN161" s="28" t="s">
        <v>2</v>
      </c>
    </row>
    <row r="162" spans="1:40" ht="15.75" thickBot="1" x14ac:dyDescent="0.3">
      <c r="A162" s="110"/>
      <c r="B162" s="3">
        <f t="shared" si="7"/>
        <v>129</v>
      </c>
      <c r="C162" s="13" t="s">
        <v>47</v>
      </c>
      <c r="D162" s="95"/>
      <c r="E162" s="28" t="s">
        <v>0</v>
      </c>
      <c r="F162" s="28" t="s">
        <v>2</v>
      </c>
      <c r="G162" s="28" t="s">
        <v>2</v>
      </c>
      <c r="H162" s="28" t="s">
        <v>0</v>
      </c>
      <c r="I162" s="28" t="s">
        <v>2</v>
      </c>
      <c r="J162" s="28" t="s">
        <v>2</v>
      </c>
      <c r="K162" s="28" t="s">
        <v>2</v>
      </c>
      <c r="L162" s="28" t="s">
        <v>2</v>
      </c>
      <c r="M162" s="28" t="s">
        <v>2</v>
      </c>
      <c r="N162" s="28" t="s">
        <v>2</v>
      </c>
      <c r="O162" s="28" t="s">
        <v>2</v>
      </c>
      <c r="P162" s="28" t="s">
        <v>2</v>
      </c>
      <c r="Q162" s="28" t="s">
        <v>2</v>
      </c>
      <c r="R162" s="28" t="s">
        <v>2</v>
      </c>
      <c r="S162" s="28" t="s">
        <v>2</v>
      </c>
      <c r="T162" s="28" t="s">
        <v>2</v>
      </c>
      <c r="U162" s="28" t="s">
        <v>2</v>
      </c>
      <c r="V162" s="28" t="s">
        <v>2</v>
      </c>
      <c r="W162" s="28" t="s">
        <v>2</v>
      </c>
      <c r="X162" s="28" t="s">
        <v>2</v>
      </c>
      <c r="Y162" s="28" t="s">
        <v>2</v>
      </c>
      <c r="Z162" s="28" t="s">
        <v>2</v>
      </c>
      <c r="AA162" s="28" t="s">
        <v>2</v>
      </c>
      <c r="AB162" s="28" t="s">
        <v>2</v>
      </c>
      <c r="AC162" s="28" t="s">
        <v>2</v>
      </c>
      <c r="AD162" s="28" t="s">
        <v>2</v>
      </c>
      <c r="AE162" s="28" t="s">
        <v>2</v>
      </c>
      <c r="AF162" s="28" t="s">
        <v>2</v>
      </c>
      <c r="AG162" s="28" t="s">
        <v>2</v>
      </c>
      <c r="AH162" s="28" t="s">
        <v>2</v>
      </c>
      <c r="AI162" s="28" t="s">
        <v>2</v>
      </c>
      <c r="AJ162" s="28" t="s">
        <v>2</v>
      </c>
      <c r="AK162" s="28" t="s">
        <v>2</v>
      </c>
      <c r="AL162" s="28" t="s">
        <v>2</v>
      </c>
      <c r="AM162" s="28" t="s">
        <v>2</v>
      </c>
      <c r="AN162" s="28" t="s">
        <v>2</v>
      </c>
    </row>
    <row r="163" spans="1:40" ht="15.75" thickBot="1" x14ac:dyDescent="0.3">
      <c r="A163" s="110"/>
      <c r="B163" s="3">
        <f>+B162+1</f>
        <v>130</v>
      </c>
      <c r="C163" s="13" t="s">
        <v>51</v>
      </c>
      <c r="D163" s="95"/>
      <c r="E163" s="28" t="s">
        <v>0</v>
      </c>
      <c r="F163" s="28" t="s">
        <v>2</v>
      </c>
      <c r="G163" s="28" t="s">
        <v>2</v>
      </c>
      <c r="H163" s="28" t="s">
        <v>0</v>
      </c>
      <c r="I163" s="28" t="s">
        <v>2</v>
      </c>
      <c r="J163" s="28" t="s">
        <v>2</v>
      </c>
      <c r="K163" s="28" t="s">
        <v>2</v>
      </c>
      <c r="L163" s="28" t="s">
        <v>2</v>
      </c>
      <c r="M163" s="28" t="s">
        <v>2</v>
      </c>
      <c r="N163" s="28" t="s">
        <v>2</v>
      </c>
      <c r="O163" s="28" t="s">
        <v>2</v>
      </c>
      <c r="P163" s="28" t="s">
        <v>2</v>
      </c>
      <c r="Q163" s="28" t="s">
        <v>2</v>
      </c>
      <c r="R163" s="28" t="s">
        <v>2</v>
      </c>
      <c r="S163" s="28" t="s">
        <v>2</v>
      </c>
      <c r="T163" s="28" t="s">
        <v>2</v>
      </c>
      <c r="U163" s="28" t="s">
        <v>2</v>
      </c>
      <c r="V163" s="28" t="s">
        <v>2</v>
      </c>
      <c r="W163" s="28" t="s">
        <v>2</v>
      </c>
      <c r="X163" s="28" t="s">
        <v>2</v>
      </c>
      <c r="Y163" s="28" t="s">
        <v>2</v>
      </c>
      <c r="Z163" s="28" t="s">
        <v>2</v>
      </c>
      <c r="AA163" s="28" t="s">
        <v>2</v>
      </c>
      <c r="AB163" s="28" t="s">
        <v>2</v>
      </c>
      <c r="AC163" s="28" t="s">
        <v>2</v>
      </c>
      <c r="AD163" s="28" t="s">
        <v>2</v>
      </c>
      <c r="AE163" s="28" t="s">
        <v>2</v>
      </c>
      <c r="AF163" s="28" t="s">
        <v>2</v>
      </c>
      <c r="AG163" s="28" t="s">
        <v>2</v>
      </c>
      <c r="AH163" s="28" t="s">
        <v>2</v>
      </c>
      <c r="AI163" s="28" t="s">
        <v>2</v>
      </c>
      <c r="AJ163" s="28" t="s">
        <v>2</v>
      </c>
      <c r="AK163" s="28" t="s">
        <v>2</v>
      </c>
      <c r="AL163" s="28" t="s">
        <v>2</v>
      </c>
      <c r="AM163" s="28" t="s">
        <v>2</v>
      </c>
      <c r="AN163" s="28" t="s">
        <v>2</v>
      </c>
    </row>
    <row r="164" spans="1:40" ht="15.75" thickBot="1" x14ac:dyDescent="0.3">
      <c r="A164" s="110"/>
      <c r="B164" s="3">
        <f>+B163+1</f>
        <v>131</v>
      </c>
      <c r="C164" s="13" t="s">
        <v>59</v>
      </c>
      <c r="D164" s="95"/>
      <c r="E164" s="28" t="s">
        <v>0</v>
      </c>
      <c r="F164" s="28" t="s">
        <v>2</v>
      </c>
      <c r="G164" s="28" t="s">
        <v>2</v>
      </c>
      <c r="H164" s="28" t="s">
        <v>0</v>
      </c>
      <c r="I164" s="28" t="s">
        <v>2</v>
      </c>
      <c r="J164" s="28" t="s">
        <v>2</v>
      </c>
      <c r="K164" s="28" t="s">
        <v>2</v>
      </c>
      <c r="L164" s="28" t="s">
        <v>2</v>
      </c>
      <c r="M164" s="28" t="s">
        <v>0</v>
      </c>
      <c r="N164" s="28" t="s">
        <v>2</v>
      </c>
      <c r="O164" s="28" t="s">
        <v>2</v>
      </c>
      <c r="P164" s="28" t="s">
        <v>0</v>
      </c>
      <c r="Q164" s="28" t="s">
        <v>2</v>
      </c>
      <c r="R164" s="28" t="s">
        <v>2</v>
      </c>
      <c r="S164" s="28" t="s">
        <v>2</v>
      </c>
      <c r="T164" s="28" t="s">
        <v>2</v>
      </c>
      <c r="U164" s="28" t="s">
        <v>2</v>
      </c>
      <c r="V164" s="28" t="s">
        <v>2</v>
      </c>
      <c r="W164" s="28" t="s">
        <v>2</v>
      </c>
      <c r="X164" s="28" t="s">
        <v>2</v>
      </c>
      <c r="Y164" s="28" t="s">
        <v>2</v>
      </c>
      <c r="Z164" s="28" t="s">
        <v>2</v>
      </c>
      <c r="AA164" s="28" t="s">
        <v>2</v>
      </c>
      <c r="AB164" s="28" t="s">
        <v>2</v>
      </c>
      <c r="AC164" s="28" t="s">
        <v>2</v>
      </c>
      <c r="AD164" s="28" t="s">
        <v>2</v>
      </c>
      <c r="AE164" s="28" t="s">
        <v>2</v>
      </c>
      <c r="AF164" s="28" t="s">
        <v>2</v>
      </c>
      <c r="AG164" s="28" t="s">
        <v>2</v>
      </c>
      <c r="AH164" s="28" t="s">
        <v>2</v>
      </c>
      <c r="AI164" s="28" t="s">
        <v>2</v>
      </c>
      <c r="AJ164" s="28" t="s">
        <v>2</v>
      </c>
      <c r="AK164" s="28" t="s">
        <v>2</v>
      </c>
      <c r="AL164" s="28" t="s">
        <v>2</v>
      </c>
      <c r="AM164" s="28" t="s">
        <v>2</v>
      </c>
      <c r="AN164" s="28" t="s">
        <v>2</v>
      </c>
    </row>
    <row r="165" spans="1:40" ht="15.75" thickBot="1" x14ac:dyDescent="0.3">
      <c r="A165" s="110"/>
      <c r="B165" s="3">
        <f t="shared" si="7"/>
        <v>132</v>
      </c>
      <c r="C165" s="13" t="s">
        <v>61</v>
      </c>
      <c r="D165" s="95"/>
      <c r="E165" s="28" t="s">
        <v>0</v>
      </c>
      <c r="F165" s="28" t="s">
        <v>2</v>
      </c>
      <c r="G165" s="28" t="s">
        <v>2</v>
      </c>
      <c r="H165" s="28" t="s">
        <v>0</v>
      </c>
      <c r="I165" s="28" t="s">
        <v>2</v>
      </c>
      <c r="J165" s="28" t="s">
        <v>2</v>
      </c>
      <c r="K165" s="28" t="s">
        <v>2</v>
      </c>
      <c r="L165" s="28" t="s">
        <v>2</v>
      </c>
      <c r="M165" s="28" t="s">
        <v>2</v>
      </c>
      <c r="N165" s="28" t="s">
        <v>2</v>
      </c>
      <c r="O165" s="28" t="s">
        <v>2</v>
      </c>
      <c r="P165" s="28" t="s">
        <v>2</v>
      </c>
      <c r="Q165" s="28" t="s">
        <v>2</v>
      </c>
      <c r="R165" s="28" t="s">
        <v>2</v>
      </c>
      <c r="S165" s="28" t="s">
        <v>2</v>
      </c>
      <c r="T165" s="28" t="s">
        <v>2</v>
      </c>
      <c r="U165" s="28" t="s">
        <v>2</v>
      </c>
      <c r="V165" s="28" t="s">
        <v>2</v>
      </c>
      <c r="W165" s="28" t="s">
        <v>2</v>
      </c>
      <c r="X165" s="28" t="s">
        <v>2</v>
      </c>
      <c r="Y165" s="28" t="s">
        <v>2</v>
      </c>
      <c r="Z165" s="28" t="s">
        <v>2</v>
      </c>
      <c r="AA165" s="28" t="s">
        <v>2</v>
      </c>
      <c r="AB165" s="28" t="s">
        <v>2</v>
      </c>
      <c r="AC165" s="28" t="s">
        <v>2</v>
      </c>
      <c r="AD165" s="28" t="s">
        <v>2</v>
      </c>
      <c r="AE165" s="28" t="s">
        <v>2</v>
      </c>
      <c r="AF165" s="28" t="s">
        <v>2</v>
      </c>
      <c r="AG165" s="28" t="s">
        <v>2</v>
      </c>
      <c r="AH165" s="28" t="s">
        <v>2</v>
      </c>
      <c r="AI165" s="28" t="s">
        <v>2</v>
      </c>
      <c r="AJ165" s="28" t="s">
        <v>2</v>
      </c>
      <c r="AK165" s="28" t="s">
        <v>2</v>
      </c>
      <c r="AL165" s="28" t="s">
        <v>2</v>
      </c>
      <c r="AM165" s="28" t="s">
        <v>2</v>
      </c>
      <c r="AN165" s="28" t="s">
        <v>2</v>
      </c>
    </row>
    <row r="166" spans="1:40" ht="15.75" thickBot="1" x14ac:dyDescent="0.3">
      <c r="A166" s="110"/>
      <c r="B166" s="3">
        <f t="shared" si="7"/>
        <v>133</v>
      </c>
      <c r="C166" s="13" t="s">
        <v>62</v>
      </c>
      <c r="D166" s="95"/>
      <c r="E166" s="28" t="s">
        <v>0</v>
      </c>
      <c r="F166" s="28" t="s">
        <v>2</v>
      </c>
      <c r="G166" s="28" t="s">
        <v>2</v>
      </c>
      <c r="H166" s="28" t="s">
        <v>0</v>
      </c>
      <c r="I166" s="28" t="s">
        <v>2</v>
      </c>
      <c r="J166" s="28" t="s">
        <v>2</v>
      </c>
      <c r="K166" s="28" t="s">
        <v>2</v>
      </c>
      <c r="L166" s="28" t="s">
        <v>2</v>
      </c>
      <c r="M166" s="28" t="s">
        <v>2</v>
      </c>
      <c r="N166" s="28" t="s">
        <v>2</v>
      </c>
      <c r="O166" s="28" t="s">
        <v>2</v>
      </c>
      <c r="P166" s="28" t="s">
        <v>2</v>
      </c>
      <c r="Q166" s="28" t="s">
        <v>2</v>
      </c>
      <c r="R166" s="28" t="s">
        <v>2</v>
      </c>
      <c r="S166" s="28" t="s">
        <v>2</v>
      </c>
      <c r="T166" s="28" t="s">
        <v>2</v>
      </c>
      <c r="U166" s="28" t="s">
        <v>0</v>
      </c>
      <c r="V166" s="28" t="s">
        <v>2</v>
      </c>
      <c r="W166" s="28" t="s">
        <v>2</v>
      </c>
      <c r="X166" s="28" t="s">
        <v>2</v>
      </c>
      <c r="Y166" s="28" t="s">
        <v>2</v>
      </c>
      <c r="Z166" s="28" t="s">
        <v>2</v>
      </c>
      <c r="AA166" s="28" t="s">
        <v>2</v>
      </c>
      <c r="AB166" s="28" t="s">
        <v>2</v>
      </c>
      <c r="AC166" s="28" t="s">
        <v>2</v>
      </c>
      <c r="AD166" s="28" t="s">
        <v>2</v>
      </c>
      <c r="AE166" s="28" t="s">
        <v>2</v>
      </c>
      <c r="AF166" s="28" t="s">
        <v>2</v>
      </c>
      <c r="AG166" s="28" t="s">
        <v>2</v>
      </c>
      <c r="AH166" s="28" t="s">
        <v>2</v>
      </c>
      <c r="AI166" s="28" t="s">
        <v>2</v>
      </c>
      <c r="AJ166" s="28" t="s">
        <v>2</v>
      </c>
      <c r="AK166" s="28" t="s">
        <v>2</v>
      </c>
      <c r="AL166" s="28" t="s">
        <v>2</v>
      </c>
      <c r="AM166" s="28" t="s">
        <v>2</v>
      </c>
      <c r="AN166" s="28" t="s">
        <v>2</v>
      </c>
    </row>
    <row r="167" spans="1:40" ht="15.75" thickBot="1" x14ac:dyDescent="0.3">
      <c r="A167" s="111"/>
      <c r="B167" s="5">
        <f t="shared" si="7"/>
        <v>134</v>
      </c>
      <c r="C167" s="15" t="s">
        <v>64</v>
      </c>
      <c r="D167" s="97"/>
      <c r="E167" s="28" t="s">
        <v>0</v>
      </c>
      <c r="F167" s="28" t="s">
        <v>2</v>
      </c>
      <c r="G167" s="28" t="s">
        <v>2</v>
      </c>
      <c r="H167" s="28" t="s">
        <v>0</v>
      </c>
      <c r="I167" s="28" t="s">
        <v>2</v>
      </c>
      <c r="J167" s="28" t="s">
        <v>2</v>
      </c>
      <c r="K167" s="28" t="s">
        <v>2</v>
      </c>
      <c r="L167" s="28" t="s">
        <v>2</v>
      </c>
      <c r="M167" s="28" t="s">
        <v>2</v>
      </c>
      <c r="N167" s="28" t="s">
        <v>2</v>
      </c>
      <c r="O167" s="28" t="s">
        <v>2</v>
      </c>
      <c r="P167" s="28" t="s">
        <v>0</v>
      </c>
      <c r="Q167" s="28" t="s">
        <v>2</v>
      </c>
      <c r="R167" s="28" t="s">
        <v>2</v>
      </c>
      <c r="S167" s="28" t="s">
        <v>2</v>
      </c>
      <c r="T167" s="28" t="s">
        <v>0</v>
      </c>
      <c r="U167" s="28" t="s">
        <v>0</v>
      </c>
      <c r="V167" s="28" t="s">
        <v>0</v>
      </c>
      <c r="W167" s="28" t="s">
        <v>2</v>
      </c>
      <c r="X167" s="28" t="s">
        <v>2</v>
      </c>
      <c r="Y167" s="28" t="s">
        <v>2</v>
      </c>
      <c r="Z167" s="28" t="s">
        <v>0</v>
      </c>
      <c r="AA167" s="28" t="s">
        <v>2</v>
      </c>
      <c r="AB167" s="28" t="s">
        <v>2</v>
      </c>
      <c r="AC167" s="28" t="s">
        <v>2</v>
      </c>
      <c r="AD167" s="28" t="s">
        <v>2</v>
      </c>
      <c r="AE167" s="28" t="s">
        <v>0</v>
      </c>
      <c r="AF167" s="28" t="s">
        <v>0</v>
      </c>
      <c r="AG167" s="28" t="s">
        <v>2</v>
      </c>
      <c r="AH167" s="28" t="s">
        <v>2</v>
      </c>
      <c r="AI167" s="28" t="s">
        <v>2</v>
      </c>
      <c r="AJ167" s="28" t="s">
        <v>0</v>
      </c>
      <c r="AK167" s="28" t="s">
        <v>2</v>
      </c>
      <c r="AL167" s="28" t="s">
        <v>2</v>
      </c>
      <c r="AM167" s="28" t="s">
        <v>2</v>
      </c>
      <c r="AN167" s="28" t="s">
        <v>2</v>
      </c>
    </row>
    <row r="168" spans="1:40" ht="15.75" thickBot="1" x14ac:dyDescent="0.3">
      <c r="A168" s="112" t="s">
        <v>111</v>
      </c>
      <c r="B168" s="2">
        <f>+B167+1</f>
        <v>135</v>
      </c>
      <c r="C168" s="12" t="s">
        <v>99</v>
      </c>
      <c r="D168" s="94"/>
      <c r="E168" s="28" t="s">
        <v>0</v>
      </c>
      <c r="F168" s="28" t="s">
        <v>2</v>
      </c>
      <c r="G168" s="28" t="s">
        <v>2</v>
      </c>
      <c r="H168" s="28" t="s">
        <v>0</v>
      </c>
      <c r="I168" s="28" t="s">
        <v>2</v>
      </c>
      <c r="J168" s="28" t="s">
        <v>2</v>
      </c>
      <c r="K168" s="28" t="s">
        <v>2</v>
      </c>
      <c r="L168" s="28" t="s">
        <v>2</v>
      </c>
      <c r="M168" s="28" t="s">
        <v>2</v>
      </c>
      <c r="N168" s="28" t="s">
        <v>2</v>
      </c>
      <c r="O168" s="28" t="s">
        <v>2</v>
      </c>
      <c r="P168" s="28" t="s">
        <v>2</v>
      </c>
      <c r="Q168" s="28" t="s">
        <v>2</v>
      </c>
      <c r="R168" s="28" t="s">
        <v>2</v>
      </c>
      <c r="S168" s="28" t="s">
        <v>2</v>
      </c>
      <c r="T168" s="28" t="s">
        <v>2</v>
      </c>
      <c r="U168" s="28" t="s">
        <v>2</v>
      </c>
      <c r="V168" s="28" t="s">
        <v>2</v>
      </c>
      <c r="W168" s="28" t="s">
        <v>2</v>
      </c>
      <c r="X168" s="28" t="s">
        <v>2</v>
      </c>
      <c r="Y168" s="28" t="s">
        <v>2</v>
      </c>
      <c r="Z168" s="28" t="s">
        <v>2</v>
      </c>
      <c r="AA168" s="28" t="s">
        <v>2</v>
      </c>
      <c r="AB168" s="28" t="s">
        <v>2</v>
      </c>
      <c r="AC168" s="28" t="s">
        <v>2</v>
      </c>
      <c r="AD168" s="28" t="s">
        <v>2</v>
      </c>
      <c r="AE168" s="28" t="s">
        <v>2</v>
      </c>
      <c r="AF168" s="28" t="s">
        <v>2</v>
      </c>
      <c r="AG168" s="28" t="s">
        <v>2</v>
      </c>
      <c r="AH168" s="28" t="s">
        <v>2</v>
      </c>
      <c r="AI168" s="28" t="s">
        <v>2</v>
      </c>
      <c r="AJ168" s="28" t="s">
        <v>2</v>
      </c>
      <c r="AK168" s="28" t="s">
        <v>2</v>
      </c>
      <c r="AL168" s="28" t="s">
        <v>2</v>
      </c>
      <c r="AM168" s="28" t="s">
        <v>2</v>
      </c>
      <c r="AN168" s="28" t="s">
        <v>2</v>
      </c>
    </row>
    <row r="169" spans="1:40" ht="15.75" thickBot="1" x14ac:dyDescent="0.3">
      <c r="A169" s="110"/>
      <c r="B169" s="3">
        <f t="shared" ref="B169:B175" si="8">+B168+1</f>
        <v>136</v>
      </c>
      <c r="C169" s="13" t="s">
        <v>100</v>
      </c>
      <c r="D169" s="95"/>
      <c r="E169" s="28" t="s">
        <v>0</v>
      </c>
      <c r="F169" s="28" t="s">
        <v>2</v>
      </c>
      <c r="G169" s="28" t="s">
        <v>2</v>
      </c>
      <c r="H169" s="28" t="s">
        <v>0</v>
      </c>
      <c r="I169" s="28" t="s">
        <v>2</v>
      </c>
      <c r="J169" s="28" t="s">
        <v>2</v>
      </c>
      <c r="K169" s="28" t="s">
        <v>2</v>
      </c>
      <c r="L169" s="28" t="s">
        <v>2</v>
      </c>
      <c r="M169" s="28" t="s">
        <v>2</v>
      </c>
      <c r="N169" s="28" t="s">
        <v>2</v>
      </c>
      <c r="O169" s="28" t="s">
        <v>2</v>
      </c>
      <c r="P169" s="28" t="s">
        <v>2</v>
      </c>
      <c r="Q169" s="28" t="s">
        <v>2</v>
      </c>
      <c r="R169" s="28" t="s">
        <v>2</v>
      </c>
      <c r="S169" s="28" t="s">
        <v>2</v>
      </c>
      <c r="T169" s="28" t="s">
        <v>2</v>
      </c>
      <c r="U169" s="28" t="s">
        <v>2</v>
      </c>
      <c r="V169" s="28" t="s">
        <v>2</v>
      </c>
      <c r="W169" s="28" t="s">
        <v>2</v>
      </c>
      <c r="X169" s="28" t="s">
        <v>2</v>
      </c>
      <c r="Y169" s="28" t="s">
        <v>2</v>
      </c>
      <c r="Z169" s="28" t="s">
        <v>2</v>
      </c>
      <c r="AA169" s="28" t="s">
        <v>2</v>
      </c>
      <c r="AB169" s="28" t="s">
        <v>2</v>
      </c>
      <c r="AC169" s="28" t="s">
        <v>2</v>
      </c>
      <c r="AD169" s="28" t="s">
        <v>2</v>
      </c>
      <c r="AE169" s="28" t="s">
        <v>2</v>
      </c>
      <c r="AF169" s="28" t="s">
        <v>2</v>
      </c>
      <c r="AG169" s="28" t="s">
        <v>2</v>
      </c>
      <c r="AH169" s="28" t="s">
        <v>2</v>
      </c>
      <c r="AI169" s="28" t="s">
        <v>2</v>
      </c>
      <c r="AJ169" s="28" t="s">
        <v>2</v>
      </c>
      <c r="AK169" s="28" t="s">
        <v>2</v>
      </c>
      <c r="AL169" s="28" t="s">
        <v>2</v>
      </c>
      <c r="AM169" s="28" t="s">
        <v>2</v>
      </c>
      <c r="AN169" s="28" t="s">
        <v>2</v>
      </c>
    </row>
    <row r="170" spans="1:40" ht="15.75" thickBot="1" x14ac:dyDescent="0.3">
      <c r="A170" s="110"/>
      <c r="B170" s="3">
        <f>+B169+1</f>
        <v>137</v>
      </c>
      <c r="C170" s="14" t="s">
        <v>42</v>
      </c>
      <c r="D170" s="96"/>
      <c r="E170" s="28" t="s">
        <v>0</v>
      </c>
      <c r="F170" s="28" t="s">
        <v>2</v>
      </c>
      <c r="G170" s="28" t="s">
        <v>2</v>
      </c>
      <c r="H170" s="28" t="s">
        <v>0</v>
      </c>
      <c r="I170" s="28" t="s">
        <v>2</v>
      </c>
      <c r="J170" s="28" t="s">
        <v>2</v>
      </c>
      <c r="K170" s="28" t="s">
        <v>2</v>
      </c>
      <c r="L170" s="28" t="s">
        <v>2</v>
      </c>
      <c r="M170" s="28" t="s">
        <v>2</v>
      </c>
      <c r="N170" s="28" t="s">
        <v>2</v>
      </c>
      <c r="O170" s="28" t="s">
        <v>2</v>
      </c>
      <c r="P170" s="28" t="s">
        <v>2</v>
      </c>
      <c r="Q170" s="28" t="s">
        <v>2</v>
      </c>
      <c r="R170" s="28" t="s">
        <v>2</v>
      </c>
      <c r="S170" s="28" t="s">
        <v>2</v>
      </c>
      <c r="T170" s="28" t="s">
        <v>2</v>
      </c>
      <c r="U170" s="28" t="s">
        <v>2</v>
      </c>
      <c r="V170" s="28" t="s">
        <v>2</v>
      </c>
      <c r="W170" s="28" t="s">
        <v>2</v>
      </c>
      <c r="X170" s="28" t="s">
        <v>2</v>
      </c>
      <c r="Y170" s="28" t="s">
        <v>2</v>
      </c>
      <c r="Z170" s="28" t="s">
        <v>2</v>
      </c>
      <c r="AA170" s="28" t="s">
        <v>2</v>
      </c>
      <c r="AB170" s="28" t="s">
        <v>2</v>
      </c>
      <c r="AC170" s="28" t="s">
        <v>2</v>
      </c>
      <c r="AD170" s="28" t="s">
        <v>2</v>
      </c>
      <c r="AE170" s="28" t="s">
        <v>2</v>
      </c>
      <c r="AF170" s="28" t="s">
        <v>2</v>
      </c>
      <c r="AG170" s="28" t="s">
        <v>2</v>
      </c>
      <c r="AH170" s="28" t="s">
        <v>2</v>
      </c>
      <c r="AI170" s="28" t="s">
        <v>2</v>
      </c>
      <c r="AJ170" s="28" t="s">
        <v>2</v>
      </c>
      <c r="AK170" s="28" t="s">
        <v>2</v>
      </c>
      <c r="AL170" s="28" t="s">
        <v>2</v>
      </c>
      <c r="AM170" s="28" t="s">
        <v>2</v>
      </c>
      <c r="AN170" s="28" t="s">
        <v>2</v>
      </c>
    </row>
    <row r="171" spans="1:40" ht="15.75" thickBot="1" x14ac:dyDescent="0.3">
      <c r="A171" s="110"/>
      <c r="B171" s="6">
        <f t="shared" si="8"/>
        <v>138</v>
      </c>
      <c r="C171" s="13" t="s">
        <v>45</v>
      </c>
      <c r="D171" s="95"/>
      <c r="E171" s="28" t="s">
        <v>0</v>
      </c>
      <c r="F171" s="28" t="s">
        <v>2</v>
      </c>
      <c r="G171" s="28" t="s">
        <v>2</v>
      </c>
      <c r="H171" s="28" t="s">
        <v>0</v>
      </c>
      <c r="I171" s="28" t="s">
        <v>2</v>
      </c>
      <c r="J171" s="28" t="s">
        <v>2</v>
      </c>
      <c r="K171" s="28" t="s">
        <v>2</v>
      </c>
      <c r="L171" s="28" t="s">
        <v>2</v>
      </c>
      <c r="M171" s="28" t="s">
        <v>2</v>
      </c>
      <c r="N171" s="28" t="s">
        <v>2</v>
      </c>
      <c r="O171" s="28" t="s">
        <v>2</v>
      </c>
      <c r="P171" s="28" t="s">
        <v>2</v>
      </c>
      <c r="Q171" s="28" t="s">
        <v>2</v>
      </c>
      <c r="R171" s="28" t="s">
        <v>2</v>
      </c>
      <c r="S171" s="28" t="s">
        <v>2</v>
      </c>
      <c r="T171" s="28" t="s">
        <v>2</v>
      </c>
      <c r="U171" s="28" t="s">
        <v>2</v>
      </c>
      <c r="V171" s="28" t="s">
        <v>2</v>
      </c>
      <c r="W171" s="28" t="s">
        <v>2</v>
      </c>
      <c r="X171" s="28" t="s">
        <v>2</v>
      </c>
      <c r="Y171" s="28" t="s">
        <v>2</v>
      </c>
      <c r="Z171" s="28" t="s">
        <v>2</v>
      </c>
      <c r="AA171" s="28" t="s">
        <v>2</v>
      </c>
      <c r="AB171" s="28" t="s">
        <v>2</v>
      </c>
      <c r="AC171" s="28" t="s">
        <v>2</v>
      </c>
      <c r="AD171" s="28" t="s">
        <v>2</v>
      </c>
      <c r="AE171" s="28" t="s">
        <v>2</v>
      </c>
      <c r="AF171" s="28" t="s">
        <v>2</v>
      </c>
      <c r="AG171" s="28" t="s">
        <v>2</v>
      </c>
      <c r="AH171" s="28" t="s">
        <v>2</v>
      </c>
      <c r="AI171" s="28" t="s">
        <v>2</v>
      </c>
      <c r="AJ171" s="28" t="s">
        <v>2</v>
      </c>
      <c r="AK171" s="28" t="s">
        <v>2</v>
      </c>
      <c r="AL171" s="28" t="s">
        <v>2</v>
      </c>
      <c r="AM171" s="28" t="s">
        <v>2</v>
      </c>
      <c r="AN171" s="28" t="s">
        <v>2</v>
      </c>
    </row>
    <row r="172" spans="1:40" ht="15.75" thickBot="1" x14ac:dyDescent="0.3">
      <c r="A172" s="110"/>
      <c r="B172" s="6">
        <f t="shared" si="8"/>
        <v>139</v>
      </c>
      <c r="C172" s="13" t="s">
        <v>46</v>
      </c>
      <c r="D172" s="95"/>
      <c r="E172" s="28" t="s">
        <v>0</v>
      </c>
      <c r="F172" s="28" t="s">
        <v>2</v>
      </c>
      <c r="G172" s="28" t="s">
        <v>2</v>
      </c>
      <c r="H172" s="28" t="s">
        <v>0</v>
      </c>
      <c r="I172" s="28" t="s">
        <v>2</v>
      </c>
      <c r="J172" s="28" t="s">
        <v>2</v>
      </c>
      <c r="K172" s="28" t="s">
        <v>2</v>
      </c>
      <c r="L172" s="28" t="s">
        <v>2</v>
      </c>
      <c r="M172" s="28" t="s">
        <v>2</v>
      </c>
      <c r="N172" s="28" t="s">
        <v>2</v>
      </c>
      <c r="O172" s="28" t="s">
        <v>2</v>
      </c>
      <c r="P172" s="28" t="s">
        <v>2</v>
      </c>
      <c r="Q172" s="28" t="s">
        <v>2</v>
      </c>
      <c r="R172" s="28" t="s">
        <v>2</v>
      </c>
      <c r="S172" s="28" t="s">
        <v>2</v>
      </c>
      <c r="T172" s="28" t="s">
        <v>2</v>
      </c>
      <c r="U172" s="28" t="s">
        <v>2</v>
      </c>
      <c r="V172" s="28" t="s">
        <v>2</v>
      </c>
      <c r="W172" s="28" t="s">
        <v>2</v>
      </c>
      <c r="X172" s="28" t="s">
        <v>2</v>
      </c>
      <c r="Y172" s="28" t="s">
        <v>2</v>
      </c>
      <c r="Z172" s="28" t="s">
        <v>2</v>
      </c>
      <c r="AA172" s="28" t="s">
        <v>2</v>
      </c>
      <c r="AB172" s="28" t="s">
        <v>2</v>
      </c>
      <c r="AC172" s="28" t="s">
        <v>2</v>
      </c>
      <c r="AD172" s="28" t="s">
        <v>2</v>
      </c>
      <c r="AE172" s="28" t="s">
        <v>2</v>
      </c>
      <c r="AF172" s="28" t="s">
        <v>2</v>
      </c>
      <c r="AG172" s="28" t="s">
        <v>2</v>
      </c>
      <c r="AH172" s="28" t="s">
        <v>2</v>
      </c>
      <c r="AI172" s="28" t="s">
        <v>2</v>
      </c>
      <c r="AJ172" s="28" t="s">
        <v>2</v>
      </c>
      <c r="AK172" s="28" t="s">
        <v>2</v>
      </c>
      <c r="AL172" s="28" t="s">
        <v>2</v>
      </c>
      <c r="AM172" s="28" t="s">
        <v>2</v>
      </c>
      <c r="AN172" s="28" t="s">
        <v>2</v>
      </c>
    </row>
    <row r="173" spans="1:40" ht="15.75" thickBot="1" x14ac:dyDescent="0.3">
      <c r="A173" s="110"/>
      <c r="B173" s="6">
        <f t="shared" si="8"/>
        <v>140</v>
      </c>
      <c r="C173" s="13" t="s">
        <v>59</v>
      </c>
      <c r="D173" s="95"/>
      <c r="E173" s="28" t="s">
        <v>0</v>
      </c>
      <c r="F173" s="28" t="s">
        <v>2</v>
      </c>
      <c r="G173" s="28" t="s">
        <v>2</v>
      </c>
      <c r="H173" s="28" t="s">
        <v>0</v>
      </c>
      <c r="I173" s="28" t="s">
        <v>2</v>
      </c>
      <c r="J173" s="28" t="s">
        <v>2</v>
      </c>
      <c r="K173" s="28" t="s">
        <v>2</v>
      </c>
      <c r="L173" s="28" t="s">
        <v>2</v>
      </c>
      <c r="M173" s="28" t="s">
        <v>2</v>
      </c>
      <c r="N173" s="28" t="s">
        <v>2</v>
      </c>
      <c r="O173" s="28" t="s">
        <v>2</v>
      </c>
      <c r="P173" s="28" t="s">
        <v>2</v>
      </c>
      <c r="Q173" s="28" t="s">
        <v>2</v>
      </c>
      <c r="R173" s="28" t="s">
        <v>2</v>
      </c>
      <c r="S173" s="28" t="s">
        <v>2</v>
      </c>
      <c r="T173" s="28" t="s">
        <v>2</v>
      </c>
      <c r="U173" s="28" t="s">
        <v>2</v>
      </c>
      <c r="V173" s="28" t="s">
        <v>2</v>
      </c>
      <c r="W173" s="28" t="s">
        <v>2</v>
      </c>
      <c r="X173" s="28" t="s">
        <v>2</v>
      </c>
      <c r="Y173" s="28" t="s">
        <v>2</v>
      </c>
      <c r="Z173" s="28" t="s">
        <v>2</v>
      </c>
      <c r="AA173" s="28" t="s">
        <v>2</v>
      </c>
      <c r="AB173" s="28" t="s">
        <v>2</v>
      </c>
      <c r="AC173" s="28" t="s">
        <v>2</v>
      </c>
      <c r="AD173" s="28" t="s">
        <v>2</v>
      </c>
      <c r="AE173" s="28" t="s">
        <v>2</v>
      </c>
      <c r="AF173" s="28" t="s">
        <v>2</v>
      </c>
      <c r="AG173" s="28" t="s">
        <v>2</v>
      </c>
      <c r="AH173" s="28" t="s">
        <v>0</v>
      </c>
      <c r="AI173" s="28" t="s">
        <v>2</v>
      </c>
      <c r="AJ173" s="28" t="s">
        <v>2</v>
      </c>
      <c r="AK173" s="28" t="s">
        <v>2</v>
      </c>
      <c r="AL173" s="28" t="s">
        <v>2</v>
      </c>
      <c r="AM173" s="28" t="s">
        <v>2</v>
      </c>
      <c r="AN173" s="28" t="s">
        <v>2</v>
      </c>
    </row>
    <row r="174" spans="1:40" ht="15.75" thickBot="1" x14ac:dyDescent="0.3">
      <c r="A174" s="110"/>
      <c r="B174" s="6">
        <f t="shared" si="8"/>
        <v>141</v>
      </c>
      <c r="C174" s="13" t="s">
        <v>61</v>
      </c>
      <c r="D174" s="95"/>
      <c r="E174" s="28" t="s">
        <v>0</v>
      </c>
      <c r="F174" s="28" t="s">
        <v>2</v>
      </c>
      <c r="G174" s="28" t="s">
        <v>2</v>
      </c>
      <c r="H174" s="28" t="s">
        <v>0</v>
      </c>
      <c r="I174" s="28" t="s">
        <v>2</v>
      </c>
      <c r="J174" s="28" t="s">
        <v>2</v>
      </c>
      <c r="K174" s="28" t="s">
        <v>2</v>
      </c>
      <c r="L174" s="28" t="s">
        <v>2</v>
      </c>
      <c r="M174" s="28" t="s">
        <v>2</v>
      </c>
      <c r="N174" s="28" t="s">
        <v>2</v>
      </c>
      <c r="O174" s="28" t="s">
        <v>2</v>
      </c>
      <c r="P174" s="28" t="s">
        <v>2</v>
      </c>
      <c r="Q174" s="28" t="s">
        <v>2</v>
      </c>
      <c r="R174" s="28" t="s">
        <v>2</v>
      </c>
      <c r="S174" s="28" t="s">
        <v>2</v>
      </c>
      <c r="T174" s="28" t="s">
        <v>2</v>
      </c>
      <c r="U174" s="28" t="s">
        <v>2</v>
      </c>
      <c r="V174" s="28" t="s">
        <v>2</v>
      </c>
      <c r="W174" s="28" t="s">
        <v>2</v>
      </c>
      <c r="X174" s="28" t="s">
        <v>2</v>
      </c>
      <c r="Y174" s="28" t="s">
        <v>2</v>
      </c>
      <c r="Z174" s="28" t="s">
        <v>2</v>
      </c>
      <c r="AA174" s="28" t="s">
        <v>2</v>
      </c>
      <c r="AB174" s="28" t="s">
        <v>2</v>
      </c>
      <c r="AC174" s="28" t="s">
        <v>2</v>
      </c>
      <c r="AD174" s="28" t="s">
        <v>2</v>
      </c>
      <c r="AE174" s="28" t="s">
        <v>2</v>
      </c>
      <c r="AF174" s="28" t="s">
        <v>2</v>
      </c>
      <c r="AG174" s="28" t="s">
        <v>2</v>
      </c>
      <c r="AH174" s="28" t="s">
        <v>2</v>
      </c>
      <c r="AI174" s="28" t="s">
        <v>2</v>
      </c>
      <c r="AJ174" s="28" t="s">
        <v>2</v>
      </c>
      <c r="AK174" s="28" t="s">
        <v>2</v>
      </c>
      <c r="AL174" s="28" t="s">
        <v>2</v>
      </c>
      <c r="AM174" s="28" t="s">
        <v>2</v>
      </c>
      <c r="AN174" s="28" t="s">
        <v>2</v>
      </c>
    </row>
    <row r="175" spans="1:40" ht="15.75" thickBot="1" x14ac:dyDescent="0.3">
      <c r="A175" s="110"/>
      <c r="B175" s="6">
        <f t="shared" si="8"/>
        <v>142</v>
      </c>
      <c r="C175" s="13" t="s">
        <v>62</v>
      </c>
      <c r="D175" s="95"/>
      <c r="E175" s="28" t="s">
        <v>0</v>
      </c>
      <c r="F175" s="28" t="s">
        <v>2</v>
      </c>
      <c r="G175" s="28" t="s">
        <v>2</v>
      </c>
      <c r="H175" s="28" t="s">
        <v>0</v>
      </c>
      <c r="I175" s="28" t="s">
        <v>2</v>
      </c>
      <c r="J175" s="28" t="s">
        <v>2</v>
      </c>
      <c r="K175" s="28" t="s">
        <v>2</v>
      </c>
      <c r="L175" s="28" t="s">
        <v>2</v>
      </c>
      <c r="M175" s="28" t="s">
        <v>2</v>
      </c>
      <c r="N175" s="28" t="s">
        <v>2</v>
      </c>
      <c r="O175" s="28" t="s">
        <v>2</v>
      </c>
      <c r="P175" s="28" t="s">
        <v>2</v>
      </c>
      <c r="Q175" s="28" t="s">
        <v>2</v>
      </c>
      <c r="R175" s="28" t="s">
        <v>2</v>
      </c>
      <c r="S175" s="28" t="s">
        <v>2</v>
      </c>
      <c r="T175" s="28" t="s">
        <v>2</v>
      </c>
      <c r="U175" s="28" t="s">
        <v>0</v>
      </c>
      <c r="V175" s="28" t="s">
        <v>2</v>
      </c>
      <c r="W175" s="28" t="s">
        <v>2</v>
      </c>
      <c r="X175" s="28" t="s">
        <v>2</v>
      </c>
      <c r="Y175" s="28" t="s">
        <v>2</v>
      </c>
      <c r="Z175" s="28" t="s">
        <v>2</v>
      </c>
      <c r="AA175" s="28" t="s">
        <v>2</v>
      </c>
      <c r="AB175" s="28" t="s">
        <v>2</v>
      </c>
      <c r="AC175" s="28" t="s">
        <v>2</v>
      </c>
      <c r="AD175" s="28" t="s">
        <v>2</v>
      </c>
      <c r="AE175" s="28" t="s">
        <v>2</v>
      </c>
      <c r="AF175" s="28" t="s">
        <v>2</v>
      </c>
      <c r="AG175" s="28" t="s">
        <v>2</v>
      </c>
      <c r="AH175" s="28" t="s">
        <v>2</v>
      </c>
      <c r="AI175" s="28" t="s">
        <v>2</v>
      </c>
      <c r="AJ175" s="28" t="s">
        <v>2</v>
      </c>
      <c r="AK175" s="28" t="s">
        <v>2</v>
      </c>
      <c r="AL175" s="28" t="s">
        <v>2</v>
      </c>
      <c r="AM175" s="28" t="s">
        <v>2</v>
      </c>
      <c r="AN175" s="28" t="s">
        <v>2</v>
      </c>
    </row>
    <row r="176" spans="1:40" ht="15.75" thickBot="1" x14ac:dyDescent="0.3">
      <c r="A176" s="111"/>
      <c r="B176" s="8">
        <f>+B175+1</f>
        <v>143</v>
      </c>
      <c r="C176" s="15" t="s">
        <v>64</v>
      </c>
      <c r="D176" s="97"/>
      <c r="E176" s="28" t="s">
        <v>0</v>
      </c>
      <c r="F176" s="28" t="s">
        <v>2</v>
      </c>
      <c r="G176" s="28" t="s">
        <v>2</v>
      </c>
      <c r="H176" s="28" t="s">
        <v>0</v>
      </c>
      <c r="I176" s="28" t="s">
        <v>2</v>
      </c>
      <c r="J176" s="28" t="s">
        <v>2</v>
      </c>
      <c r="K176" s="28" t="s">
        <v>2</v>
      </c>
      <c r="L176" s="28" t="s">
        <v>2</v>
      </c>
      <c r="M176" s="28" t="s">
        <v>2</v>
      </c>
      <c r="N176" s="28" t="s">
        <v>2</v>
      </c>
      <c r="O176" s="28" t="s">
        <v>2</v>
      </c>
      <c r="P176" s="28" t="s">
        <v>2</v>
      </c>
      <c r="Q176" s="28" t="s">
        <v>2</v>
      </c>
      <c r="R176" s="28" t="s">
        <v>2</v>
      </c>
      <c r="S176" s="28" t="s">
        <v>2</v>
      </c>
      <c r="T176" s="28" t="s">
        <v>0</v>
      </c>
      <c r="U176" s="28" t="s">
        <v>0</v>
      </c>
      <c r="V176" s="28" t="s">
        <v>2</v>
      </c>
      <c r="W176" s="28" t="s">
        <v>2</v>
      </c>
      <c r="X176" s="28" t="s">
        <v>2</v>
      </c>
      <c r="Y176" s="28" t="s">
        <v>2</v>
      </c>
      <c r="Z176" s="28" t="s">
        <v>0</v>
      </c>
      <c r="AA176" s="28" t="s">
        <v>2</v>
      </c>
      <c r="AB176" s="28" t="s">
        <v>2</v>
      </c>
      <c r="AC176" s="28" t="s">
        <v>2</v>
      </c>
      <c r="AD176" s="28" t="s">
        <v>2</v>
      </c>
      <c r="AE176" s="28" t="s">
        <v>0</v>
      </c>
      <c r="AF176" s="28" t="s">
        <v>2</v>
      </c>
      <c r="AG176" s="28" t="s">
        <v>2</v>
      </c>
      <c r="AH176" s="28" t="s">
        <v>2</v>
      </c>
      <c r="AI176" s="28" t="s">
        <v>2</v>
      </c>
      <c r="AJ176" s="28" t="s">
        <v>2</v>
      </c>
      <c r="AK176" s="28" t="s">
        <v>2</v>
      </c>
      <c r="AL176" s="28" t="s">
        <v>2</v>
      </c>
      <c r="AM176" s="28" t="s">
        <v>2</v>
      </c>
      <c r="AN176" s="28" t="s">
        <v>2</v>
      </c>
    </row>
    <row r="178" spans="5:7" ht="15" customHeight="1" x14ac:dyDescent="0.25">
      <c r="E178" s="87" t="s">
        <v>112</v>
      </c>
      <c r="F178" s="91" t="s">
        <v>113</v>
      </c>
      <c r="G178" s="91" t="s">
        <v>114</v>
      </c>
    </row>
    <row r="179" spans="5:7" ht="15" customHeight="1" x14ac:dyDescent="0.25">
      <c r="E179" s="93" t="s">
        <v>0</v>
      </c>
      <c r="F179" s="1">
        <f>+COUNTIF(E6:AN176,"TIENE POSTVENTA")</f>
        <v>551</v>
      </c>
      <c r="G179" s="92">
        <f>+F179/(F179+F180)</f>
        <v>8.9506172839506168E-2</v>
      </c>
    </row>
    <row r="180" spans="5:7" ht="15" customHeight="1" x14ac:dyDescent="0.25">
      <c r="E180" s="93" t="s">
        <v>2</v>
      </c>
      <c r="F180" s="1">
        <f>+COUNTIF(E6:AN176,"POSTVENTA CORREGIDA")</f>
        <v>5605</v>
      </c>
      <c r="G180" s="92">
        <f>+F180/(F179+F180)</f>
        <v>0.91049382716049387</v>
      </c>
    </row>
    <row r="181" spans="5:7" ht="15" customHeight="1" x14ac:dyDescent="0.25">
      <c r="F181" s="87">
        <f>SUM(F179:F180)</f>
        <v>6156</v>
      </c>
    </row>
  </sheetData>
  <mergeCells count="53">
    <mergeCell ref="AN4:AN5"/>
    <mergeCell ref="X4:X5"/>
    <mergeCell ref="N4:N5"/>
    <mergeCell ref="O4:O5"/>
    <mergeCell ref="AI4:AI5"/>
    <mergeCell ref="T4:T5"/>
    <mergeCell ref="U4:U5"/>
    <mergeCell ref="V4:V5"/>
    <mergeCell ref="Z4:Z5"/>
    <mergeCell ref="AB4:AB5"/>
    <mergeCell ref="AC4:AC5"/>
    <mergeCell ref="AD4:AD5"/>
    <mergeCell ref="AA4:AA5"/>
    <mergeCell ref="AK4:AK5"/>
    <mergeCell ref="AJ4:AJ5"/>
    <mergeCell ref="AG4:AG5"/>
    <mergeCell ref="A77:A82"/>
    <mergeCell ref="P4:P5"/>
    <mergeCell ref="S4:S5"/>
    <mergeCell ref="A168:A176"/>
    <mergeCell ref="A4:A5"/>
    <mergeCell ref="B4:B5"/>
    <mergeCell ref="C4:C5"/>
    <mergeCell ref="A83:A99"/>
    <mergeCell ref="A100:A112"/>
    <mergeCell ref="A113:A128"/>
    <mergeCell ref="A129:A144"/>
    <mergeCell ref="A145:A157"/>
    <mergeCell ref="A158:A167"/>
    <mergeCell ref="A6:A24"/>
    <mergeCell ref="A25:A39"/>
    <mergeCell ref="D4:D5"/>
    <mergeCell ref="A68:A76"/>
    <mergeCell ref="A50:A67"/>
    <mergeCell ref="F4:F5"/>
    <mergeCell ref="L4:L5"/>
    <mergeCell ref="M4:M5"/>
    <mergeCell ref="K4:K5"/>
    <mergeCell ref="E4:E5"/>
    <mergeCell ref="H4:H5"/>
    <mergeCell ref="I4:I5"/>
    <mergeCell ref="A40:A49"/>
    <mergeCell ref="AL4:AL5"/>
    <mergeCell ref="AM4:AM5"/>
    <mergeCell ref="W4:W5"/>
    <mergeCell ref="G4:G5"/>
    <mergeCell ref="J4:J5"/>
    <mergeCell ref="AF4:AF5"/>
    <mergeCell ref="R4:R5"/>
    <mergeCell ref="Q4:Q5"/>
    <mergeCell ref="Y4:Y5"/>
    <mergeCell ref="AH4:AH5"/>
    <mergeCell ref="AE4:AE5"/>
  </mergeCells>
  <phoneticPr fontId="3" type="noConversion"/>
  <conditionalFormatting sqref="G179:G18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{973C8BD5-55A7-4DF2-B039-69CED56D5313}</x14:id>
        </ext>
      </extLst>
    </cfRule>
  </conditionalFormatting>
  <dataValidations count="1">
    <dataValidation type="list" allowBlank="1" showInputMessage="1" showErrorMessage="1" sqref="E6:AN176" xr:uid="{C648A3F9-9C6E-4D7E-B457-422221D79FB7}">
      <formula1>$AI$1:$AI$3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6" id="{103AC221-F79E-4133-8AAE-AF38B4FD91FD}">
            <xm:f>OBSERVACIONES!E176="OK"</xm:f>
            <x14:dxf>
              <fill>
                <patternFill>
                  <bgColor theme="9" tint="0.39994506668294322"/>
                </patternFill>
              </fill>
            </x14:dxf>
          </x14:cfRule>
          <xm:sqref>E179:E180</xm:sqref>
        </x14:conditionalFormatting>
        <x14:conditionalFormatting xmlns:xm="http://schemas.microsoft.com/office/excel/2006/main">
          <x14:cfRule type="expression" priority="2" id="{1E48EBA8-3386-4246-BC47-A63310B7AE67}">
            <xm:f>OBSERVACIONES!D5="OK"</xm:f>
            <x14:dxf>
              <fill>
                <patternFill>
                  <bgColor theme="9" tint="0.39994506668294322"/>
                </patternFill>
              </fill>
            </x14:dxf>
          </x14:cfRule>
          <xm:sqref>E6:AN176</xm:sqref>
        </x14:conditionalFormatting>
        <x14:conditionalFormatting xmlns:xm="http://schemas.microsoft.com/office/excel/2006/main">
          <x14:cfRule type="dataBar" id="{973C8BD5-55A7-4DF2-B039-69CED56D5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G179:G180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1F43-CD7A-493C-B869-64DD049B244A}">
  <dimension ref="A3:AM175"/>
  <sheetViews>
    <sheetView zoomScale="85" zoomScaleNormal="85" workbookViewId="0">
      <pane xSplit="3" ySplit="4" topLeftCell="AF153" activePane="bottomRight" state="frozen"/>
      <selection pane="topRight"/>
      <selection pane="bottomLeft"/>
      <selection pane="bottomRight" activeCell="AF164" sqref="AF164"/>
    </sheetView>
  </sheetViews>
  <sheetFormatPr baseColWidth="10" defaultColWidth="11.42578125" defaultRowHeight="15" customHeight="1" x14ac:dyDescent="0.25"/>
  <cols>
    <col min="3" max="3" width="34.28515625" customWidth="1"/>
    <col min="4" max="4" width="20.140625" customWidth="1"/>
    <col min="5" max="5" width="28.7109375" customWidth="1"/>
    <col min="6" max="6" width="23.7109375" customWidth="1"/>
    <col min="7" max="10" width="20.140625" customWidth="1"/>
    <col min="11" max="11" width="26" customWidth="1"/>
    <col min="12" max="12" width="25.7109375" customWidth="1"/>
    <col min="13" max="13" width="19.28515625" bestFit="1" customWidth="1"/>
    <col min="14" max="14" width="25.28515625" customWidth="1"/>
    <col min="15" max="17" width="25.85546875" customWidth="1"/>
    <col min="18" max="18" width="26" customWidth="1"/>
    <col min="19" max="19" width="19.7109375" customWidth="1"/>
    <col min="20" max="20" width="18.42578125" customWidth="1"/>
    <col min="21" max="22" width="22.7109375" customWidth="1"/>
    <col min="23" max="23" width="16.42578125" customWidth="1"/>
    <col min="24" max="24" width="20.28515625" bestFit="1" customWidth="1"/>
    <col min="25" max="26" width="16.42578125" customWidth="1"/>
    <col min="27" max="27" width="17.28515625" customWidth="1"/>
    <col min="28" max="33" width="22.42578125" customWidth="1"/>
    <col min="34" max="39" width="18.85546875" customWidth="1"/>
  </cols>
  <sheetData>
    <row r="3" spans="1:39" ht="15.75" thickBot="1" x14ac:dyDescent="0.3"/>
    <row r="4" spans="1:39" ht="15.75" thickBot="1" x14ac:dyDescent="0.3">
      <c r="A4" s="10"/>
      <c r="B4" s="11" t="s">
        <v>3</v>
      </c>
      <c r="C4" s="36" t="s">
        <v>4</v>
      </c>
      <c r="D4" s="35" t="s">
        <v>6</v>
      </c>
      <c r="E4" s="35" t="s">
        <v>7</v>
      </c>
      <c r="F4" s="35" t="s">
        <v>115</v>
      </c>
      <c r="G4" s="35" t="s">
        <v>9</v>
      </c>
      <c r="H4" s="35" t="s">
        <v>10</v>
      </c>
      <c r="I4" s="35" t="s">
        <v>11</v>
      </c>
      <c r="J4" s="35" t="s">
        <v>12</v>
      </c>
      <c r="K4" s="35" t="s">
        <v>13</v>
      </c>
      <c r="L4" s="35" t="s">
        <v>14</v>
      </c>
      <c r="M4" s="35" t="s">
        <v>15</v>
      </c>
      <c r="N4" s="35" t="s">
        <v>16</v>
      </c>
      <c r="O4" s="35" t="s">
        <v>17</v>
      </c>
      <c r="P4" s="35" t="s">
        <v>210</v>
      </c>
      <c r="Q4" s="35" t="s">
        <v>18</v>
      </c>
      <c r="R4" s="35" t="s">
        <v>19</v>
      </c>
      <c r="S4" s="35" t="s">
        <v>20</v>
      </c>
      <c r="T4" s="35" t="s">
        <v>21</v>
      </c>
      <c r="U4" s="35" t="s">
        <v>22</v>
      </c>
      <c r="V4" s="35" t="s">
        <v>23</v>
      </c>
      <c r="W4" s="35" t="s">
        <v>24</v>
      </c>
      <c r="X4" s="35" t="s">
        <v>211</v>
      </c>
      <c r="Y4" s="35" t="s">
        <v>25</v>
      </c>
      <c r="Z4" s="35" t="s">
        <v>26</v>
      </c>
      <c r="AA4" s="35" t="s">
        <v>27</v>
      </c>
      <c r="AB4" s="35" t="s">
        <v>28</v>
      </c>
      <c r="AC4" s="35" t="s">
        <v>29</v>
      </c>
      <c r="AD4" s="35" t="s">
        <v>163</v>
      </c>
      <c r="AE4" s="35" t="s">
        <v>30</v>
      </c>
      <c r="AF4" s="35" t="s">
        <v>31</v>
      </c>
      <c r="AG4" s="35" t="s">
        <v>230</v>
      </c>
      <c r="AH4" s="35" t="s">
        <v>32</v>
      </c>
      <c r="AI4" s="35" t="s">
        <v>33</v>
      </c>
      <c r="AJ4" s="35" t="s">
        <v>34</v>
      </c>
      <c r="AK4" s="35" t="s">
        <v>35</v>
      </c>
      <c r="AL4" s="35" t="s">
        <v>36</v>
      </c>
      <c r="AM4" s="35" t="s">
        <v>37</v>
      </c>
    </row>
    <row r="5" spans="1:39" ht="15.75" thickBot="1" x14ac:dyDescent="0.3">
      <c r="A5" s="112" t="s">
        <v>38</v>
      </c>
      <c r="B5" s="2">
        <v>1</v>
      </c>
      <c r="C5" s="12" t="s">
        <v>39</v>
      </c>
      <c r="D5" s="29" t="s">
        <v>116</v>
      </c>
      <c r="E5" s="30" t="s">
        <v>117</v>
      </c>
      <c r="F5" s="29" t="s">
        <v>117</v>
      </c>
      <c r="G5" s="29" t="s">
        <v>116</v>
      </c>
      <c r="H5" s="29" t="s">
        <v>117</v>
      </c>
      <c r="I5" s="29" t="s">
        <v>117</v>
      </c>
      <c r="J5" s="29" t="s">
        <v>117</v>
      </c>
      <c r="K5" s="29" t="s">
        <v>117</v>
      </c>
      <c r="L5" s="29" t="s">
        <v>117</v>
      </c>
      <c r="M5" s="29" t="s">
        <v>118</v>
      </c>
      <c r="N5" s="29" t="s">
        <v>117</v>
      </c>
      <c r="O5" s="30" t="s">
        <v>117</v>
      </c>
      <c r="P5" s="30" t="s">
        <v>119</v>
      </c>
      <c r="Q5" s="30" t="s">
        <v>118</v>
      </c>
      <c r="R5" s="30" t="s">
        <v>117</v>
      </c>
      <c r="S5" s="29" t="s">
        <v>117</v>
      </c>
      <c r="T5" s="29" t="s">
        <v>117</v>
      </c>
      <c r="U5" s="40" t="s">
        <v>117</v>
      </c>
      <c r="V5" s="40" t="s">
        <v>117</v>
      </c>
      <c r="W5" s="40" t="s">
        <v>117</v>
      </c>
      <c r="X5" s="40" t="s">
        <v>117</v>
      </c>
      <c r="Y5" s="40" t="s">
        <v>117</v>
      </c>
      <c r="Z5" s="40" t="s">
        <v>117</v>
      </c>
      <c r="AA5" s="40" t="s">
        <v>117</v>
      </c>
      <c r="AB5" s="40" t="s">
        <v>117</v>
      </c>
      <c r="AC5" s="40" t="s">
        <v>117</v>
      </c>
      <c r="AD5" s="40" t="s">
        <v>119</v>
      </c>
      <c r="AE5" s="40" t="s">
        <v>117</v>
      </c>
      <c r="AF5" s="40" t="s">
        <v>117</v>
      </c>
      <c r="AG5" s="40" t="s">
        <v>231</v>
      </c>
      <c r="AH5" s="40" t="s">
        <v>117</v>
      </c>
      <c r="AI5" s="40" t="s">
        <v>117</v>
      </c>
      <c r="AJ5" s="40" t="s">
        <v>117</v>
      </c>
      <c r="AK5" s="40" t="s">
        <v>117</v>
      </c>
      <c r="AL5" s="40" t="s">
        <v>117</v>
      </c>
      <c r="AM5" s="40" t="s">
        <v>118</v>
      </c>
    </row>
    <row r="6" spans="1:39" ht="15.75" thickBot="1" x14ac:dyDescent="0.3">
      <c r="A6" s="110"/>
      <c r="B6" s="2">
        <v>2</v>
      </c>
      <c r="C6" s="13" t="s">
        <v>41</v>
      </c>
      <c r="D6" s="30" t="s">
        <v>116</v>
      </c>
      <c r="E6" s="30" t="s">
        <v>117</v>
      </c>
      <c r="F6" s="30" t="s">
        <v>117</v>
      </c>
      <c r="G6" s="30" t="s">
        <v>116</v>
      </c>
      <c r="H6" s="30" t="s">
        <v>117</v>
      </c>
      <c r="I6" s="30" t="s">
        <v>117</v>
      </c>
      <c r="J6" s="30" t="s">
        <v>117</v>
      </c>
      <c r="K6" s="30" t="s">
        <v>117</v>
      </c>
      <c r="L6" s="30" t="s">
        <v>117</v>
      </c>
      <c r="M6" s="30" t="s">
        <v>117</v>
      </c>
      <c r="N6" s="30" t="s">
        <v>117</v>
      </c>
      <c r="O6" s="30" t="s">
        <v>117</v>
      </c>
      <c r="P6" s="30" t="s">
        <v>117</v>
      </c>
      <c r="Q6" s="30" t="s">
        <v>117</v>
      </c>
      <c r="R6" s="30" t="s">
        <v>117</v>
      </c>
      <c r="S6" s="30" t="s">
        <v>117</v>
      </c>
      <c r="T6" s="30" t="s">
        <v>117</v>
      </c>
      <c r="U6" s="30" t="s">
        <v>117</v>
      </c>
      <c r="V6" s="30" t="s">
        <v>117</v>
      </c>
      <c r="W6" s="30" t="s">
        <v>117</v>
      </c>
      <c r="X6" s="30" t="s">
        <v>117</v>
      </c>
      <c r="Y6" s="30" t="s">
        <v>117</v>
      </c>
      <c r="Z6" s="30" t="s">
        <v>117</v>
      </c>
      <c r="AA6" s="30" t="s">
        <v>117</v>
      </c>
      <c r="AB6" s="30" t="s">
        <v>117</v>
      </c>
      <c r="AC6" s="30" t="s">
        <v>117</v>
      </c>
      <c r="AD6" s="30" t="s">
        <v>117</v>
      </c>
      <c r="AE6" s="30" t="s">
        <v>117</v>
      </c>
      <c r="AF6" s="30" t="s">
        <v>117</v>
      </c>
      <c r="AG6" s="30" t="s">
        <v>117</v>
      </c>
      <c r="AH6" s="30" t="s">
        <v>117</v>
      </c>
      <c r="AI6" s="30" t="s">
        <v>117</v>
      </c>
      <c r="AJ6" s="30" t="s">
        <v>117</v>
      </c>
      <c r="AK6" s="30" t="s">
        <v>117</v>
      </c>
      <c r="AL6" s="30" t="s">
        <v>117</v>
      </c>
      <c r="AM6" s="30" t="s">
        <v>117</v>
      </c>
    </row>
    <row r="7" spans="1:39" ht="15.75" thickBot="1" x14ac:dyDescent="0.3">
      <c r="A7" s="110"/>
      <c r="B7" s="2">
        <v>3</v>
      </c>
      <c r="C7" s="20" t="s">
        <v>42</v>
      </c>
      <c r="D7" s="30" t="s">
        <v>116</v>
      </c>
      <c r="E7" s="30" t="s">
        <v>117</v>
      </c>
      <c r="F7" s="30" t="s">
        <v>117</v>
      </c>
      <c r="G7" s="30" t="s">
        <v>116</v>
      </c>
      <c r="H7" s="30" t="s">
        <v>117</v>
      </c>
      <c r="I7" s="30" t="s">
        <v>117</v>
      </c>
      <c r="J7" s="30" t="s">
        <v>117</v>
      </c>
      <c r="K7" s="30" t="s">
        <v>117</v>
      </c>
      <c r="L7" s="30" t="s">
        <v>117</v>
      </c>
      <c r="M7" s="30" t="s">
        <v>117</v>
      </c>
      <c r="N7" s="30" t="s">
        <v>117</v>
      </c>
      <c r="O7" s="30" t="s">
        <v>117</v>
      </c>
      <c r="P7" s="30" t="s">
        <v>117</v>
      </c>
      <c r="Q7" s="30" t="s">
        <v>117</v>
      </c>
      <c r="R7" s="30" t="s">
        <v>117</v>
      </c>
      <c r="S7" s="30" t="s">
        <v>117</v>
      </c>
      <c r="T7" s="30" t="s">
        <v>117</v>
      </c>
      <c r="U7" s="30" t="s">
        <v>117</v>
      </c>
      <c r="V7" s="30" t="s">
        <v>117</v>
      </c>
      <c r="W7" s="30" t="s">
        <v>117</v>
      </c>
      <c r="X7" s="30" t="s">
        <v>117</v>
      </c>
      <c r="Y7" s="30" t="s">
        <v>117</v>
      </c>
      <c r="Z7" s="30" t="s">
        <v>117</v>
      </c>
      <c r="AA7" s="30" t="s">
        <v>117</v>
      </c>
      <c r="AB7" s="30" t="s">
        <v>117</v>
      </c>
      <c r="AC7" s="30" t="s">
        <v>117</v>
      </c>
      <c r="AD7" s="30" t="s">
        <v>117</v>
      </c>
      <c r="AE7" s="30" t="s">
        <v>117</v>
      </c>
      <c r="AF7" s="30" t="s">
        <v>117</v>
      </c>
      <c r="AG7" s="30" t="s">
        <v>117</v>
      </c>
      <c r="AH7" s="30" t="s">
        <v>117</v>
      </c>
      <c r="AI7" s="30" t="s">
        <v>117</v>
      </c>
      <c r="AJ7" s="30" t="s">
        <v>117</v>
      </c>
      <c r="AK7" s="30" t="s">
        <v>117</v>
      </c>
      <c r="AL7" s="30" t="s">
        <v>117</v>
      </c>
      <c r="AM7" s="30" t="s">
        <v>117</v>
      </c>
    </row>
    <row r="8" spans="1:39" ht="15.75" thickBot="1" x14ac:dyDescent="0.3">
      <c r="A8" s="110"/>
      <c r="B8" s="2">
        <v>4</v>
      </c>
      <c r="C8" s="21" t="s">
        <v>43</v>
      </c>
      <c r="D8" s="30" t="s">
        <v>116</v>
      </c>
      <c r="E8" s="30" t="s">
        <v>117</v>
      </c>
      <c r="F8" s="30" t="s">
        <v>117</v>
      </c>
      <c r="G8" s="30" t="s">
        <v>116</v>
      </c>
      <c r="H8" s="30" t="s">
        <v>117</v>
      </c>
      <c r="I8" s="30" t="s">
        <v>117</v>
      </c>
      <c r="J8" s="30" t="s">
        <v>117</v>
      </c>
      <c r="K8" s="30" t="s">
        <v>117</v>
      </c>
      <c r="L8" s="30" t="s">
        <v>117</v>
      </c>
      <c r="M8" s="30" t="s">
        <v>117</v>
      </c>
      <c r="N8" s="30" t="s">
        <v>117</v>
      </c>
      <c r="O8" s="30" t="s">
        <v>117</v>
      </c>
      <c r="P8" s="30" t="s">
        <v>117</v>
      </c>
      <c r="Q8" s="30" t="s">
        <v>117</v>
      </c>
      <c r="R8" s="30" t="s">
        <v>117</v>
      </c>
      <c r="S8" s="30" t="s">
        <v>117</v>
      </c>
      <c r="T8" s="30" t="s">
        <v>117</v>
      </c>
      <c r="U8" s="30" t="s">
        <v>117</v>
      </c>
      <c r="V8" s="30" t="s">
        <v>117</v>
      </c>
      <c r="W8" s="30" t="s">
        <v>117</v>
      </c>
      <c r="X8" s="30" t="s">
        <v>117</v>
      </c>
      <c r="Y8" s="30" t="s">
        <v>117</v>
      </c>
      <c r="Z8" s="30" t="s">
        <v>117</v>
      </c>
      <c r="AA8" s="30" t="s">
        <v>117</v>
      </c>
      <c r="AB8" s="30" t="s">
        <v>117</v>
      </c>
      <c r="AC8" s="30" t="s">
        <v>117</v>
      </c>
      <c r="AD8" s="30" t="s">
        <v>117</v>
      </c>
      <c r="AE8" s="30" t="s">
        <v>117</v>
      </c>
      <c r="AF8" s="30" t="s">
        <v>117</v>
      </c>
      <c r="AG8" s="30" t="s">
        <v>117</v>
      </c>
      <c r="AH8" s="30" t="s">
        <v>117</v>
      </c>
      <c r="AI8" s="30" t="s">
        <v>117</v>
      </c>
      <c r="AJ8" s="30" t="s">
        <v>117</v>
      </c>
      <c r="AK8" s="30" t="s">
        <v>117</v>
      </c>
      <c r="AL8" s="30" t="s">
        <v>117</v>
      </c>
      <c r="AM8" s="30" t="s">
        <v>117</v>
      </c>
    </row>
    <row r="9" spans="1:39" ht="15.75" thickBot="1" x14ac:dyDescent="0.3">
      <c r="A9" s="110"/>
      <c r="B9" s="2">
        <v>5</v>
      </c>
      <c r="C9" s="21" t="s">
        <v>45</v>
      </c>
      <c r="D9" s="30" t="s">
        <v>116</v>
      </c>
      <c r="E9" s="30" t="s">
        <v>117</v>
      </c>
      <c r="F9" s="30" t="s">
        <v>117</v>
      </c>
      <c r="G9" s="30" t="s">
        <v>116</v>
      </c>
      <c r="H9" s="30" t="s">
        <v>117</v>
      </c>
      <c r="I9" s="30" t="s">
        <v>117</v>
      </c>
      <c r="J9" s="30" t="s">
        <v>117</v>
      </c>
      <c r="K9" s="30" t="s">
        <v>117</v>
      </c>
      <c r="L9" s="30" t="s">
        <v>117</v>
      </c>
      <c r="M9" s="30" t="s">
        <v>117</v>
      </c>
      <c r="N9" s="30" t="s">
        <v>117</v>
      </c>
      <c r="O9" s="30" t="s">
        <v>117</v>
      </c>
      <c r="P9" s="30" t="s">
        <v>117</v>
      </c>
      <c r="Q9" s="30" t="s">
        <v>117</v>
      </c>
      <c r="R9" s="30" t="s">
        <v>117</v>
      </c>
      <c r="S9" s="30" t="s">
        <v>117</v>
      </c>
      <c r="T9" s="30" t="s">
        <v>117</v>
      </c>
      <c r="U9" s="30" t="s">
        <v>117</v>
      </c>
      <c r="V9" s="30" t="s">
        <v>117</v>
      </c>
      <c r="W9" s="30" t="s">
        <v>117</v>
      </c>
      <c r="X9" s="30" t="s">
        <v>117</v>
      </c>
      <c r="Y9" s="30" t="s">
        <v>117</v>
      </c>
      <c r="Z9" s="30" t="s">
        <v>117</v>
      </c>
      <c r="AA9" s="30" t="s">
        <v>117</v>
      </c>
      <c r="AB9" s="30" t="s">
        <v>117</v>
      </c>
      <c r="AC9" s="30" t="s">
        <v>117</v>
      </c>
      <c r="AD9" s="30" t="s">
        <v>117</v>
      </c>
      <c r="AE9" s="30" t="s">
        <v>117</v>
      </c>
      <c r="AF9" s="30" t="s">
        <v>117</v>
      </c>
      <c r="AG9" s="30" t="s">
        <v>117</v>
      </c>
      <c r="AH9" s="30" t="s">
        <v>117</v>
      </c>
      <c r="AI9" s="30" t="s">
        <v>117</v>
      </c>
      <c r="AJ9" s="30" t="s">
        <v>117</v>
      </c>
      <c r="AK9" s="30" t="s">
        <v>117</v>
      </c>
      <c r="AL9" s="30" t="s">
        <v>117</v>
      </c>
      <c r="AM9" s="30" t="s">
        <v>117</v>
      </c>
    </row>
    <row r="10" spans="1:39" ht="15.75" thickBot="1" x14ac:dyDescent="0.3">
      <c r="A10" s="110"/>
      <c r="B10" s="2">
        <v>6</v>
      </c>
      <c r="C10" s="21" t="s">
        <v>46</v>
      </c>
      <c r="D10" s="30" t="s">
        <v>116</v>
      </c>
      <c r="E10" s="30" t="s">
        <v>117</v>
      </c>
      <c r="F10" s="30" t="s">
        <v>117</v>
      </c>
      <c r="G10" s="30" t="s">
        <v>116</v>
      </c>
      <c r="H10" s="30" t="s">
        <v>117</v>
      </c>
      <c r="I10" s="30" t="s">
        <v>117</v>
      </c>
      <c r="J10" s="30" t="s">
        <v>117</v>
      </c>
      <c r="K10" s="30" t="s">
        <v>117</v>
      </c>
      <c r="L10" s="30" t="s">
        <v>117</v>
      </c>
      <c r="M10" s="30" t="s">
        <v>117</v>
      </c>
      <c r="N10" s="30" t="s">
        <v>117</v>
      </c>
      <c r="O10" s="30" t="s">
        <v>117</v>
      </c>
      <c r="P10" s="30" t="s">
        <v>117</v>
      </c>
      <c r="Q10" s="30" t="s">
        <v>117</v>
      </c>
      <c r="R10" s="30" t="s">
        <v>117</v>
      </c>
      <c r="S10" s="30" t="s">
        <v>117</v>
      </c>
      <c r="T10" s="30" t="s">
        <v>117</v>
      </c>
      <c r="U10" s="30" t="s">
        <v>117</v>
      </c>
      <c r="V10" s="30" t="s">
        <v>117</v>
      </c>
      <c r="W10" s="30" t="s">
        <v>117</v>
      </c>
      <c r="X10" s="30" t="s">
        <v>117</v>
      </c>
      <c r="Y10" s="30" t="s">
        <v>117</v>
      </c>
      <c r="Z10" s="30" t="s">
        <v>117</v>
      </c>
      <c r="AA10" s="30" t="s">
        <v>117</v>
      </c>
      <c r="AB10" s="30" t="s">
        <v>117</v>
      </c>
      <c r="AC10" s="30" t="s">
        <v>117</v>
      </c>
      <c r="AD10" s="30" t="s">
        <v>117</v>
      </c>
      <c r="AE10" s="30" t="s">
        <v>117</v>
      </c>
      <c r="AF10" s="30" t="s">
        <v>117</v>
      </c>
      <c r="AG10" s="30" t="s">
        <v>117</v>
      </c>
      <c r="AH10" s="30" t="s">
        <v>117</v>
      </c>
      <c r="AI10" s="30" t="s">
        <v>117</v>
      </c>
      <c r="AJ10" s="30" t="s">
        <v>117</v>
      </c>
      <c r="AK10" s="30" t="s">
        <v>117</v>
      </c>
      <c r="AL10" s="30" t="s">
        <v>117</v>
      </c>
      <c r="AM10" s="30" t="s">
        <v>117</v>
      </c>
    </row>
    <row r="11" spans="1:39" ht="15.75" thickBot="1" x14ac:dyDescent="0.3">
      <c r="A11" s="110"/>
      <c r="B11" s="2">
        <v>7</v>
      </c>
      <c r="C11" s="21" t="s">
        <v>47</v>
      </c>
      <c r="D11" s="30" t="s">
        <v>116</v>
      </c>
      <c r="E11" s="30" t="s">
        <v>117</v>
      </c>
      <c r="F11" s="30" t="s">
        <v>117</v>
      </c>
      <c r="G11" s="30" t="s">
        <v>116</v>
      </c>
      <c r="H11" s="30" t="s">
        <v>117</v>
      </c>
      <c r="I11" s="30" t="s">
        <v>117</v>
      </c>
      <c r="J11" s="30" t="s">
        <v>117</v>
      </c>
      <c r="K11" s="30" t="s">
        <v>117</v>
      </c>
      <c r="L11" s="30" t="s">
        <v>117</v>
      </c>
      <c r="M11" s="30" t="s">
        <v>117</v>
      </c>
      <c r="N11" s="30" t="s">
        <v>117</v>
      </c>
      <c r="O11" s="30" t="s">
        <v>117</v>
      </c>
      <c r="P11" s="30" t="s">
        <v>117</v>
      </c>
      <c r="Q11" s="30" t="s">
        <v>117</v>
      </c>
      <c r="R11" s="30" t="s">
        <v>117</v>
      </c>
      <c r="S11" s="30" t="s">
        <v>117</v>
      </c>
      <c r="T11" s="30" t="s">
        <v>117</v>
      </c>
      <c r="U11" s="30" t="s">
        <v>117</v>
      </c>
      <c r="V11" s="30" t="s">
        <v>117</v>
      </c>
      <c r="W11" s="30" t="s">
        <v>117</v>
      </c>
      <c r="X11" s="30" t="s">
        <v>117</v>
      </c>
      <c r="Y11" s="30" t="s">
        <v>117</v>
      </c>
      <c r="Z11" s="30" t="s">
        <v>117</v>
      </c>
      <c r="AA11" s="30" t="s">
        <v>117</v>
      </c>
      <c r="AB11" s="30" t="s">
        <v>117</v>
      </c>
      <c r="AC11" s="30" t="s">
        <v>117</v>
      </c>
      <c r="AD11" s="30" t="s">
        <v>117</v>
      </c>
      <c r="AE11" s="30" t="s">
        <v>117</v>
      </c>
      <c r="AF11" s="30" t="s">
        <v>117</v>
      </c>
      <c r="AG11" s="30" t="s">
        <v>117</v>
      </c>
      <c r="AH11" s="30" t="s">
        <v>117</v>
      </c>
      <c r="AI11" s="30" t="s">
        <v>117</v>
      </c>
      <c r="AJ11" s="30" t="s">
        <v>117</v>
      </c>
      <c r="AK11" s="30" t="s">
        <v>117</v>
      </c>
      <c r="AL11" s="30" t="s">
        <v>117</v>
      </c>
      <c r="AM11" s="30" t="s">
        <v>117</v>
      </c>
    </row>
    <row r="12" spans="1:39" ht="15.75" thickBot="1" x14ac:dyDescent="0.3">
      <c r="A12" s="110"/>
      <c r="B12" s="2">
        <v>8</v>
      </c>
      <c r="C12" s="21" t="s">
        <v>48</v>
      </c>
      <c r="D12" s="30" t="s">
        <v>116</v>
      </c>
      <c r="E12" s="30" t="s">
        <v>117</v>
      </c>
      <c r="F12" s="30" t="s">
        <v>117</v>
      </c>
      <c r="G12" s="30" t="s">
        <v>116</v>
      </c>
      <c r="H12" s="30" t="s">
        <v>117</v>
      </c>
      <c r="I12" s="30" t="s">
        <v>117</v>
      </c>
      <c r="J12" s="30" t="s">
        <v>117</v>
      </c>
      <c r="K12" s="30" t="s">
        <v>117</v>
      </c>
      <c r="L12" s="30" t="s">
        <v>117</v>
      </c>
      <c r="M12" s="30" t="s">
        <v>117</v>
      </c>
      <c r="N12" s="30" t="s">
        <v>117</v>
      </c>
      <c r="O12" s="30" t="s">
        <v>117</v>
      </c>
      <c r="P12" s="30" t="s">
        <v>117</v>
      </c>
      <c r="Q12" s="30" t="s">
        <v>117</v>
      </c>
      <c r="R12" s="30" t="s">
        <v>117</v>
      </c>
      <c r="S12" s="30" t="s">
        <v>117</v>
      </c>
      <c r="T12" s="30" t="s">
        <v>117</v>
      </c>
      <c r="U12" s="30" t="s">
        <v>117</v>
      </c>
      <c r="V12" s="30" t="s">
        <v>117</v>
      </c>
      <c r="W12" s="30" t="s">
        <v>117</v>
      </c>
      <c r="X12" s="30" t="s">
        <v>117</v>
      </c>
      <c r="Y12" s="30" t="s">
        <v>117</v>
      </c>
      <c r="Z12" s="30" t="s">
        <v>117</v>
      </c>
      <c r="AA12" s="30" t="s">
        <v>117</v>
      </c>
      <c r="AB12" s="30" t="s">
        <v>117</v>
      </c>
      <c r="AC12" s="30" t="s">
        <v>117</v>
      </c>
      <c r="AD12" s="30" t="s">
        <v>117</v>
      </c>
      <c r="AE12" s="30" t="s">
        <v>117</v>
      </c>
      <c r="AF12" s="30" t="s">
        <v>117</v>
      </c>
      <c r="AG12" s="30" t="s">
        <v>117</v>
      </c>
      <c r="AH12" s="30" t="s">
        <v>117</v>
      </c>
      <c r="AI12" s="30" t="s">
        <v>117</v>
      </c>
      <c r="AJ12" s="30" t="s">
        <v>117</v>
      </c>
      <c r="AK12" s="30" t="s">
        <v>117</v>
      </c>
      <c r="AL12" s="30" t="s">
        <v>117</v>
      </c>
      <c r="AM12" s="30" t="s">
        <v>117</v>
      </c>
    </row>
    <row r="13" spans="1:39" ht="15.75" thickBot="1" x14ac:dyDescent="0.3">
      <c r="A13" s="110"/>
      <c r="B13" s="2">
        <v>9</v>
      </c>
      <c r="C13" s="21" t="s">
        <v>49</v>
      </c>
      <c r="D13" s="30" t="s">
        <v>116</v>
      </c>
      <c r="E13" s="30" t="s">
        <v>117</v>
      </c>
      <c r="F13" s="30" t="s">
        <v>117</v>
      </c>
      <c r="G13" s="30" t="s">
        <v>116</v>
      </c>
      <c r="H13" s="30" t="s">
        <v>117</v>
      </c>
      <c r="I13" s="30" t="s">
        <v>117</v>
      </c>
      <c r="J13" s="30" t="s">
        <v>117</v>
      </c>
      <c r="K13" s="30" t="s">
        <v>117</v>
      </c>
      <c r="L13" s="30" t="s">
        <v>117</v>
      </c>
      <c r="M13" s="30" t="s">
        <v>117</v>
      </c>
      <c r="N13" s="30" t="s">
        <v>117</v>
      </c>
      <c r="O13" s="30" t="s">
        <v>117</v>
      </c>
      <c r="P13" s="30" t="s">
        <v>117</v>
      </c>
      <c r="Q13" s="30" t="s">
        <v>117</v>
      </c>
      <c r="R13" s="30" t="s">
        <v>117</v>
      </c>
      <c r="S13" s="30" t="s">
        <v>117</v>
      </c>
      <c r="T13" s="30" t="s">
        <v>117</v>
      </c>
      <c r="U13" s="30" t="s">
        <v>117</v>
      </c>
      <c r="V13" s="30" t="s">
        <v>117</v>
      </c>
      <c r="W13" s="30" t="s">
        <v>117</v>
      </c>
      <c r="X13" s="30" t="s">
        <v>117</v>
      </c>
      <c r="Y13" s="30" t="s">
        <v>117</v>
      </c>
      <c r="Z13" s="30" t="s">
        <v>117</v>
      </c>
      <c r="AA13" s="30" t="s">
        <v>117</v>
      </c>
      <c r="AB13" s="30" t="s">
        <v>117</v>
      </c>
      <c r="AC13" s="30" t="s">
        <v>117</v>
      </c>
      <c r="AD13" s="30" t="s">
        <v>117</v>
      </c>
      <c r="AE13" s="30" t="s">
        <v>117</v>
      </c>
      <c r="AF13" s="30" t="s">
        <v>117</v>
      </c>
      <c r="AG13" s="30" t="s">
        <v>117</v>
      </c>
      <c r="AH13" s="30" t="s">
        <v>117</v>
      </c>
      <c r="AI13" s="30" t="s">
        <v>117</v>
      </c>
      <c r="AJ13" s="30" t="s">
        <v>117</v>
      </c>
      <c r="AK13" s="30" t="s">
        <v>117</v>
      </c>
      <c r="AL13" s="30" t="s">
        <v>117</v>
      </c>
      <c r="AM13" s="30" t="s">
        <v>117</v>
      </c>
    </row>
    <row r="14" spans="1:39" ht="15.75" thickBot="1" x14ac:dyDescent="0.3">
      <c r="A14" s="110"/>
      <c r="B14" s="2">
        <v>10</v>
      </c>
      <c r="C14" s="21" t="s">
        <v>50</v>
      </c>
      <c r="D14" s="30" t="s">
        <v>116</v>
      </c>
      <c r="E14" s="30" t="s">
        <v>117</v>
      </c>
      <c r="F14" s="30" t="s">
        <v>117</v>
      </c>
      <c r="G14" s="30" t="s">
        <v>116</v>
      </c>
      <c r="H14" s="30" t="s">
        <v>117</v>
      </c>
      <c r="I14" s="30" t="s">
        <v>117</v>
      </c>
      <c r="J14" s="30" t="s">
        <v>117</v>
      </c>
      <c r="K14" s="30" t="s">
        <v>117</v>
      </c>
      <c r="L14" s="39" t="s">
        <v>117</v>
      </c>
      <c r="M14" s="39" t="s">
        <v>117</v>
      </c>
      <c r="N14" s="39" t="s">
        <v>117</v>
      </c>
      <c r="O14" s="39" t="s">
        <v>117</v>
      </c>
      <c r="P14" s="39" t="s">
        <v>117</v>
      </c>
      <c r="Q14" s="39" t="s">
        <v>117</v>
      </c>
      <c r="R14" s="39" t="s">
        <v>117</v>
      </c>
      <c r="S14" s="39" t="s">
        <v>117</v>
      </c>
      <c r="T14" s="39" t="s">
        <v>117</v>
      </c>
      <c r="U14" s="39" t="s">
        <v>117</v>
      </c>
      <c r="V14" s="39" t="s">
        <v>117</v>
      </c>
      <c r="W14" s="39" t="s">
        <v>117</v>
      </c>
      <c r="X14" s="39" t="s">
        <v>117</v>
      </c>
      <c r="Y14" s="39" t="s">
        <v>117</v>
      </c>
      <c r="Z14" s="39" t="s">
        <v>117</v>
      </c>
      <c r="AA14" s="39" t="s">
        <v>117</v>
      </c>
      <c r="AB14" s="39" t="s">
        <v>117</v>
      </c>
      <c r="AC14" s="39" t="s">
        <v>117</v>
      </c>
      <c r="AD14" s="39" t="s">
        <v>117</v>
      </c>
      <c r="AE14" s="39" t="s">
        <v>117</v>
      </c>
      <c r="AF14" s="39" t="s">
        <v>117</v>
      </c>
      <c r="AG14" s="39" t="s">
        <v>232</v>
      </c>
      <c r="AH14" s="39" t="s">
        <v>117</v>
      </c>
      <c r="AI14" s="39" t="s">
        <v>117</v>
      </c>
      <c r="AJ14" s="39" t="s">
        <v>117</v>
      </c>
      <c r="AK14" s="39" t="s">
        <v>117</v>
      </c>
      <c r="AL14" s="39" t="s">
        <v>117</v>
      </c>
      <c r="AM14" s="39" t="s">
        <v>117</v>
      </c>
    </row>
    <row r="15" spans="1:39" ht="15.75" thickBot="1" x14ac:dyDescent="0.3">
      <c r="A15" s="110"/>
      <c r="B15" s="2">
        <v>11</v>
      </c>
      <c r="C15" s="21" t="s">
        <v>51</v>
      </c>
      <c r="D15" s="31" t="s">
        <v>116</v>
      </c>
      <c r="E15" s="31" t="s">
        <v>117</v>
      </c>
      <c r="F15" s="30" t="s">
        <v>117</v>
      </c>
      <c r="G15" s="31" t="s">
        <v>116</v>
      </c>
      <c r="H15" s="30" t="s">
        <v>117</v>
      </c>
      <c r="I15" s="30" t="s">
        <v>117</v>
      </c>
      <c r="J15" s="30" t="s">
        <v>117</v>
      </c>
      <c r="K15" s="30" t="s">
        <v>117</v>
      </c>
      <c r="L15" s="30" t="s">
        <v>117</v>
      </c>
      <c r="M15" s="30" t="s">
        <v>117</v>
      </c>
      <c r="N15" s="30" t="s">
        <v>117</v>
      </c>
      <c r="O15" s="30" t="s">
        <v>117</v>
      </c>
      <c r="P15" s="30" t="s">
        <v>117</v>
      </c>
      <c r="Q15" s="30" t="s">
        <v>117</v>
      </c>
      <c r="R15" s="30" t="s">
        <v>117</v>
      </c>
      <c r="S15" s="30" t="s">
        <v>117</v>
      </c>
      <c r="T15" s="30" t="s">
        <v>117</v>
      </c>
      <c r="U15" s="30" t="s">
        <v>117</v>
      </c>
      <c r="V15" s="30" t="s">
        <v>117</v>
      </c>
      <c r="W15" s="30" t="s">
        <v>117</v>
      </c>
      <c r="X15" s="30" t="s">
        <v>117</v>
      </c>
      <c r="Y15" s="30" t="s">
        <v>117</v>
      </c>
      <c r="Z15" s="30" t="s">
        <v>117</v>
      </c>
      <c r="AA15" s="30" t="s">
        <v>117</v>
      </c>
      <c r="AB15" s="30" t="s">
        <v>117</v>
      </c>
      <c r="AC15" s="30" t="s">
        <v>117</v>
      </c>
      <c r="AD15" s="30" t="s">
        <v>117</v>
      </c>
      <c r="AE15" s="30" t="s">
        <v>117</v>
      </c>
      <c r="AF15" s="30" t="s">
        <v>117</v>
      </c>
      <c r="AG15" s="30" t="s">
        <v>117</v>
      </c>
      <c r="AH15" s="30" t="s">
        <v>117</v>
      </c>
      <c r="AI15" s="30" t="s">
        <v>117</v>
      </c>
      <c r="AJ15" s="30" t="s">
        <v>117</v>
      </c>
      <c r="AK15" s="30" t="s">
        <v>117</v>
      </c>
      <c r="AL15" s="30" t="s">
        <v>117</v>
      </c>
      <c r="AM15" s="30" t="s">
        <v>117</v>
      </c>
    </row>
    <row r="16" spans="1:39" ht="15.75" thickBot="1" x14ac:dyDescent="0.3">
      <c r="A16" s="110"/>
      <c r="B16" s="2">
        <v>12</v>
      </c>
      <c r="C16" s="21" t="s">
        <v>52</v>
      </c>
      <c r="D16" s="32" t="s">
        <v>116</v>
      </c>
      <c r="E16" s="30" t="s">
        <v>117</v>
      </c>
      <c r="F16" s="30" t="s">
        <v>117</v>
      </c>
      <c r="G16" s="32" t="s">
        <v>116</v>
      </c>
      <c r="H16" s="30" t="s">
        <v>117</v>
      </c>
      <c r="I16" s="30" t="s">
        <v>117</v>
      </c>
      <c r="J16" s="30" t="s">
        <v>117</v>
      </c>
      <c r="K16" s="30" t="s">
        <v>117</v>
      </c>
      <c r="L16" s="30" t="s">
        <v>117</v>
      </c>
      <c r="M16" s="30" t="s">
        <v>117</v>
      </c>
      <c r="N16" s="30" t="s">
        <v>117</v>
      </c>
      <c r="O16" s="30" t="s">
        <v>117</v>
      </c>
      <c r="P16" s="30" t="s">
        <v>117</v>
      </c>
      <c r="Q16" s="30" t="s">
        <v>117</v>
      </c>
      <c r="R16" s="30" t="s">
        <v>117</v>
      </c>
      <c r="S16" s="39" t="s">
        <v>117</v>
      </c>
      <c r="T16" s="30" t="s">
        <v>117</v>
      </c>
      <c r="U16" s="39" t="s">
        <v>117</v>
      </c>
      <c r="V16" s="39" t="s">
        <v>117</v>
      </c>
      <c r="W16" s="39" t="s">
        <v>117</v>
      </c>
      <c r="X16" s="39" t="s">
        <v>117</v>
      </c>
      <c r="Y16" s="39" t="s">
        <v>117</v>
      </c>
      <c r="Z16" s="39" t="s">
        <v>117</v>
      </c>
      <c r="AA16" s="39" t="s">
        <v>120</v>
      </c>
      <c r="AB16" s="39" t="s">
        <v>117</v>
      </c>
      <c r="AC16" s="39" t="s">
        <v>117</v>
      </c>
      <c r="AD16" s="39" t="s">
        <v>117</v>
      </c>
      <c r="AE16" s="39" t="s">
        <v>117</v>
      </c>
      <c r="AF16" s="39" t="s">
        <v>117</v>
      </c>
      <c r="AG16" s="39" t="s">
        <v>117</v>
      </c>
      <c r="AH16" s="39" t="s">
        <v>117</v>
      </c>
      <c r="AI16" s="39" t="s">
        <v>117</v>
      </c>
      <c r="AJ16" s="39" t="s">
        <v>117</v>
      </c>
      <c r="AK16" s="39" t="s">
        <v>117</v>
      </c>
      <c r="AL16" s="39" t="s">
        <v>117</v>
      </c>
      <c r="AM16" s="39" t="s">
        <v>117</v>
      </c>
    </row>
    <row r="17" spans="1:39" ht="15.75" thickBot="1" x14ac:dyDescent="0.3">
      <c r="A17" s="110"/>
      <c r="B17" s="2">
        <v>13</v>
      </c>
      <c r="C17" s="21" t="s">
        <v>54</v>
      </c>
      <c r="D17" s="32" t="s">
        <v>116</v>
      </c>
      <c r="E17" s="30" t="s">
        <v>117</v>
      </c>
      <c r="F17" s="30" t="s">
        <v>117</v>
      </c>
      <c r="G17" s="32" t="s">
        <v>116</v>
      </c>
      <c r="H17" s="30" t="s">
        <v>117</v>
      </c>
      <c r="I17" s="30" t="s">
        <v>117</v>
      </c>
      <c r="J17" s="30" t="s">
        <v>117</v>
      </c>
      <c r="K17" s="30" t="s">
        <v>117</v>
      </c>
      <c r="L17" s="30" t="s">
        <v>117</v>
      </c>
      <c r="M17" s="30" t="s">
        <v>117</v>
      </c>
      <c r="N17" s="30" t="s">
        <v>117</v>
      </c>
      <c r="O17" s="30" t="s">
        <v>117</v>
      </c>
      <c r="P17" s="30" t="s">
        <v>117</v>
      </c>
      <c r="Q17" s="30" t="s">
        <v>118</v>
      </c>
      <c r="R17" s="30" t="s">
        <v>117</v>
      </c>
      <c r="S17" s="30" t="s">
        <v>117</v>
      </c>
      <c r="T17" s="30" t="s">
        <v>117</v>
      </c>
      <c r="U17" s="30" t="s">
        <v>117</v>
      </c>
      <c r="V17" s="30" t="s">
        <v>117</v>
      </c>
      <c r="W17" s="30" t="s">
        <v>117</v>
      </c>
      <c r="X17" s="30" t="s">
        <v>117</v>
      </c>
      <c r="Y17" s="30" t="s">
        <v>117</v>
      </c>
      <c r="Z17" s="30" t="s">
        <v>117</v>
      </c>
      <c r="AA17" s="30" t="s">
        <v>117</v>
      </c>
      <c r="AB17" s="30" t="s">
        <v>117</v>
      </c>
      <c r="AC17" s="30" t="s">
        <v>117</v>
      </c>
      <c r="AD17" s="30" t="s">
        <v>117</v>
      </c>
      <c r="AE17" s="30" t="s">
        <v>117</v>
      </c>
      <c r="AF17" s="30" t="s">
        <v>117</v>
      </c>
      <c r="AG17" s="30" t="s">
        <v>117</v>
      </c>
      <c r="AH17" s="30" t="s">
        <v>117</v>
      </c>
      <c r="AI17" s="30" t="s">
        <v>117</v>
      </c>
      <c r="AJ17" s="30" t="s">
        <v>117</v>
      </c>
      <c r="AK17" s="30" t="s">
        <v>117</v>
      </c>
      <c r="AL17" s="30" t="s">
        <v>117</v>
      </c>
      <c r="AM17" s="30" t="s">
        <v>117</v>
      </c>
    </row>
    <row r="18" spans="1:39" ht="15.75" thickBot="1" x14ac:dyDescent="0.3">
      <c r="A18" s="110"/>
      <c r="B18" s="2">
        <v>14</v>
      </c>
      <c r="C18" s="21" t="s">
        <v>55</v>
      </c>
      <c r="D18" s="30" t="s">
        <v>116</v>
      </c>
      <c r="E18" s="30" t="s">
        <v>117</v>
      </c>
      <c r="F18" s="30" t="s">
        <v>117</v>
      </c>
      <c r="G18" s="30" t="s">
        <v>116</v>
      </c>
      <c r="H18" s="30" t="s">
        <v>117</v>
      </c>
      <c r="I18" s="30" t="s">
        <v>117</v>
      </c>
      <c r="J18" s="30" t="s">
        <v>117</v>
      </c>
      <c r="K18" s="30" t="s">
        <v>117</v>
      </c>
      <c r="L18" s="30" t="s">
        <v>117</v>
      </c>
      <c r="M18" s="30" t="s">
        <v>117</v>
      </c>
      <c r="N18" s="30" t="s">
        <v>117</v>
      </c>
      <c r="O18" s="30" t="s">
        <v>117</v>
      </c>
      <c r="P18" s="30" t="s">
        <v>117</v>
      </c>
      <c r="Q18" s="30" t="s">
        <v>117</v>
      </c>
      <c r="R18" s="30" t="s">
        <v>117</v>
      </c>
      <c r="S18" s="30" t="s">
        <v>117</v>
      </c>
      <c r="T18" s="30" t="s">
        <v>117</v>
      </c>
      <c r="U18" s="30" t="s">
        <v>117</v>
      </c>
      <c r="V18" s="30" t="s">
        <v>117</v>
      </c>
      <c r="W18" s="30" t="s">
        <v>117</v>
      </c>
      <c r="X18" s="30" t="s">
        <v>117</v>
      </c>
      <c r="Y18" s="30" t="s">
        <v>117</v>
      </c>
      <c r="Z18" s="30" t="s">
        <v>117</v>
      </c>
      <c r="AA18" s="30" t="s">
        <v>117</v>
      </c>
      <c r="AB18" s="30" t="s">
        <v>117</v>
      </c>
      <c r="AC18" s="30" t="s">
        <v>117</v>
      </c>
      <c r="AD18" s="30" t="s">
        <v>117</v>
      </c>
      <c r="AE18" s="30" t="s">
        <v>117</v>
      </c>
      <c r="AF18" s="30" t="s">
        <v>117</v>
      </c>
      <c r="AG18" s="30" t="s">
        <v>117</v>
      </c>
      <c r="AH18" s="30" t="s">
        <v>117</v>
      </c>
      <c r="AI18" s="30" t="s">
        <v>117</v>
      </c>
      <c r="AJ18" s="30" t="s">
        <v>117</v>
      </c>
      <c r="AK18" s="30" t="s">
        <v>117</v>
      </c>
      <c r="AL18" s="30" t="s">
        <v>117</v>
      </c>
      <c r="AM18" s="30" t="s">
        <v>117</v>
      </c>
    </row>
    <row r="19" spans="1:39" ht="15.75" thickBot="1" x14ac:dyDescent="0.3">
      <c r="A19" s="110"/>
      <c r="B19" s="2">
        <v>15</v>
      </c>
      <c r="C19" s="21" t="s">
        <v>57</v>
      </c>
      <c r="D19" s="30" t="s">
        <v>116</v>
      </c>
      <c r="E19" s="30" t="s">
        <v>117</v>
      </c>
      <c r="F19" s="30" t="s">
        <v>117</v>
      </c>
      <c r="G19" s="30" t="s">
        <v>116</v>
      </c>
      <c r="H19" s="30" t="s">
        <v>117</v>
      </c>
      <c r="I19" s="30" t="s">
        <v>117</v>
      </c>
      <c r="J19" s="30" t="s">
        <v>117</v>
      </c>
      <c r="K19" s="30" t="s">
        <v>117</v>
      </c>
      <c r="L19" s="30" t="s">
        <v>117</v>
      </c>
      <c r="M19" s="30" t="s">
        <v>117</v>
      </c>
      <c r="N19" s="30" t="s">
        <v>117</v>
      </c>
      <c r="O19" s="30" t="s">
        <v>117</v>
      </c>
      <c r="P19" s="30" t="s">
        <v>117</v>
      </c>
      <c r="Q19" s="30" t="s">
        <v>117</v>
      </c>
      <c r="R19" s="30" t="s">
        <v>117</v>
      </c>
      <c r="S19" s="30" t="s">
        <v>117</v>
      </c>
      <c r="T19" s="30" t="s">
        <v>117</v>
      </c>
      <c r="U19" s="30" t="s">
        <v>117</v>
      </c>
      <c r="V19" s="30" t="s">
        <v>117</v>
      </c>
      <c r="W19" s="30" t="s">
        <v>117</v>
      </c>
      <c r="X19" s="30" t="s">
        <v>117</v>
      </c>
      <c r="Y19" s="30" t="s">
        <v>117</v>
      </c>
      <c r="Z19" s="30" t="s">
        <v>117</v>
      </c>
      <c r="AA19" s="30" t="s">
        <v>117</v>
      </c>
      <c r="AB19" s="30" t="s">
        <v>117</v>
      </c>
      <c r="AC19" s="30" t="s">
        <v>117</v>
      </c>
      <c r="AD19" s="30" t="s">
        <v>117</v>
      </c>
      <c r="AE19" s="30" t="s">
        <v>117</v>
      </c>
      <c r="AF19" s="30" t="s">
        <v>117</v>
      </c>
      <c r="AG19" s="30" t="s">
        <v>117</v>
      </c>
      <c r="AH19" s="30" t="s">
        <v>117</v>
      </c>
      <c r="AI19" s="30" t="s">
        <v>117</v>
      </c>
      <c r="AJ19" s="30" t="s">
        <v>117</v>
      </c>
      <c r="AK19" s="30" t="s">
        <v>117</v>
      </c>
      <c r="AL19" s="30" t="s">
        <v>117</v>
      </c>
      <c r="AM19" s="30" t="s">
        <v>117</v>
      </c>
    </row>
    <row r="20" spans="1:39" ht="15.75" thickBot="1" x14ac:dyDescent="0.3">
      <c r="A20" s="110"/>
      <c r="B20" s="2">
        <v>16</v>
      </c>
      <c r="C20" s="21" t="s">
        <v>59</v>
      </c>
      <c r="D20" s="30" t="s">
        <v>116</v>
      </c>
      <c r="E20" s="30" t="s">
        <v>117</v>
      </c>
      <c r="F20" s="30" t="s">
        <v>117</v>
      </c>
      <c r="G20" s="30" t="s">
        <v>116</v>
      </c>
      <c r="H20" s="30" t="s">
        <v>117</v>
      </c>
      <c r="I20" s="30" t="s">
        <v>117</v>
      </c>
      <c r="J20" s="30" t="s">
        <v>117</v>
      </c>
      <c r="K20" s="30" t="s">
        <v>122</v>
      </c>
      <c r="L20" s="30" t="s">
        <v>117</v>
      </c>
      <c r="M20" s="30" t="s">
        <v>117</v>
      </c>
      <c r="N20" s="30" t="s">
        <v>121</v>
      </c>
      <c r="O20" s="30" t="s">
        <v>117</v>
      </c>
      <c r="P20" s="30" t="s">
        <v>223</v>
      </c>
      <c r="Q20" s="30" t="s">
        <v>117</v>
      </c>
      <c r="R20" s="30" t="s">
        <v>117</v>
      </c>
      <c r="S20" s="30" t="s">
        <v>117</v>
      </c>
      <c r="T20" s="30" t="s">
        <v>117</v>
      </c>
      <c r="U20" s="30" t="s">
        <v>117</v>
      </c>
      <c r="V20" s="30" t="s">
        <v>123</v>
      </c>
      <c r="W20" s="30" t="s">
        <v>117</v>
      </c>
      <c r="X20" s="30" t="s">
        <v>117</v>
      </c>
      <c r="Y20" s="30" t="s">
        <v>117</v>
      </c>
      <c r="Z20" s="30" t="s">
        <v>117</v>
      </c>
      <c r="AA20" s="30" t="s">
        <v>123</v>
      </c>
      <c r="AB20" s="30" t="s">
        <v>117</v>
      </c>
      <c r="AC20" s="30" t="s">
        <v>117</v>
      </c>
      <c r="AD20" s="30" t="s">
        <v>118</v>
      </c>
      <c r="AE20" s="30" t="s">
        <v>117</v>
      </c>
      <c r="AF20" s="30" t="s">
        <v>117</v>
      </c>
      <c r="AG20" s="30" t="s">
        <v>233</v>
      </c>
      <c r="AH20" s="30" t="s">
        <v>117</v>
      </c>
      <c r="AI20" s="30" t="s">
        <v>123</v>
      </c>
      <c r="AJ20" s="30" t="s">
        <v>117</v>
      </c>
      <c r="AK20" s="30" t="s">
        <v>117</v>
      </c>
      <c r="AL20" s="30" t="s">
        <v>117</v>
      </c>
      <c r="AM20" s="30" t="s">
        <v>123</v>
      </c>
    </row>
    <row r="21" spans="1:39" ht="15.75" thickBot="1" x14ac:dyDescent="0.3">
      <c r="A21" s="110"/>
      <c r="B21" s="2">
        <v>17</v>
      </c>
      <c r="C21" s="21" t="s">
        <v>61</v>
      </c>
      <c r="D21" s="30" t="s">
        <v>116</v>
      </c>
      <c r="E21" s="30" t="s">
        <v>117</v>
      </c>
      <c r="F21" s="30" t="s">
        <v>117</v>
      </c>
      <c r="G21" s="30" t="s">
        <v>116</v>
      </c>
      <c r="H21" s="30" t="s">
        <v>117</v>
      </c>
      <c r="I21" s="30" t="s">
        <v>117</v>
      </c>
      <c r="J21" s="30" t="s">
        <v>117</v>
      </c>
      <c r="K21" s="30" t="s">
        <v>117</v>
      </c>
      <c r="L21" s="30" t="s">
        <v>117</v>
      </c>
      <c r="M21" s="30" t="s">
        <v>117</v>
      </c>
      <c r="N21" s="30" t="s">
        <v>117</v>
      </c>
      <c r="O21" s="30" t="s">
        <v>117</v>
      </c>
      <c r="P21" s="30" t="s">
        <v>117</v>
      </c>
      <c r="Q21" s="30" t="s">
        <v>117</v>
      </c>
      <c r="R21" s="30" t="s">
        <v>117</v>
      </c>
      <c r="S21" s="30" t="s">
        <v>117</v>
      </c>
      <c r="T21" s="30" t="s">
        <v>117</v>
      </c>
      <c r="U21" s="30" t="s">
        <v>117</v>
      </c>
      <c r="V21" s="30" t="s">
        <v>117</v>
      </c>
      <c r="W21" s="30" t="s">
        <v>117</v>
      </c>
      <c r="X21" s="30" t="s">
        <v>117</v>
      </c>
      <c r="Y21" s="30" t="s">
        <v>117</v>
      </c>
      <c r="Z21" s="30" t="s">
        <v>117</v>
      </c>
      <c r="AA21" s="30" t="s">
        <v>117</v>
      </c>
      <c r="AB21" s="30" t="s">
        <v>117</v>
      </c>
      <c r="AC21" s="30" t="s">
        <v>117</v>
      </c>
      <c r="AD21" s="30" t="s">
        <v>117</v>
      </c>
      <c r="AE21" s="30" t="s">
        <v>117</v>
      </c>
      <c r="AF21" s="30" t="s">
        <v>117</v>
      </c>
      <c r="AG21" s="30" t="s">
        <v>130</v>
      </c>
      <c r="AH21" s="30" t="s">
        <v>117</v>
      </c>
      <c r="AI21" s="30" t="s">
        <v>117</v>
      </c>
      <c r="AJ21" s="30" t="s">
        <v>117</v>
      </c>
      <c r="AK21" s="30" t="s">
        <v>117</v>
      </c>
      <c r="AL21" s="30" t="s">
        <v>117</v>
      </c>
      <c r="AM21" s="30" t="s">
        <v>117</v>
      </c>
    </row>
    <row r="22" spans="1:39" ht="15.75" thickBot="1" x14ac:dyDescent="0.3">
      <c r="A22" s="110"/>
      <c r="B22" s="2">
        <v>18</v>
      </c>
      <c r="C22" s="21" t="s">
        <v>62</v>
      </c>
      <c r="D22" s="30" t="s">
        <v>116</v>
      </c>
      <c r="E22" s="30" t="s">
        <v>117</v>
      </c>
      <c r="F22" s="30" t="s">
        <v>117</v>
      </c>
      <c r="G22" s="30" t="s">
        <v>116</v>
      </c>
      <c r="H22" s="30" t="s">
        <v>117</v>
      </c>
      <c r="I22" s="30" t="s">
        <v>117</v>
      </c>
      <c r="J22" s="30" t="s">
        <v>117</v>
      </c>
      <c r="K22" s="30" t="s">
        <v>117</v>
      </c>
      <c r="L22" s="30" t="s">
        <v>117</v>
      </c>
      <c r="M22" s="30" t="s">
        <v>117</v>
      </c>
      <c r="N22" s="30" t="s">
        <v>117</v>
      </c>
      <c r="O22" s="30" t="s">
        <v>117</v>
      </c>
      <c r="P22" s="30" t="s">
        <v>222</v>
      </c>
      <c r="Q22" s="30" t="s">
        <v>117</v>
      </c>
      <c r="R22" s="30" t="s">
        <v>117</v>
      </c>
      <c r="S22" s="30" t="s">
        <v>117</v>
      </c>
      <c r="T22" s="30" t="s">
        <v>117</v>
      </c>
      <c r="U22" s="30" t="s">
        <v>117</v>
      </c>
      <c r="V22" s="30" t="s">
        <v>117</v>
      </c>
      <c r="W22" s="30" t="s">
        <v>117</v>
      </c>
      <c r="X22" s="30" t="s">
        <v>127</v>
      </c>
      <c r="Y22" s="30" t="s">
        <v>117</v>
      </c>
      <c r="Z22" s="30" t="s">
        <v>117</v>
      </c>
      <c r="AA22" s="30" t="s">
        <v>117</v>
      </c>
      <c r="AB22" s="30" t="s">
        <v>117</v>
      </c>
      <c r="AC22" s="30" t="s">
        <v>117</v>
      </c>
      <c r="AD22" s="30" t="s">
        <v>117</v>
      </c>
      <c r="AE22" s="30" t="s">
        <v>117</v>
      </c>
      <c r="AF22" s="30" t="s">
        <v>117</v>
      </c>
      <c r="AG22" s="30" t="s">
        <v>127</v>
      </c>
      <c r="AH22" s="30" t="s">
        <v>117</v>
      </c>
      <c r="AI22" s="30" t="s">
        <v>117</v>
      </c>
      <c r="AJ22" s="30" t="s">
        <v>117</v>
      </c>
      <c r="AK22" s="30" t="s">
        <v>117</v>
      </c>
      <c r="AL22" s="30" t="s">
        <v>117</v>
      </c>
      <c r="AM22" s="30" t="s">
        <v>117</v>
      </c>
    </row>
    <row r="23" spans="1:39" ht="15.75" thickBot="1" x14ac:dyDescent="0.3">
      <c r="A23" s="111"/>
      <c r="B23" s="2">
        <v>19</v>
      </c>
      <c r="C23" s="22" t="s">
        <v>64</v>
      </c>
      <c r="D23" s="34" t="s">
        <v>116</v>
      </c>
      <c r="E23" s="30" t="s">
        <v>117</v>
      </c>
      <c r="F23" s="33" t="s">
        <v>117</v>
      </c>
      <c r="G23" s="34" t="s">
        <v>116</v>
      </c>
      <c r="H23" s="33" t="s">
        <v>117</v>
      </c>
      <c r="I23" s="33" t="s">
        <v>117</v>
      </c>
      <c r="J23" s="33" t="s">
        <v>117</v>
      </c>
      <c r="K23" s="33" t="s">
        <v>215</v>
      </c>
      <c r="L23" s="33" t="s">
        <v>117</v>
      </c>
      <c r="M23" s="30" t="s">
        <v>117</v>
      </c>
      <c r="N23" s="33" t="s">
        <v>117</v>
      </c>
      <c r="O23" s="33" t="s">
        <v>117</v>
      </c>
      <c r="P23" s="33" t="s">
        <v>224</v>
      </c>
      <c r="Q23" s="33" t="s">
        <v>117</v>
      </c>
      <c r="R23" s="33" t="s">
        <v>117</v>
      </c>
      <c r="S23" s="33" t="s">
        <v>212</v>
      </c>
      <c r="T23" s="33" t="s">
        <v>212</v>
      </c>
      <c r="U23" s="33" t="s">
        <v>126</v>
      </c>
      <c r="V23" s="33" t="s">
        <v>126</v>
      </c>
      <c r="W23" s="33" t="s">
        <v>127</v>
      </c>
      <c r="X23" s="33" t="s">
        <v>127</v>
      </c>
      <c r="Y23" s="33" t="s">
        <v>117</v>
      </c>
      <c r="Z23" s="33" t="s">
        <v>117</v>
      </c>
      <c r="AA23" s="33" t="s">
        <v>117</v>
      </c>
      <c r="AB23" s="33" t="s">
        <v>117</v>
      </c>
      <c r="AC23" s="33" t="s">
        <v>117</v>
      </c>
      <c r="AD23" s="33" t="s">
        <v>117</v>
      </c>
      <c r="AE23" s="33" t="s">
        <v>127</v>
      </c>
      <c r="AF23" s="33" t="s">
        <v>117</v>
      </c>
      <c r="AG23" s="33" t="s">
        <v>117</v>
      </c>
      <c r="AH23" s="30" t="s">
        <v>127</v>
      </c>
      <c r="AI23" s="33" t="s">
        <v>117</v>
      </c>
      <c r="AJ23" s="33" t="s">
        <v>128</v>
      </c>
      <c r="AK23" s="33" t="s">
        <v>117</v>
      </c>
      <c r="AL23" s="33" t="s">
        <v>117</v>
      </c>
      <c r="AM23" s="33" t="s">
        <v>117</v>
      </c>
    </row>
    <row r="24" spans="1:39" ht="15.75" thickBot="1" x14ac:dyDescent="0.3">
      <c r="A24" s="110" t="s">
        <v>66</v>
      </c>
      <c r="B24" s="2">
        <v>20</v>
      </c>
      <c r="C24" s="23" t="s">
        <v>45</v>
      </c>
      <c r="D24" s="32" t="s">
        <v>116</v>
      </c>
      <c r="E24" s="32" t="s">
        <v>117</v>
      </c>
      <c r="F24" s="29" t="s">
        <v>117</v>
      </c>
      <c r="G24" s="32" t="s">
        <v>116</v>
      </c>
      <c r="H24" s="29" t="s">
        <v>117</v>
      </c>
      <c r="I24" s="29" t="s">
        <v>117</v>
      </c>
      <c r="J24" s="29" t="s">
        <v>117</v>
      </c>
      <c r="K24" s="29" t="s">
        <v>117</v>
      </c>
      <c r="L24" s="29" t="s">
        <v>117</v>
      </c>
      <c r="M24" s="29" t="s">
        <v>117</v>
      </c>
      <c r="N24" s="29" t="s">
        <v>117</v>
      </c>
      <c r="O24" s="29" t="s">
        <v>117</v>
      </c>
      <c r="P24" s="29" t="s">
        <v>117</v>
      </c>
      <c r="Q24" s="29" t="s">
        <v>117</v>
      </c>
      <c r="R24" s="29" t="s">
        <v>117</v>
      </c>
      <c r="S24" s="29" t="s">
        <v>117</v>
      </c>
      <c r="T24" s="29" t="s">
        <v>117</v>
      </c>
      <c r="U24" s="29" t="s">
        <v>117</v>
      </c>
      <c r="V24" s="29" t="s">
        <v>117</v>
      </c>
      <c r="W24" s="29" t="s">
        <v>117</v>
      </c>
      <c r="X24" s="29" t="s">
        <v>117</v>
      </c>
      <c r="Y24" s="29" t="s">
        <v>117</v>
      </c>
      <c r="Z24" s="29" t="s">
        <v>117</v>
      </c>
      <c r="AA24" s="29" t="s">
        <v>117</v>
      </c>
      <c r="AB24" s="29" t="s">
        <v>117</v>
      </c>
      <c r="AC24" s="29" t="s">
        <v>117</v>
      </c>
      <c r="AD24" s="29" t="s">
        <v>117</v>
      </c>
      <c r="AE24" s="29" t="s">
        <v>117</v>
      </c>
      <c r="AF24" s="29" t="s">
        <v>117</v>
      </c>
      <c r="AG24" s="29" t="s">
        <v>117</v>
      </c>
      <c r="AH24" s="29" t="s">
        <v>117</v>
      </c>
      <c r="AI24" s="29" t="s">
        <v>117</v>
      </c>
      <c r="AJ24" s="29" t="s">
        <v>117</v>
      </c>
      <c r="AK24" s="29" t="s">
        <v>117</v>
      </c>
      <c r="AL24" s="29" t="s">
        <v>117</v>
      </c>
      <c r="AM24" s="29" t="s">
        <v>117</v>
      </c>
    </row>
    <row r="25" spans="1:39" ht="15.75" thickBot="1" x14ac:dyDescent="0.3">
      <c r="A25" s="110"/>
      <c r="B25" s="2">
        <v>21</v>
      </c>
      <c r="C25" s="21" t="s">
        <v>47</v>
      </c>
      <c r="D25" s="32" t="s">
        <v>116</v>
      </c>
      <c r="E25" s="32" t="s">
        <v>117</v>
      </c>
      <c r="F25" s="30" t="s">
        <v>117</v>
      </c>
      <c r="G25" s="32" t="s">
        <v>116</v>
      </c>
      <c r="H25" s="30" t="s">
        <v>117</v>
      </c>
      <c r="I25" s="30" t="s">
        <v>117</v>
      </c>
      <c r="J25" s="30" t="s">
        <v>117</v>
      </c>
      <c r="K25" s="30" t="s">
        <v>117</v>
      </c>
      <c r="L25" s="30" t="s">
        <v>117</v>
      </c>
      <c r="M25" s="30" t="s">
        <v>117</v>
      </c>
      <c r="N25" s="30" t="s">
        <v>117</v>
      </c>
      <c r="O25" s="30" t="s">
        <v>117</v>
      </c>
      <c r="P25" s="30" t="s">
        <v>117</v>
      </c>
      <c r="Q25" s="30" t="s">
        <v>117</v>
      </c>
      <c r="R25" s="30" t="s">
        <v>117</v>
      </c>
      <c r="S25" s="30" t="s">
        <v>117</v>
      </c>
      <c r="T25" s="30" t="s">
        <v>117</v>
      </c>
      <c r="U25" s="30" t="s">
        <v>117</v>
      </c>
      <c r="V25" s="30" t="s">
        <v>117</v>
      </c>
      <c r="W25" s="30" t="s">
        <v>117</v>
      </c>
      <c r="X25" s="30" t="s">
        <v>117</v>
      </c>
      <c r="Y25" s="30" t="s">
        <v>117</v>
      </c>
      <c r="Z25" s="30" t="s">
        <v>117</v>
      </c>
      <c r="AA25" s="30" t="s">
        <v>117</v>
      </c>
      <c r="AB25" s="30" t="s">
        <v>117</v>
      </c>
      <c r="AC25" s="30" t="s">
        <v>117</v>
      </c>
      <c r="AD25" s="30" t="s">
        <v>117</v>
      </c>
      <c r="AE25" s="30" t="s">
        <v>117</v>
      </c>
      <c r="AF25" s="30" t="s">
        <v>117</v>
      </c>
      <c r="AG25" s="30" t="s">
        <v>117</v>
      </c>
      <c r="AH25" s="30" t="s">
        <v>117</v>
      </c>
      <c r="AI25" s="30" t="s">
        <v>117</v>
      </c>
      <c r="AJ25" s="30" t="s">
        <v>117</v>
      </c>
      <c r="AK25" s="30" t="s">
        <v>117</v>
      </c>
      <c r="AL25" s="30" t="s">
        <v>117</v>
      </c>
      <c r="AM25" s="30" t="s">
        <v>117</v>
      </c>
    </row>
    <row r="26" spans="1:39" ht="15.75" thickBot="1" x14ac:dyDescent="0.3">
      <c r="A26" s="110"/>
      <c r="B26" s="2">
        <v>22</v>
      </c>
      <c r="C26" s="21" t="s">
        <v>67</v>
      </c>
      <c r="D26" s="32" t="s">
        <v>116</v>
      </c>
      <c r="E26" s="32" t="s">
        <v>117</v>
      </c>
      <c r="F26" s="30" t="s">
        <v>117</v>
      </c>
      <c r="G26" s="32" t="s">
        <v>116</v>
      </c>
      <c r="H26" s="30" t="s">
        <v>117</v>
      </c>
      <c r="I26" s="30" t="s">
        <v>117</v>
      </c>
      <c r="J26" s="30" t="s">
        <v>117</v>
      </c>
      <c r="K26" s="30" t="s">
        <v>117</v>
      </c>
      <c r="L26" s="30" t="s">
        <v>117</v>
      </c>
      <c r="M26" s="30" t="s">
        <v>117</v>
      </c>
      <c r="N26" s="30" t="s">
        <v>117</v>
      </c>
      <c r="O26" s="30" t="s">
        <v>117</v>
      </c>
      <c r="P26" s="30" t="s">
        <v>117</v>
      </c>
      <c r="Q26" s="30" t="s">
        <v>117</v>
      </c>
      <c r="R26" s="30" t="s">
        <v>117</v>
      </c>
      <c r="S26" s="30" t="s">
        <v>117</v>
      </c>
      <c r="T26" s="30" t="s">
        <v>117</v>
      </c>
      <c r="U26" s="30" t="s">
        <v>117</v>
      </c>
      <c r="V26" s="30" t="s">
        <v>117</v>
      </c>
      <c r="W26" s="30" t="s">
        <v>117</v>
      </c>
      <c r="X26" s="30" t="s">
        <v>117</v>
      </c>
      <c r="Y26" s="30" t="s">
        <v>117</v>
      </c>
      <c r="Z26" s="30" t="s">
        <v>117</v>
      </c>
      <c r="AA26" s="30" t="s">
        <v>117</v>
      </c>
      <c r="AB26" s="30" t="s">
        <v>117</v>
      </c>
      <c r="AC26" s="30" t="s">
        <v>117</v>
      </c>
      <c r="AD26" s="30" t="s">
        <v>117</v>
      </c>
      <c r="AE26" s="30" t="s">
        <v>117</v>
      </c>
      <c r="AF26" s="30" t="s">
        <v>117</v>
      </c>
      <c r="AG26" s="30" t="s">
        <v>117</v>
      </c>
      <c r="AH26" s="30" t="s">
        <v>117</v>
      </c>
      <c r="AI26" s="30" t="s">
        <v>117</v>
      </c>
      <c r="AJ26" s="30" t="s">
        <v>117</v>
      </c>
      <c r="AK26" s="30" t="s">
        <v>117</v>
      </c>
      <c r="AL26" s="30" t="s">
        <v>117</v>
      </c>
      <c r="AM26" s="30" t="s">
        <v>117</v>
      </c>
    </row>
    <row r="27" spans="1:39" ht="15.75" thickBot="1" x14ac:dyDescent="0.3">
      <c r="A27" s="110"/>
      <c r="B27" s="2">
        <v>23</v>
      </c>
      <c r="C27" s="21" t="s">
        <v>68</v>
      </c>
      <c r="D27" s="32" t="s">
        <v>116</v>
      </c>
      <c r="E27" s="32" t="s">
        <v>117</v>
      </c>
      <c r="F27" s="30" t="s">
        <v>117</v>
      </c>
      <c r="G27" s="32" t="s">
        <v>116</v>
      </c>
      <c r="H27" s="30" t="s">
        <v>117</v>
      </c>
      <c r="I27" s="30" t="s">
        <v>117</v>
      </c>
      <c r="J27" s="30" t="s">
        <v>117</v>
      </c>
      <c r="K27" s="30" t="s">
        <v>117</v>
      </c>
      <c r="L27" s="30" t="s">
        <v>117</v>
      </c>
      <c r="M27" s="30" t="s">
        <v>117</v>
      </c>
      <c r="N27" s="30" t="s">
        <v>117</v>
      </c>
      <c r="O27" s="30" t="s">
        <v>117</v>
      </c>
      <c r="P27" s="30" t="s">
        <v>117</v>
      </c>
      <c r="Q27" s="30" t="s">
        <v>117</v>
      </c>
      <c r="R27" s="30" t="s">
        <v>117</v>
      </c>
      <c r="S27" s="30" t="s">
        <v>117</v>
      </c>
      <c r="T27" s="30" t="s">
        <v>117</v>
      </c>
      <c r="U27" s="30" t="s">
        <v>117</v>
      </c>
      <c r="V27" s="30" t="s">
        <v>117</v>
      </c>
      <c r="W27" s="30" t="s">
        <v>117</v>
      </c>
      <c r="X27" s="30" t="s">
        <v>117</v>
      </c>
      <c r="Y27" s="30" t="s">
        <v>117</v>
      </c>
      <c r="Z27" s="30" t="s">
        <v>117</v>
      </c>
      <c r="AA27" s="30" t="s">
        <v>117</v>
      </c>
      <c r="AB27" s="30" t="s">
        <v>117</v>
      </c>
      <c r="AC27" s="30" t="s">
        <v>117</v>
      </c>
      <c r="AD27" s="30" t="s">
        <v>117</v>
      </c>
      <c r="AE27" s="30" t="s">
        <v>117</v>
      </c>
      <c r="AF27" s="30" t="s">
        <v>117</v>
      </c>
      <c r="AG27" s="30" t="s">
        <v>117</v>
      </c>
      <c r="AH27" s="30" t="s">
        <v>117</v>
      </c>
      <c r="AI27" s="30" t="s">
        <v>117</v>
      </c>
      <c r="AJ27" s="30" t="s">
        <v>117</v>
      </c>
      <c r="AK27" s="30" t="s">
        <v>117</v>
      </c>
      <c r="AL27" s="30" t="s">
        <v>118</v>
      </c>
      <c r="AM27" s="30" t="s">
        <v>117</v>
      </c>
    </row>
    <row r="28" spans="1:39" ht="15.75" thickBot="1" x14ac:dyDescent="0.3">
      <c r="A28" s="110"/>
      <c r="B28" s="2">
        <v>24</v>
      </c>
      <c r="C28" s="21" t="s">
        <v>70</v>
      </c>
      <c r="D28" s="32" t="s">
        <v>116</v>
      </c>
      <c r="E28" s="32" t="s">
        <v>117</v>
      </c>
      <c r="F28" s="30" t="s">
        <v>117</v>
      </c>
      <c r="G28" s="32" t="s">
        <v>116</v>
      </c>
      <c r="H28" s="30" t="s">
        <v>117</v>
      </c>
      <c r="I28" s="30" t="s">
        <v>117</v>
      </c>
      <c r="J28" s="30" t="s">
        <v>117</v>
      </c>
      <c r="K28" s="30" t="s">
        <v>117</v>
      </c>
      <c r="L28" s="30" t="s">
        <v>117</v>
      </c>
      <c r="M28" s="30" t="s">
        <v>117</v>
      </c>
      <c r="N28" s="30" t="s">
        <v>117</v>
      </c>
      <c r="O28" s="30" t="s">
        <v>117</v>
      </c>
      <c r="P28" s="30" t="s">
        <v>117</v>
      </c>
      <c r="Q28" s="30" t="s">
        <v>117</v>
      </c>
      <c r="R28" s="30" t="s">
        <v>117</v>
      </c>
      <c r="S28" s="30" t="s">
        <v>117</v>
      </c>
      <c r="T28" s="30" t="s">
        <v>117</v>
      </c>
      <c r="U28" s="30" t="s">
        <v>117</v>
      </c>
      <c r="V28" s="30" t="s">
        <v>117</v>
      </c>
      <c r="W28" s="30" t="s">
        <v>117</v>
      </c>
      <c r="X28" s="30" t="s">
        <v>117</v>
      </c>
      <c r="Y28" s="30" t="s">
        <v>117</v>
      </c>
      <c r="Z28" s="30" t="s">
        <v>117</v>
      </c>
      <c r="AA28" s="30" t="s">
        <v>117</v>
      </c>
      <c r="AB28" s="30" t="s">
        <v>117</v>
      </c>
      <c r="AC28" s="30" t="s">
        <v>117</v>
      </c>
      <c r="AD28" s="30" t="s">
        <v>117</v>
      </c>
      <c r="AE28" s="30" t="s">
        <v>117</v>
      </c>
      <c r="AF28" s="30" t="s">
        <v>117</v>
      </c>
      <c r="AG28" s="30" t="s">
        <v>234</v>
      </c>
      <c r="AH28" s="30" t="s">
        <v>117</v>
      </c>
      <c r="AI28" s="30" t="s">
        <v>117</v>
      </c>
      <c r="AJ28" s="30" t="s">
        <v>117</v>
      </c>
      <c r="AK28" s="30" t="s">
        <v>117</v>
      </c>
      <c r="AL28" s="30" t="s">
        <v>117</v>
      </c>
      <c r="AM28" s="30" t="s">
        <v>117</v>
      </c>
    </row>
    <row r="29" spans="1:39" ht="15.75" thickBot="1" x14ac:dyDescent="0.3">
      <c r="A29" s="110"/>
      <c r="B29" s="2">
        <v>25</v>
      </c>
      <c r="C29" s="21" t="s">
        <v>71</v>
      </c>
      <c r="D29" s="32" t="s">
        <v>116</v>
      </c>
      <c r="E29" s="32" t="s">
        <v>117</v>
      </c>
      <c r="F29" s="30" t="s">
        <v>117</v>
      </c>
      <c r="G29" s="32" t="s">
        <v>116</v>
      </c>
      <c r="H29" s="30" t="s">
        <v>117</v>
      </c>
      <c r="I29" s="30" t="s">
        <v>117</v>
      </c>
      <c r="J29" s="30" t="s">
        <v>117</v>
      </c>
      <c r="K29" s="30" t="s">
        <v>117</v>
      </c>
      <c r="L29" s="30" t="s">
        <v>117</v>
      </c>
      <c r="M29" s="30" t="s">
        <v>117</v>
      </c>
      <c r="N29" s="30" t="s">
        <v>117</v>
      </c>
      <c r="O29" s="30" t="s">
        <v>117</v>
      </c>
      <c r="P29" s="30" t="s">
        <v>117</v>
      </c>
      <c r="Q29" s="30" t="s">
        <v>117</v>
      </c>
      <c r="R29" s="30" t="s">
        <v>117</v>
      </c>
      <c r="S29" s="30" t="s">
        <v>117</v>
      </c>
      <c r="T29" s="30" t="s">
        <v>117</v>
      </c>
      <c r="U29" s="30" t="s">
        <v>117</v>
      </c>
      <c r="V29" s="30" t="s">
        <v>117</v>
      </c>
      <c r="W29" s="30" t="s">
        <v>117</v>
      </c>
      <c r="X29" s="30" t="s">
        <v>117</v>
      </c>
      <c r="Y29" s="30" t="s">
        <v>117</v>
      </c>
      <c r="Z29" s="30" t="s">
        <v>117</v>
      </c>
      <c r="AA29" s="30" t="s">
        <v>117</v>
      </c>
      <c r="AB29" s="30" t="s">
        <v>117</v>
      </c>
      <c r="AC29" s="30" t="s">
        <v>117</v>
      </c>
      <c r="AD29" s="30" t="s">
        <v>117</v>
      </c>
      <c r="AE29" s="30" t="s">
        <v>117</v>
      </c>
      <c r="AF29" s="30" t="s">
        <v>117</v>
      </c>
      <c r="AG29" s="30" t="s">
        <v>117</v>
      </c>
      <c r="AH29" s="30" t="s">
        <v>117</v>
      </c>
      <c r="AI29" s="30" t="s">
        <v>117</v>
      </c>
      <c r="AJ29" s="30" t="s">
        <v>117</v>
      </c>
      <c r="AK29" s="30" t="s">
        <v>117</v>
      </c>
      <c r="AL29" s="30" t="s">
        <v>117</v>
      </c>
      <c r="AM29" s="30" t="s">
        <v>117</v>
      </c>
    </row>
    <row r="30" spans="1:39" ht="15.75" thickBot="1" x14ac:dyDescent="0.3">
      <c r="A30" s="110"/>
      <c r="B30" s="2">
        <v>26</v>
      </c>
      <c r="C30" s="21" t="s">
        <v>72</v>
      </c>
      <c r="D30" s="32" t="s">
        <v>116</v>
      </c>
      <c r="E30" s="32" t="s">
        <v>117</v>
      </c>
      <c r="F30" s="30" t="s">
        <v>117</v>
      </c>
      <c r="G30" s="32" t="s">
        <v>116</v>
      </c>
      <c r="H30" s="30" t="s">
        <v>117</v>
      </c>
      <c r="I30" s="30" t="s">
        <v>117</v>
      </c>
      <c r="J30" s="30" t="s">
        <v>117</v>
      </c>
      <c r="K30" s="30" t="s">
        <v>117</v>
      </c>
      <c r="L30" s="30" t="s">
        <v>117</v>
      </c>
      <c r="M30" s="30" t="s">
        <v>117</v>
      </c>
      <c r="N30" s="30" t="s">
        <v>117</v>
      </c>
      <c r="O30" s="30" t="s">
        <v>117</v>
      </c>
      <c r="P30" s="30" t="s">
        <v>117</v>
      </c>
      <c r="Q30" s="30" t="s">
        <v>117</v>
      </c>
      <c r="R30" s="30" t="s">
        <v>117</v>
      </c>
      <c r="S30" s="30" t="s">
        <v>117</v>
      </c>
      <c r="T30" s="30" t="s">
        <v>117</v>
      </c>
      <c r="U30" s="30" t="s">
        <v>117</v>
      </c>
      <c r="V30" s="30" t="s">
        <v>124</v>
      </c>
      <c r="W30" s="30" t="s">
        <v>117</v>
      </c>
      <c r="X30" s="30" t="s">
        <v>117</v>
      </c>
      <c r="Y30" s="30" t="s">
        <v>117</v>
      </c>
      <c r="Z30" s="30" t="s">
        <v>117</v>
      </c>
      <c r="AA30" s="30" t="s">
        <v>117</v>
      </c>
      <c r="AB30" s="30" t="s">
        <v>117</v>
      </c>
      <c r="AC30" s="30" t="s">
        <v>117</v>
      </c>
      <c r="AD30" s="30" t="s">
        <v>117</v>
      </c>
      <c r="AE30" s="30" t="s">
        <v>117</v>
      </c>
      <c r="AF30" s="30" t="s">
        <v>117</v>
      </c>
      <c r="AG30" s="30" t="s">
        <v>117</v>
      </c>
      <c r="AH30" s="30" t="s">
        <v>117</v>
      </c>
      <c r="AI30" s="30" t="s">
        <v>117</v>
      </c>
      <c r="AJ30" s="30" t="s">
        <v>117</v>
      </c>
      <c r="AK30" s="30" t="s">
        <v>117</v>
      </c>
      <c r="AL30" s="30" t="s">
        <v>117</v>
      </c>
      <c r="AM30" s="30" t="s">
        <v>117</v>
      </c>
    </row>
    <row r="31" spans="1:39" ht="15.75" thickBot="1" x14ac:dyDescent="0.3">
      <c r="A31" s="110"/>
      <c r="B31" s="2">
        <v>27</v>
      </c>
      <c r="C31" s="21" t="s">
        <v>73</v>
      </c>
      <c r="D31" s="32" t="s">
        <v>116</v>
      </c>
      <c r="E31" s="30" t="s">
        <v>117</v>
      </c>
      <c r="F31" s="30" t="s">
        <v>117</v>
      </c>
      <c r="G31" s="32" t="s">
        <v>116</v>
      </c>
      <c r="H31" s="30" t="s">
        <v>117</v>
      </c>
      <c r="I31" s="30" t="s">
        <v>117</v>
      </c>
      <c r="J31" s="30" t="s">
        <v>117</v>
      </c>
      <c r="K31" s="30" t="s">
        <v>117</v>
      </c>
      <c r="L31" s="30" t="s">
        <v>117</v>
      </c>
      <c r="M31" s="30" t="s">
        <v>117</v>
      </c>
      <c r="N31" s="39" t="s">
        <v>129</v>
      </c>
      <c r="O31" s="39" t="s">
        <v>117</v>
      </c>
      <c r="P31" s="39" t="s">
        <v>117</v>
      </c>
      <c r="Q31" s="39" t="s">
        <v>117</v>
      </c>
      <c r="R31" s="39" t="s">
        <v>117</v>
      </c>
      <c r="S31" s="39" t="s">
        <v>117</v>
      </c>
      <c r="T31" s="39" t="s">
        <v>117</v>
      </c>
      <c r="U31" s="39" t="s">
        <v>117</v>
      </c>
      <c r="V31" s="39" t="s">
        <v>117</v>
      </c>
      <c r="W31" s="39" t="s">
        <v>117</v>
      </c>
      <c r="X31" s="39" t="s">
        <v>117</v>
      </c>
      <c r="Y31" s="39" t="s">
        <v>117</v>
      </c>
      <c r="Z31" s="39" t="s">
        <v>117</v>
      </c>
      <c r="AA31" s="39" t="s">
        <v>129</v>
      </c>
      <c r="AB31" s="39" t="s">
        <v>117</v>
      </c>
      <c r="AC31" s="39" t="s">
        <v>117</v>
      </c>
      <c r="AD31" s="39" t="s">
        <v>117</v>
      </c>
      <c r="AE31" s="39" t="s">
        <v>117</v>
      </c>
      <c r="AF31" s="39" t="s">
        <v>117</v>
      </c>
      <c r="AG31" s="39" t="s">
        <v>129</v>
      </c>
      <c r="AH31" s="39" t="s">
        <v>117</v>
      </c>
      <c r="AI31" s="39" t="s">
        <v>129</v>
      </c>
      <c r="AJ31" s="39" t="s">
        <v>117</v>
      </c>
      <c r="AK31" s="39" t="s">
        <v>117</v>
      </c>
      <c r="AL31" s="39" t="s">
        <v>117</v>
      </c>
      <c r="AM31" s="39" t="s">
        <v>117</v>
      </c>
    </row>
    <row r="32" spans="1:39" ht="15.75" thickBot="1" x14ac:dyDescent="0.3">
      <c r="A32" s="110"/>
      <c r="B32" s="2">
        <v>28</v>
      </c>
      <c r="C32" s="21" t="s">
        <v>75</v>
      </c>
      <c r="D32" s="32" t="s">
        <v>116</v>
      </c>
      <c r="E32" s="32" t="s">
        <v>117</v>
      </c>
      <c r="F32" s="30" t="s">
        <v>117</v>
      </c>
      <c r="G32" s="32" t="s">
        <v>116</v>
      </c>
      <c r="H32" s="30" t="s">
        <v>117</v>
      </c>
      <c r="I32" s="30" t="s">
        <v>117</v>
      </c>
      <c r="J32" s="30" t="s">
        <v>117</v>
      </c>
      <c r="K32" s="30" t="s">
        <v>117</v>
      </c>
      <c r="L32" s="30" t="s">
        <v>117</v>
      </c>
      <c r="M32" s="30" t="s">
        <v>117</v>
      </c>
      <c r="N32" s="30" t="s">
        <v>129</v>
      </c>
      <c r="O32" s="30" t="s">
        <v>117</v>
      </c>
      <c r="P32" s="30" t="s">
        <v>135</v>
      </c>
      <c r="Q32" s="30" t="s">
        <v>117</v>
      </c>
      <c r="R32" s="30" t="s">
        <v>117</v>
      </c>
      <c r="S32" s="30" t="s">
        <v>117</v>
      </c>
      <c r="T32" s="30" t="s">
        <v>117</v>
      </c>
      <c r="U32" s="30" t="s">
        <v>117</v>
      </c>
      <c r="V32" s="30" t="s">
        <v>129</v>
      </c>
      <c r="W32" s="30" t="s">
        <v>117</v>
      </c>
      <c r="X32" s="30" t="s">
        <v>117</v>
      </c>
      <c r="Y32" s="30" t="s">
        <v>117</v>
      </c>
      <c r="Z32" s="30" t="s">
        <v>117</v>
      </c>
      <c r="AA32" s="30" t="s">
        <v>117</v>
      </c>
      <c r="AB32" s="30" t="s">
        <v>117</v>
      </c>
      <c r="AC32" s="30" t="s">
        <v>117</v>
      </c>
      <c r="AD32" s="30" t="s">
        <v>117</v>
      </c>
      <c r="AE32" s="30" t="s">
        <v>117</v>
      </c>
      <c r="AF32" s="30" t="s">
        <v>117</v>
      </c>
      <c r="AG32" s="30" t="s">
        <v>117</v>
      </c>
      <c r="AH32" s="30" t="s">
        <v>117</v>
      </c>
      <c r="AI32" s="30" t="s">
        <v>117</v>
      </c>
      <c r="AJ32" s="30" t="s">
        <v>117</v>
      </c>
      <c r="AK32" s="30" t="s">
        <v>117</v>
      </c>
      <c r="AL32" s="30" t="s">
        <v>117</v>
      </c>
      <c r="AM32" s="30" t="s">
        <v>117</v>
      </c>
    </row>
    <row r="33" spans="1:39" ht="15.75" thickBot="1" x14ac:dyDescent="0.3">
      <c r="A33" s="110"/>
      <c r="B33" s="2">
        <v>29</v>
      </c>
      <c r="C33" s="21" t="s">
        <v>76</v>
      </c>
      <c r="D33" s="32" t="s">
        <v>116</v>
      </c>
      <c r="E33" s="32" t="s">
        <v>117</v>
      </c>
      <c r="F33" s="30" t="s">
        <v>117</v>
      </c>
      <c r="G33" s="32" t="s">
        <v>116</v>
      </c>
      <c r="H33" s="30" t="s">
        <v>117</v>
      </c>
      <c r="I33" s="30" t="s">
        <v>117</v>
      </c>
      <c r="J33" s="30" t="s">
        <v>117</v>
      </c>
      <c r="K33" s="30" t="s">
        <v>117</v>
      </c>
      <c r="L33" s="30" t="s">
        <v>117</v>
      </c>
      <c r="M33" s="30" t="s">
        <v>117</v>
      </c>
      <c r="N33" s="30" t="s">
        <v>117</v>
      </c>
      <c r="O33" s="30" t="s">
        <v>117</v>
      </c>
      <c r="P33" s="133" t="s">
        <v>117</v>
      </c>
      <c r="Q33" s="30" t="s">
        <v>117</v>
      </c>
      <c r="R33" s="30" t="s">
        <v>117</v>
      </c>
      <c r="S33" s="30" t="s">
        <v>117</v>
      </c>
      <c r="T33" s="30" t="s">
        <v>117</v>
      </c>
      <c r="U33" s="30" t="s">
        <v>117</v>
      </c>
      <c r="V33" s="30" t="s">
        <v>117</v>
      </c>
      <c r="W33" s="30" t="s">
        <v>117</v>
      </c>
      <c r="X33" s="30" t="s">
        <v>117</v>
      </c>
      <c r="Y33" s="30" t="s">
        <v>117</v>
      </c>
      <c r="Z33" s="30" t="s">
        <v>117</v>
      </c>
      <c r="AA33" s="30" t="s">
        <v>117</v>
      </c>
      <c r="AB33" s="30" t="s">
        <v>117</v>
      </c>
      <c r="AC33" s="30" t="s">
        <v>117</v>
      </c>
      <c r="AD33" s="30" t="s">
        <v>117</v>
      </c>
      <c r="AE33" s="30" t="s">
        <v>117</v>
      </c>
      <c r="AF33" s="30" t="s">
        <v>117</v>
      </c>
      <c r="AG33" s="30" t="s">
        <v>117</v>
      </c>
      <c r="AH33" s="30" t="s">
        <v>117</v>
      </c>
      <c r="AI33" s="30" t="s">
        <v>117</v>
      </c>
      <c r="AJ33" s="30" t="s">
        <v>117</v>
      </c>
      <c r="AK33" s="30" t="s">
        <v>117</v>
      </c>
      <c r="AL33" s="30" t="s">
        <v>117</v>
      </c>
      <c r="AM33" s="30" t="s">
        <v>117</v>
      </c>
    </row>
    <row r="34" spans="1:39" ht="15.75" thickBot="1" x14ac:dyDescent="0.3">
      <c r="A34" s="110"/>
      <c r="B34" s="2">
        <v>30</v>
      </c>
      <c r="C34" s="21" t="s">
        <v>77</v>
      </c>
      <c r="D34" s="32" t="s">
        <v>116</v>
      </c>
      <c r="E34" s="32" t="s">
        <v>117</v>
      </c>
      <c r="F34" s="30" t="s">
        <v>117</v>
      </c>
      <c r="G34" s="32" t="s">
        <v>116</v>
      </c>
      <c r="H34" s="30" t="s">
        <v>117</v>
      </c>
      <c r="I34" s="30" t="s">
        <v>117</v>
      </c>
      <c r="J34" s="30" t="s">
        <v>117</v>
      </c>
      <c r="K34" s="30" t="s">
        <v>117</v>
      </c>
      <c r="L34" s="30" t="s">
        <v>117</v>
      </c>
      <c r="M34" s="30" t="s">
        <v>117</v>
      </c>
      <c r="N34" s="30" t="s">
        <v>117</v>
      </c>
      <c r="O34" s="30" t="s">
        <v>117</v>
      </c>
      <c r="P34" s="30" t="s">
        <v>117</v>
      </c>
      <c r="Q34" s="30" t="s">
        <v>117</v>
      </c>
      <c r="R34" s="30" t="s">
        <v>117</v>
      </c>
      <c r="S34" s="30" t="s">
        <v>212</v>
      </c>
      <c r="T34" s="30" t="s">
        <v>212</v>
      </c>
      <c r="U34" s="30" t="s">
        <v>117</v>
      </c>
      <c r="V34" s="30" t="s">
        <v>117</v>
      </c>
      <c r="W34" s="30" t="s">
        <v>117</v>
      </c>
      <c r="X34" s="30" t="s">
        <v>117</v>
      </c>
      <c r="Y34" s="30" t="s">
        <v>127</v>
      </c>
      <c r="Z34" s="30" t="s">
        <v>117</v>
      </c>
      <c r="AA34" s="30" t="s">
        <v>117</v>
      </c>
      <c r="AB34" s="30" t="s">
        <v>117</v>
      </c>
      <c r="AC34" s="30" t="s">
        <v>117</v>
      </c>
      <c r="AD34" s="30" t="s">
        <v>117</v>
      </c>
      <c r="AE34" s="30" t="s">
        <v>127</v>
      </c>
      <c r="AF34" s="30" t="s">
        <v>117</v>
      </c>
      <c r="AG34" s="30" t="s">
        <v>117</v>
      </c>
      <c r="AH34" s="30" t="s">
        <v>117</v>
      </c>
      <c r="AI34" s="30" t="s">
        <v>117</v>
      </c>
      <c r="AJ34" s="30" t="s">
        <v>117</v>
      </c>
      <c r="AK34" s="30" t="s">
        <v>117</v>
      </c>
      <c r="AL34" s="30" t="s">
        <v>117</v>
      </c>
      <c r="AM34" s="30" t="s">
        <v>117</v>
      </c>
    </row>
    <row r="35" spans="1:39" ht="15.75" thickBot="1" x14ac:dyDescent="0.3">
      <c r="A35" s="110"/>
      <c r="B35" s="2">
        <v>31</v>
      </c>
      <c r="C35" s="21" t="s">
        <v>59</v>
      </c>
      <c r="D35" s="32" t="s">
        <v>116</v>
      </c>
      <c r="E35" s="32" t="s">
        <v>117</v>
      </c>
      <c r="F35" s="30" t="s">
        <v>117</v>
      </c>
      <c r="G35" s="32" t="s">
        <v>116</v>
      </c>
      <c r="H35" s="30" t="s">
        <v>117</v>
      </c>
      <c r="I35" s="30" t="s">
        <v>117</v>
      </c>
      <c r="J35" s="30" t="s">
        <v>117</v>
      </c>
      <c r="K35" s="30" t="s">
        <v>117</v>
      </c>
      <c r="L35" s="30" t="s">
        <v>117</v>
      </c>
      <c r="M35" s="30" t="s">
        <v>117</v>
      </c>
      <c r="N35" s="30" t="s">
        <v>117</v>
      </c>
      <c r="O35" s="30" t="s">
        <v>117</v>
      </c>
      <c r="P35" s="30" t="s">
        <v>117</v>
      </c>
      <c r="Q35" s="30" t="s">
        <v>117</v>
      </c>
      <c r="R35" s="30" t="s">
        <v>117</v>
      </c>
      <c r="S35" s="30" t="s">
        <v>117</v>
      </c>
      <c r="T35" s="30" t="s">
        <v>117</v>
      </c>
      <c r="U35" s="30" t="s">
        <v>117</v>
      </c>
      <c r="V35" s="30" t="s">
        <v>123</v>
      </c>
      <c r="W35" s="30" t="s">
        <v>117</v>
      </c>
      <c r="X35" s="30" t="s">
        <v>117</v>
      </c>
      <c r="Y35" s="30" t="s">
        <v>117</v>
      </c>
      <c r="Z35" s="30" t="s">
        <v>117</v>
      </c>
      <c r="AA35" s="30" t="s">
        <v>117</v>
      </c>
      <c r="AB35" s="30" t="s">
        <v>117</v>
      </c>
      <c r="AC35" s="30" t="s">
        <v>117</v>
      </c>
      <c r="AD35" s="30" t="s">
        <v>228</v>
      </c>
      <c r="AE35" s="30" t="s">
        <v>117</v>
      </c>
      <c r="AF35" s="30" t="s">
        <v>117</v>
      </c>
      <c r="AG35" s="30" t="s">
        <v>233</v>
      </c>
      <c r="AH35" s="30" t="s">
        <v>117</v>
      </c>
      <c r="AI35" s="30" t="s">
        <v>117</v>
      </c>
      <c r="AJ35" s="30" t="s">
        <v>117</v>
      </c>
      <c r="AK35" s="30" t="s">
        <v>117</v>
      </c>
      <c r="AL35" s="30" t="s">
        <v>117</v>
      </c>
      <c r="AM35" s="30" t="s">
        <v>117</v>
      </c>
    </row>
    <row r="36" spans="1:39" ht="15.75" thickBot="1" x14ac:dyDescent="0.3">
      <c r="A36" s="110"/>
      <c r="B36" s="2">
        <v>32</v>
      </c>
      <c r="C36" s="21" t="s">
        <v>61</v>
      </c>
      <c r="D36" s="32" t="s">
        <v>116</v>
      </c>
      <c r="E36" s="32" t="s">
        <v>117</v>
      </c>
      <c r="F36" s="30" t="s">
        <v>117</v>
      </c>
      <c r="G36" s="32" t="s">
        <v>116</v>
      </c>
      <c r="H36" s="30" t="s">
        <v>117</v>
      </c>
      <c r="I36" s="30" t="s">
        <v>117</v>
      </c>
      <c r="J36" s="30" t="s">
        <v>117</v>
      </c>
      <c r="K36" s="30" t="s">
        <v>117</v>
      </c>
      <c r="L36" s="30" t="s">
        <v>117</v>
      </c>
      <c r="M36" s="30" t="s">
        <v>117</v>
      </c>
      <c r="N36" s="30" t="s">
        <v>117</v>
      </c>
      <c r="O36" s="30" t="s">
        <v>117</v>
      </c>
      <c r="P36" s="30" t="s">
        <v>117</v>
      </c>
      <c r="Q36" s="30" t="s">
        <v>117</v>
      </c>
      <c r="R36" s="30" t="s">
        <v>117</v>
      </c>
      <c r="S36" s="30" t="s">
        <v>117</v>
      </c>
      <c r="T36" s="30" t="s">
        <v>117</v>
      </c>
      <c r="U36" s="30" t="s">
        <v>117</v>
      </c>
      <c r="V36" s="30" t="s">
        <v>117</v>
      </c>
      <c r="W36" s="30" t="s">
        <v>117</v>
      </c>
      <c r="X36" s="30" t="s">
        <v>117</v>
      </c>
      <c r="Y36" s="30" t="s">
        <v>117</v>
      </c>
      <c r="Z36" s="30" t="s">
        <v>117</v>
      </c>
      <c r="AA36" s="30" t="s">
        <v>117</v>
      </c>
      <c r="AB36" s="30" t="s">
        <v>117</v>
      </c>
      <c r="AC36" s="30" t="s">
        <v>117</v>
      </c>
      <c r="AD36" s="30" t="s">
        <v>117</v>
      </c>
      <c r="AE36" s="30" t="s">
        <v>117</v>
      </c>
      <c r="AF36" s="30" t="s">
        <v>117</v>
      </c>
      <c r="AG36" s="30" t="s">
        <v>117</v>
      </c>
      <c r="AH36" s="30" t="s">
        <v>117</v>
      </c>
      <c r="AI36" s="30" t="s">
        <v>117</v>
      </c>
      <c r="AJ36" s="30" t="s">
        <v>117</v>
      </c>
      <c r="AK36" s="30" t="s">
        <v>117</v>
      </c>
      <c r="AL36" s="30" t="s">
        <v>117</v>
      </c>
      <c r="AM36" s="30" t="s">
        <v>117</v>
      </c>
    </row>
    <row r="37" spans="1:39" ht="15.75" thickBot="1" x14ac:dyDescent="0.3">
      <c r="A37" s="110"/>
      <c r="B37" s="2">
        <v>33</v>
      </c>
      <c r="C37" s="21" t="s">
        <v>62</v>
      </c>
      <c r="D37" s="32" t="s">
        <v>116</v>
      </c>
      <c r="E37" s="32" t="s">
        <v>117</v>
      </c>
      <c r="F37" s="30" t="s">
        <v>117</v>
      </c>
      <c r="G37" s="32" t="s">
        <v>116</v>
      </c>
      <c r="H37" s="30" t="s">
        <v>117</v>
      </c>
      <c r="I37" s="30" t="s">
        <v>117</v>
      </c>
      <c r="J37" s="30" t="s">
        <v>117</v>
      </c>
      <c r="K37" s="30" t="s">
        <v>117</v>
      </c>
      <c r="L37" s="30" t="s">
        <v>117</v>
      </c>
      <c r="M37" s="30" t="s">
        <v>117</v>
      </c>
      <c r="N37" s="30" t="s">
        <v>117</v>
      </c>
      <c r="O37" s="30" t="s">
        <v>117</v>
      </c>
      <c r="P37" s="30" t="s">
        <v>117</v>
      </c>
      <c r="Q37" s="30" t="s">
        <v>117</v>
      </c>
      <c r="R37" s="30" t="s">
        <v>117</v>
      </c>
      <c r="S37" s="30" t="s">
        <v>117</v>
      </c>
      <c r="T37" s="30" t="s">
        <v>117</v>
      </c>
      <c r="U37" s="30" t="s">
        <v>117</v>
      </c>
      <c r="V37" s="30" t="s">
        <v>125</v>
      </c>
      <c r="W37" s="30" t="s">
        <v>117</v>
      </c>
      <c r="X37" s="30" t="s">
        <v>117</v>
      </c>
      <c r="Y37" s="30" t="s">
        <v>117</v>
      </c>
      <c r="Z37" s="30" t="s">
        <v>117</v>
      </c>
      <c r="AA37" s="30" t="s">
        <v>117</v>
      </c>
      <c r="AB37" s="30" t="s">
        <v>117</v>
      </c>
      <c r="AC37" s="30" t="s">
        <v>125</v>
      </c>
      <c r="AD37" s="30" t="s">
        <v>117</v>
      </c>
      <c r="AE37" s="30" t="s">
        <v>117</v>
      </c>
      <c r="AF37" s="30" t="s">
        <v>117</v>
      </c>
      <c r="AG37" s="30" t="s">
        <v>117</v>
      </c>
      <c r="AH37" s="30" t="s">
        <v>117</v>
      </c>
      <c r="AI37" s="30" t="s">
        <v>117</v>
      </c>
      <c r="AJ37" s="30" t="s">
        <v>117</v>
      </c>
      <c r="AK37" s="30" t="s">
        <v>117</v>
      </c>
      <c r="AL37" s="30" t="s">
        <v>117</v>
      </c>
      <c r="AM37" s="30" t="s">
        <v>117</v>
      </c>
    </row>
    <row r="38" spans="1:39" ht="15.75" thickBot="1" x14ac:dyDescent="0.3">
      <c r="A38" s="110"/>
      <c r="B38" s="2">
        <v>34</v>
      </c>
      <c r="C38" s="24" t="s">
        <v>78</v>
      </c>
      <c r="D38" s="32" t="s">
        <v>116</v>
      </c>
      <c r="E38" s="32" t="s">
        <v>117</v>
      </c>
      <c r="F38" s="33" t="s">
        <v>117</v>
      </c>
      <c r="G38" s="32" t="s">
        <v>116</v>
      </c>
      <c r="H38" s="33" t="s">
        <v>117</v>
      </c>
      <c r="I38" s="33" t="s">
        <v>117</v>
      </c>
      <c r="J38" s="33" t="s">
        <v>117</v>
      </c>
      <c r="K38" s="33" t="s">
        <v>117</v>
      </c>
      <c r="L38" s="33" t="s">
        <v>117</v>
      </c>
      <c r="M38" s="33" t="s">
        <v>117</v>
      </c>
      <c r="N38" s="33" t="s">
        <v>117</v>
      </c>
      <c r="O38" s="33" t="s">
        <v>117</v>
      </c>
      <c r="P38" s="33" t="s">
        <v>117</v>
      </c>
      <c r="Q38" s="33" t="s">
        <v>117</v>
      </c>
      <c r="R38" s="33" t="s">
        <v>117</v>
      </c>
      <c r="S38" s="33" t="s">
        <v>117</v>
      </c>
      <c r="T38" s="33" t="s">
        <v>117</v>
      </c>
      <c r="U38" s="33" t="s">
        <v>117</v>
      </c>
      <c r="V38" s="33" t="s">
        <v>117</v>
      </c>
      <c r="W38" s="33" t="s">
        <v>117</v>
      </c>
      <c r="X38" s="33" t="s">
        <v>117</v>
      </c>
      <c r="Y38" s="33" t="s">
        <v>117</v>
      </c>
      <c r="Z38" s="33" t="s">
        <v>117</v>
      </c>
      <c r="AA38" s="33" t="s">
        <v>117</v>
      </c>
      <c r="AB38" s="33" t="s">
        <v>117</v>
      </c>
      <c r="AC38" s="33" t="s">
        <v>117</v>
      </c>
      <c r="AD38" s="33" t="s">
        <v>117</v>
      </c>
      <c r="AE38" s="33" t="s">
        <v>117</v>
      </c>
      <c r="AF38" s="33" t="s">
        <v>117</v>
      </c>
      <c r="AG38" s="33" t="s">
        <v>117</v>
      </c>
      <c r="AH38" s="33" t="s">
        <v>117</v>
      </c>
      <c r="AI38" s="33" t="s">
        <v>117</v>
      </c>
      <c r="AJ38" s="33" t="s">
        <v>117</v>
      </c>
      <c r="AK38" s="33" t="s">
        <v>117</v>
      </c>
      <c r="AL38" s="33" t="s">
        <v>117</v>
      </c>
      <c r="AM38" s="33" t="s">
        <v>117</v>
      </c>
    </row>
    <row r="39" spans="1:39" ht="15.75" thickBot="1" x14ac:dyDescent="0.3">
      <c r="A39" s="112" t="s">
        <v>79</v>
      </c>
      <c r="B39" s="2">
        <v>35</v>
      </c>
      <c r="C39" s="25" t="s">
        <v>45</v>
      </c>
      <c r="D39" s="29" t="s">
        <v>116</v>
      </c>
      <c r="E39" s="29" t="s">
        <v>117</v>
      </c>
      <c r="F39" s="29" t="s">
        <v>117</v>
      </c>
      <c r="G39" s="29" t="s">
        <v>116</v>
      </c>
      <c r="H39" s="29" t="s">
        <v>117</v>
      </c>
      <c r="I39" s="29" t="s">
        <v>117</v>
      </c>
      <c r="J39" s="29" t="s">
        <v>117</v>
      </c>
      <c r="K39" s="29" t="s">
        <v>117</v>
      </c>
      <c r="L39" s="29" t="s">
        <v>117</v>
      </c>
      <c r="M39" s="29" t="s">
        <v>117</v>
      </c>
      <c r="N39" s="29" t="s">
        <v>117</v>
      </c>
      <c r="O39" s="29" t="s">
        <v>117</v>
      </c>
      <c r="P39" s="29" t="s">
        <v>117</v>
      </c>
      <c r="Q39" s="29" t="s">
        <v>117</v>
      </c>
      <c r="R39" s="29" t="s">
        <v>117</v>
      </c>
      <c r="S39" s="29" t="s">
        <v>117</v>
      </c>
      <c r="T39" s="29" t="s">
        <v>117</v>
      </c>
      <c r="U39" s="29" t="s">
        <v>117</v>
      </c>
      <c r="V39" s="29" t="s">
        <v>117</v>
      </c>
      <c r="W39" s="29" t="s">
        <v>117</v>
      </c>
      <c r="X39" s="29" t="s">
        <v>117</v>
      </c>
      <c r="Y39" s="29" t="s">
        <v>117</v>
      </c>
      <c r="Z39" s="29" t="s">
        <v>117</v>
      </c>
      <c r="AA39" s="29" t="s">
        <v>117</v>
      </c>
      <c r="AB39" s="29" t="s">
        <v>117</v>
      </c>
      <c r="AC39" s="29" t="s">
        <v>117</v>
      </c>
      <c r="AD39" s="29" t="s">
        <v>117</v>
      </c>
      <c r="AE39" s="29" t="s">
        <v>117</v>
      </c>
      <c r="AF39" s="29" t="s">
        <v>117</v>
      </c>
      <c r="AG39" s="29" t="s">
        <v>117</v>
      </c>
      <c r="AH39" s="29" t="s">
        <v>117</v>
      </c>
      <c r="AI39" s="29" t="s">
        <v>117</v>
      </c>
      <c r="AJ39" s="29" t="s">
        <v>117</v>
      </c>
      <c r="AK39" s="29" t="s">
        <v>117</v>
      </c>
      <c r="AL39" s="29" t="s">
        <v>117</v>
      </c>
      <c r="AM39" s="29" t="s">
        <v>117</v>
      </c>
    </row>
    <row r="40" spans="1:39" ht="15.75" thickBot="1" x14ac:dyDescent="0.3">
      <c r="A40" s="110"/>
      <c r="B40" s="2">
        <v>36</v>
      </c>
      <c r="C40" s="21" t="s">
        <v>47</v>
      </c>
      <c r="D40" s="32" t="s">
        <v>116</v>
      </c>
      <c r="E40" s="32" t="s">
        <v>117</v>
      </c>
      <c r="F40" s="30" t="s">
        <v>117</v>
      </c>
      <c r="G40" s="32" t="s">
        <v>116</v>
      </c>
      <c r="H40" s="30" t="s">
        <v>117</v>
      </c>
      <c r="I40" s="30" t="s">
        <v>117</v>
      </c>
      <c r="J40" s="30" t="s">
        <v>117</v>
      </c>
      <c r="K40" s="30" t="s">
        <v>117</v>
      </c>
      <c r="L40" s="30" t="s">
        <v>117</v>
      </c>
      <c r="M40" s="30" t="s">
        <v>117</v>
      </c>
      <c r="N40" s="30" t="s">
        <v>117</v>
      </c>
      <c r="O40" s="30" t="s">
        <v>117</v>
      </c>
      <c r="P40" s="30" t="s">
        <v>117</v>
      </c>
      <c r="Q40" s="30" t="s">
        <v>117</v>
      </c>
      <c r="R40" s="30" t="s">
        <v>117</v>
      </c>
      <c r="S40" s="30" t="s">
        <v>117</v>
      </c>
      <c r="T40" s="30" t="s">
        <v>117</v>
      </c>
      <c r="U40" s="30" t="s">
        <v>117</v>
      </c>
      <c r="V40" s="30" t="s">
        <v>117</v>
      </c>
      <c r="W40" s="30" t="s">
        <v>117</v>
      </c>
      <c r="X40" s="30" t="s">
        <v>117</v>
      </c>
      <c r="Y40" s="30" t="s">
        <v>117</v>
      </c>
      <c r="Z40" s="30" t="s">
        <v>117</v>
      </c>
      <c r="AA40" s="30" t="s">
        <v>117</v>
      </c>
      <c r="AB40" s="30" t="s">
        <v>117</v>
      </c>
      <c r="AC40" s="30" t="s">
        <v>117</v>
      </c>
      <c r="AD40" s="30" t="s">
        <v>117</v>
      </c>
      <c r="AE40" s="30" t="s">
        <v>117</v>
      </c>
      <c r="AF40" s="30" t="s">
        <v>117</v>
      </c>
      <c r="AG40" s="30" t="s">
        <v>117</v>
      </c>
      <c r="AH40" s="30" t="s">
        <v>117</v>
      </c>
      <c r="AI40" s="30" t="s">
        <v>117</v>
      </c>
      <c r="AJ40" s="30" t="s">
        <v>117</v>
      </c>
      <c r="AK40" s="30" t="s">
        <v>117</v>
      </c>
      <c r="AL40" s="30" t="s">
        <v>117</v>
      </c>
      <c r="AM40" s="30" t="s">
        <v>117</v>
      </c>
    </row>
    <row r="41" spans="1:39" ht="15.75" thickBot="1" x14ac:dyDescent="0.3">
      <c r="A41" s="110"/>
      <c r="B41" s="2">
        <v>37</v>
      </c>
      <c r="C41" s="21" t="s">
        <v>68</v>
      </c>
      <c r="D41" s="32" t="s">
        <v>116</v>
      </c>
      <c r="E41" s="32" t="s">
        <v>117</v>
      </c>
      <c r="F41" s="30" t="s">
        <v>117</v>
      </c>
      <c r="G41" s="32" t="s">
        <v>116</v>
      </c>
      <c r="H41" s="30" t="s">
        <v>117</v>
      </c>
      <c r="I41" s="30" t="s">
        <v>117</v>
      </c>
      <c r="J41" s="30" t="s">
        <v>117</v>
      </c>
      <c r="K41" s="30" t="s">
        <v>117</v>
      </c>
      <c r="L41" s="30" t="s">
        <v>117</v>
      </c>
      <c r="M41" s="30" t="s">
        <v>117</v>
      </c>
      <c r="N41" s="30" t="s">
        <v>117</v>
      </c>
      <c r="O41" s="30" t="s">
        <v>117</v>
      </c>
      <c r="P41" s="30" t="s">
        <v>117</v>
      </c>
      <c r="Q41" s="30" t="s">
        <v>117</v>
      </c>
      <c r="R41" s="30" t="s">
        <v>117</v>
      </c>
      <c r="S41" s="30" t="s">
        <v>117</v>
      </c>
      <c r="T41" s="30" t="s">
        <v>117</v>
      </c>
      <c r="U41" s="30" t="s">
        <v>117</v>
      </c>
      <c r="V41" s="30" t="s">
        <v>117</v>
      </c>
      <c r="W41" s="30" t="s">
        <v>117</v>
      </c>
      <c r="X41" s="30" t="s">
        <v>117</v>
      </c>
      <c r="Y41" s="30" t="s">
        <v>117</v>
      </c>
      <c r="Z41" s="30" t="s">
        <v>117</v>
      </c>
      <c r="AA41" s="30" t="s">
        <v>117</v>
      </c>
      <c r="AB41" s="30" t="s">
        <v>117</v>
      </c>
      <c r="AC41" s="30" t="s">
        <v>117</v>
      </c>
      <c r="AD41" s="30" t="s">
        <v>227</v>
      </c>
      <c r="AE41" s="30" t="s">
        <v>117</v>
      </c>
      <c r="AF41" s="30" t="s">
        <v>117</v>
      </c>
      <c r="AG41" s="30" t="s">
        <v>117</v>
      </c>
      <c r="AH41" s="30" t="s">
        <v>117</v>
      </c>
      <c r="AI41" s="30" t="s">
        <v>117</v>
      </c>
      <c r="AJ41" s="30" t="s">
        <v>117</v>
      </c>
      <c r="AK41" s="30" t="s">
        <v>117</v>
      </c>
      <c r="AL41" s="30" t="s">
        <v>117</v>
      </c>
      <c r="AM41" s="30" t="s">
        <v>117</v>
      </c>
    </row>
    <row r="42" spans="1:39" ht="15.75" thickBot="1" x14ac:dyDescent="0.3">
      <c r="A42" s="110"/>
      <c r="B42" s="2">
        <v>38</v>
      </c>
      <c r="C42" s="21" t="s">
        <v>80</v>
      </c>
      <c r="D42" s="32" t="s">
        <v>116</v>
      </c>
      <c r="E42" s="32" t="s">
        <v>117</v>
      </c>
      <c r="F42" s="30" t="s">
        <v>117</v>
      </c>
      <c r="G42" s="32" t="s">
        <v>116</v>
      </c>
      <c r="H42" s="30" t="s">
        <v>117</v>
      </c>
      <c r="I42" s="30" t="s">
        <v>117</v>
      </c>
      <c r="J42" s="30" t="s">
        <v>117</v>
      </c>
      <c r="K42" s="30" t="s">
        <v>117</v>
      </c>
      <c r="L42" s="30" t="s">
        <v>117</v>
      </c>
      <c r="M42" s="30" t="s">
        <v>117</v>
      </c>
      <c r="N42" s="39" t="s">
        <v>131</v>
      </c>
      <c r="O42" s="30" t="s">
        <v>117</v>
      </c>
      <c r="P42" s="30" t="s">
        <v>117</v>
      </c>
      <c r="Q42" s="39" t="s">
        <v>117</v>
      </c>
      <c r="R42" s="39" t="s">
        <v>117</v>
      </c>
      <c r="S42" s="39" t="s">
        <v>117</v>
      </c>
      <c r="T42" s="39" t="s">
        <v>117</v>
      </c>
      <c r="U42" s="39" t="s">
        <v>117</v>
      </c>
      <c r="V42" s="39" t="s">
        <v>117</v>
      </c>
      <c r="W42" s="39" t="s">
        <v>117</v>
      </c>
      <c r="X42" s="39" t="s">
        <v>117</v>
      </c>
      <c r="Y42" s="39" t="s">
        <v>117</v>
      </c>
      <c r="Z42" s="39" t="s">
        <v>117</v>
      </c>
      <c r="AA42" s="39" t="s">
        <v>117</v>
      </c>
      <c r="AB42" s="39" t="s">
        <v>117</v>
      </c>
      <c r="AC42" s="39" t="s">
        <v>117</v>
      </c>
      <c r="AD42" s="39" t="s">
        <v>117</v>
      </c>
      <c r="AE42" s="39" t="s">
        <v>117</v>
      </c>
      <c r="AF42" s="39" t="s">
        <v>117</v>
      </c>
      <c r="AG42" s="39" t="s">
        <v>223</v>
      </c>
      <c r="AH42" s="39" t="s">
        <v>117</v>
      </c>
      <c r="AI42" s="39" t="s">
        <v>117</v>
      </c>
      <c r="AJ42" s="39" t="s">
        <v>117</v>
      </c>
      <c r="AK42" s="39" t="s">
        <v>117</v>
      </c>
      <c r="AL42" s="39" t="s">
        <v>117</v>
      </c>
      <c r="AM42" s="39" t="s">
        <v>117</v>
      </c>
    </row>
    <row r="43" spans="1:39" ht="15.75" thickBot="1" x14ac:dyDescent="0.3">
      <c r="A43" s="110"/>
      <c r="B43" s="2">
        <v>39</v>
      </c>
      <c r="C43" s="21" t="s">
        <v>76</v>
      </c>
      <c r="D43" s="32" t="s">
        <v>116</v>
      </c>
      <c r="E43" s="32" t="s">
        <v>117</v>
      </c>
      <c r="F43" s="30" t="s">
        <v>117</v>
      </c>
      <c r="G43" s="32" t="s">
        <v>116</v>
      </c>
      <c r="H43" s="30" t="s">
        <v>117</v>
      </c>
      <c r="I43" s="30" t="s">
        <v>117</v>
      </c>
      <c r="J43" s="30" t="s">
        <v>117</v>
      </c>
      <c r="K43" s="30" t="s">
        <v>117</v>
      </c>
      <c r="L43" s="30" t="s">
        <v>117</v>
      </c>
      <c r="M43" s="30" t="s">
        <v>117</v>
      </c>
      <c r="N43" s="30" t="s">
        <v>117</v>
      </c>
      <c r="O43" s="30" t="s">
        <v>117</v>
      </c>
      <c r="P43" s="30" t="s">
        <v>117</v>
      </c>
      <c r="Q43" s="30" t="s">
        <v>117</v>
      </c>
      <c r="R43" s="30" t="s">
        <v>117</v>
      </c>
      <c r="S43" s="30" t="s">
        <v>117</v>
      </c>
      <c r="T43" s="30" t="s">
        <v>117</v>
      </c>
      <c r="U43" s="30" t="s">
        <v>117</v>
      </c>
      <c r="V43" s="30" t="s">
        <v>117</v>
      </c>
      <c r="W43" s="30" t="s">
        <v>117</v>
      </c>
      <c r="X43" s="30" t="s">
        <v>117</v>
      </c>
      <c r="Y43" s="30" t="s">
        <v>117</v>
      </c>
      <c r="Z43" s="30" t="s">
        <v>117</v>
      </c>
      <c r="AA43" s="30" t="s">
        <v>117</v>
      </c>
      <c r="AB43" s="30" t="s">
        <v>117</v>
      </c>
      <c r="AC43" s="30" t="s">
        <v>117</v>
      </c>
      <c r="AD43" s="30" t="s">
        <v>117</v>
      </c>
      <c r="AE43" s="30" t="s">
        <v>117</v>
      </c>
      <c r="AF43" s="30" t="s">
        <v>117</v>
      </c>
      <c r="AG43" s="30" t="s">
        <v>117</v>
      </c>
      <c r="AH43" s="30" t="s">
        <v>117</v>
      </c>
      <c r="AI43" s="30" t="s">
        <v>117</v>
      </c>
      <c r="AJ43" s="30" t="s">
        <v>117</v>
      </c>
      <c r="AK43" s="30" t="s">
        <v>117</v>
      </c>
      <c r="AL43" s="30" t="s">
        <v>117</v>
      </c>
      <c r="AM43" s="30" t="s">
        <v>117</v>
      </c>
    </row>
    <row r="44" spans="1:39" ht="15.75" thickBot="1" x14ac:dyDescent="0.3">
      <c r="A44" s="110"/>
      <c r="B44" s="2">
        <v>40</v>
      </c>
      <c r="C44" s="21" t="s">
        <v>77</v>
      </c>
      <c r="D44" s="30" t="s">
        <v>116</v>
      </c>
      <c r="E44" s="30" t="s">
        <v>117</v>
      </c>
      <c r="F44" s="30" t="s">
        <v>117</v>
      </c>
      <c r="G44" s="30" t="s">
        <v>116</v>
      </c>
      <c r="H44" s="30" t="s">
        <v>117</v>
      </c>
      <c r="I44" s="30" t="s">
        <v>117</v>
      </c>
      <c r="J44" s="30" t="s">
        <v>117</v>
      </c>
      <c r="K44" s="30" t="s">
        <v>117</v>
      </c>
      <c r="L44" s="30" t="s">
        <v>117</v>
      </c>
      <c r="M44" s="30" t="s">
        <v>117</v>
      </c>
      <c r="N44" s="30" t="s">
        <v>117</v>
      </c>
      <c r="O44" s="30" t="s">
        <v>117</v>
      </c>
      <c r="P44" s="30" t="s">
        <v>117</v>
      </c>
      <c r="Q44" s="30" t="s">
        <v>117</v>
      </c>
      <c r="R44" s="30" t="s">
        <v>117</v>
      </c>
      <c r="S44" s="30" t="s">
        <v>212</v>
      </c>
      <c r="T44" s="30" t="s">
        <v>212</v>
      </c>
      <c r="U44" s="30" t="s">
        <v>117</v>
      </c>
      <c r="V44" s="30" t="s">
        <v>126</v>
      </c>
      <c r="W44" s="30" t="s">
        <v>117</v>
      </c>
      <c r="X44" s="30" t="s">
        <v>117</v>
      </c>
      <c r="Y44" s="30" t="s">
        <v>127</v>
      </c>
      <c r="Z44" s="30" t="s">
        <v>117</v>
      </c>
      <c r="AA44" s="30" t="s">
        <v>117</v>
      </c>
      <c r="AB44" s="30" t="s">
        <v>117</v>
      </c>
      <c r="AC44" s="30" t="s">
        <v>117</v>
      </c>
      <c r="AD44" s="30" t="s">
        <v>117</v>
      </c>
      <c r="AE44" s="30" t="s">
        <v>127</v>
      </c>
      <c r="AF44" s="30" t="s">
        <v>117</v>
      </c>
      <c r="AG44" s="30" t="s">
        <v>117</v>
      </c>
      <c r="AH44" s="30" t="s">
        <v>117</v>
      </c>
      <c r="AI44" s="30" t="s">
        <v>117</v>
      </c>
      <c r="AJ44" s="30" t="s">
        <v>117</v>
      </c>
      <c r="AK44" s="30" t="s">
        <v>117</v>
      </c>
      <c r="AL44" s="30" t="s">
        <v>117</v>
      </c>
      <c r="AM44" s="30" t="s">
        <v>127</v>
      </c>
    </row>
    <row r="45" spans="1:39" ht="15.75" thickBot="1" x14ac:dyDescent="0.3">
      <c r="A45" s="110"/>
      <c r="B45" s="2">
        <v>41</v>
      </c>
      <c r="C45" s="21" t="s">
        <v>59</v>
      </c>
      <c r="D45" s="32" t="s">
        <v>116</v>
      </c>
      <c r="E45" s="32" t="s">
        <v>117</v>
      </c>
      <c r="F45" s="30" t="s">
        <v>117</v>
      </c>
      <c r="G45" s="32" t="s">
        <v>116</v>
      </c>
      <c r="H45" s="30" t="s">
        <v>122</v>
      </c>
      <c r="I45" s="30" t="s">
        <v>117</v>
      </c>
      <c r="J45" s="30" t="s">
        <v>117</v>
      </c>
      <c r="K45" s="30" t="s">
        <v>117</v>
      </c>
      <c r="L45" s="30" t="s">
        <v>117</v>
      </c>
      <c r="M45" s="30" t="s">
        <v>117</v>
      </c>
      <c r="N45" s="30" t="s">
        <v>117</v>
      </c>
      <c r="O45" s="30" t="s">
        <v>117</v>
      </c>
      <c r="P45" s="30" t="s">
        <v>117</v>
      </c>
      <c r="Q45" s="30" t="s">
        <v>117</v>
      </c>
      <c r="R45" s="30" t="s">
        <v>117</v>
      </c>
      <c r="S45" s="30" t="s">
        <v>117</v>
      </c>
      <c r="T45" s="30" t="s">
        <v>117</v>
      </c>
      <c r="U45" s="30" t="s">
        <v>117</v>
      </c>
      <c r="V45" s="30" t="s">
        <v>117</v>
      </c>
      <c r="W45" s="30" t="s">
        <v>117</v>
      </c>
      <c r="X45" s="30" t="s">
        <v>117</v>
      </c>
      <c r="Y45" s="30" t="s">
        <v>117</v>
      </c>
      <c r="Z45" s="30" t="s">
        <v>117</v>
      </c>
      <c r="AA45" s="30" t="s">
        <v>123</v>
      </c>
      <c r="AB45" s="30" t="s">
        <v>117</v>
      </c>
      <c r="AC45" s="30" t="s">
        <v>117</v>
      </c>
      <c r="AD45" s="30" t="s">
        <v>117</v>
      </c>
      <c r="AE45" s="30" t="s">
        <v>117</v>
      </c>
      <c r="AF45" s="30" t="s">
        <v>117</v>
      </c>
      <c r="AG45" s="30" t="s">
        <v>223</v>
      </c>
      <c r="AH45" s="30" t="s">
        <v>117</v>
      </c>
      <c r="AI45" s="30" t="s">
        <v>117</v>
      </c>
      <c r="AJ45" s="30" t="s">
        <v>117</v>
      </c>
      <c r="AK45" s="30" t="s">
        <v>117</v>
      </c>
      <c r="AL45" s="30" t="s">
        <v>117</v>
      </c>
      <c r="AM45" s="30" t="s">
        <v>117</v>
      </c>
    </row>
    <row r="46" spans="1:39" ht="15.75" thickBot="1" x14ac:dyDescent="0.3">
      <c r="A46" s="110"/>
      <c r="B46" s="2">
        <v>42</v>
      </c>
      <c r="C46" s="21" t="s">
        <v>61</v>
      </c>
      <c r="D46" s="32" t="s">
        <v>116</v>
      </c>
      <c r="E46" s="32" t="s">
        <v>117</v>
      </c>
      <c r="F46" s="30" t="s">
        <v>117</v>
      </c>
      <c r="G46" s="32" t="s">
        <v>116</v>
      </c>
      <c r="H46" s="30" t="s">
        <v>117</v>
      </c>
      <c r="I46" s="30" t="s">
        <v>117</v>
      </c>
      <c r="J46" s="30" t="s">
        <v>117</v>
      </c>
      <c r="K46" s="30" t="s">
        <v>117</v>
      </c>
      <c r="L46" s="30" t="s">
        <v>117</v>
      </c>
      <c r="M46" s="30" t="s">
        <v>117</v>
      </c>
      <c r="N46" s="30" t="s">
        <v>117</v>
      </c>
      <c r="O46" s="30" t="s">
        <v>117</v>
      </c>
      <c r="P46" s="30" t="s">
        <v>117</v>
      </c>
      <c r="Q46" s="30" t="s">
        <v>117</v>
      </c>
      <c r="R46" s="30" t="s">
        <v>117</v>
      </c>
      <c r="S46" s="30" t="s">
        <v>117</v>
      </c>
      <c r="T46" s="30" t="s">
        <v>117</v>
      </c>
      <c r="U46" s="30" t="s">
        <v>117</v>
      </c>
      <c r="V46" s="30" t="s">
        <v>117</v>
      </c>
      <c r="W46" s="30" t="s">
        <v>117</v>
      </c>
      <c r="X46" s="30" t="s">
        <v>117</v>
      </c>
      <c r="Y46" s="30" t="s">
        <v>117</v>
      </c>
      <c r="Z46" s="30" t="s">
        <v>117</v>
      </c>
      <c r="AA46" s="30" t="s">
        <v>117</v>
      </c>
      <c r="AB46" s="30" t="s">
        <v>117</v>
      </c>
      <c r="AC46" s="30" t="s">
        <v>117</v>
      </c>
      <c r="AD46" s="30" t="s">
        <v>117</v>
      </c>
      <c r="AE46" s="30" t="s">
        <v>117</v>
      </c>
      <c r="AF46" s="30" t="s">
        <v>117</v>
      </c>
      <c r="AG46" s="30" t="s">
        <v>117</v>
      </c>
      <c r="AH46" s="30" t="s">
        <v>117</v>
      </c>
      <c r="AI46" s="30" t="s">
        <v>117</v>
      </c>
      <c r="AJ46" s="30" t="s">
        <v>117</v>
      </c>
      <c r="AK46" s="30" t="s">
        <v>117</v>
      </c>
      <c r="AL46" s="30" t="s">
        <v>117</v>
      </c>
      <c r="AM46" s="30" t="s">
        <v>117</v>
      </c>
    </row>
    <row r="47" spans="1:39" ht="15.75" thickBot="1" x14ac:dyDescent="0.3">
      <c r="A47" s="110"/>
      <c r="B47" s="2">
        <v>43</v>
      </c>
      <c r="C47" s="21" t="s">
        <v>62</v>
      </c>
      <c r="D47" s="32" t="s">
        <v>116</v>
      </c>
      <c r="E47" s="32" t="s">
        <v>117</v>
      </c>
      <c r="F47" s="30" t="s">
        <v>117</v>
      </c>
      <c r="G47" s="32" t="s">
        <v>116</v>
      </c>
      <c r="H47" s="30" t="s">
        <v>117</v>
      </c>
      <c r="I47" s="30" t="s">
        <v>117</v>
      </c>
      <c r="J47" s="30" t="s">
        <v>117</v>
      </c>
      <c r="K47" s="30" t="s">
        <v>117</v>
      </c>
      <c r="L47" s="30" t="s">
        <v>117</v>
      </c>
      <c r="M47" s="30" t="s">
        <v>117</v>
      </c>
      <c r="N47" s="30" t="s">
        <v>117</v>
      </c>
      <c r="O47" s="30" t="s">
        <v>117</v>
      </c>
      <c r="P47" s="30" t="s">
        <v>117</v>
      </c>
      <c r="Q47" s="30" t="s">
        <v>117</v>
      </c>
      <c r="R47" s="30" t="s">
        <v>117</v>
      </c>
      <c r="S47" s="30" t="s">
        <v>117</v>
      </c>
      <c r="T47" s="30" t="s">
        <v>117</v>
      </c>
      <c r="U47" s="30" t="s">
        <v>117</v>
      </c>
      <c r="V47" s="30" t="s">
        <v>125</v>
      </c>
      <c r="W47" s="30" t="s">
        <v>117</v>
      </c>
      <c r="X47" s="30" t="s">
        <v>117</v>
      </c>
      <c r="Y47" s="30" t="s">
        <v>117</v>
      </c>
      <c r="Z47" s="30" t="s">
        <v>117</v>
      </c>
      <c r="AA47" s="30" t="s">
        <v>117</v>
      </c>
      <c r="AB47" s="30" t="s">
        <v>117</v>
      </c>
      <c r="AC47" s="30" t="s">
        <v>117</v>
      </c>
      <c r="AD47" s="30" t="s">
        <v>117</v>
      </c>
      <c r="AE47" s="30" t="s">
        <v>117</v>
      </c>
      <c r="AF47" s="30" t="s">
        <v>117</v>
      </c>
      <c r="AG47" s="30" t="s">
        <v>117</v>
      </c>
      <c r="AH47" s="30" t="s">
        <v>117</v>
      </c>
      <c r="AI47" s="30" t="s">
        <v>117</v>
      </c>
      <c r="AJ47" s="30" t="s">
        <v>117</v>
      </c>
      <c r="AK47" s="30" t="s">
        <v>117</v>
      </c>
      <c r="AL47" s="30" t="s">
        <v>117</v>
      </c>
      <c r="AM47" s="30" t="s">
        <v>117</v>
      </c>
    </row>
    <row r="48" spans="1:39" ht="15.75" thickBot="1" x14ac:dyDescent="0.3">
      <c r="A48" s="111"/>
      <c r="B48" s="2">
        <v>44</v>
      </c>
      <c r="C48" s="26" t="s">
        <v>78</v>
      </c>
      <c r="D48" s="32" t="s">
        <v>116</v>
      </c>
      <c r="E48" s="32" t="s">
        <v>117</v>
      </c>
      <c r="F48" s="33" t="s">
        <v>117</v>
      </c>
      <c r="G48" s="32" t="s">
        <v>116</v>
      </c>
      <c r="H48" s="33" t="s">
        <v>117</v>
      </c>
      <c r="I48" s="33" t="s">
        <v>117</v>
      </c>
      <c r="J48" s="33" t="s">
        <v>117</v>
      </c>
      <c r="K48" s="33" t="s">
        <v>117</v>
      </c>
      <c r="L48" s="33" t="s">
        <v>117</v>
      </c>
      <c r="M48" s="33" t="s">
        <v>117</v>
      </c>
      <c r="N48" s="33" t="s">
        <v>117</v>
      </c>
      <c r="O48" s="33" t="s">
        <v>117</v>
      </c>
      <c r="P48" s="33" t="s">
        <v>117</v>
      </c>
      <c r="Q48" s="33" t="s">
        <v>117</v>
      </c>
      <c r="R48" s="33" t="s">
        <v>117</v>
      </c>
      <c r="S48" s="33" t="s">
        <v>117</v>
      </c>
      <c r="T48" s="33" t="s">
        <v>117</v>
      </c>
      <c r="U48" s="33" t="s">
        <v>117</v>
      </c>
      <c r="V48" s="33" t="s">
        <v>117</v>
      </c>
      <c r="W48" s="33" t="s">
        <v>117</v>
      </c>
      <c r="X48" s="33" t="s">
        <v>117</v>
      </c>
      <c r="Y48" s="33" t="s">
        <v>117</v>
      </c>
      <c r="Z48" s="33" t="s">
        <v>117</v>
      </c>
      <c r="AA48" s="33" t="s">
        <v>117</v>
      </c>
      <c r="AB48" s="33" t="s">
        <v>117</v>
      </c>
      <c r="AC48" s="33" t="s">
        <v>117</v>
      </c>
      <c r="AD48" s="33" t="s">
        <v>117</v>
      </c>
      <c r="AE48" s="33" t="s">
        <v>117</v>
      </c>
      <c r="AF48" s="33" t="s">
        <v>117</v>
      </c>
      <c r="AG48" s="33" t="s">
        <v>117</v>
      </c>
      <c r="AH48" s="33" t="s">
        <v>117</v>
      </c>
      <c r="AI48" s="33" t="s">
        <v>117</v>
      </c>
      <c r="AJ48" s="33" t="s">
        <v>117</v>
      </c>
      <c r="AK48" s="33" t="s">
        <v>117</v>
      </c>
      <c r="AL48" s="33" t="s">
        <v>117</v>
      </c>
      <c r="AM48" s="33" t="s">
        <v>117</v>
      </c>
    </row>
    <row r="49" spans="1:39" ht="15.75" thickBot="1" x14ac:dyDescent="0.3">
      <c r="A49" s="112" t="s">
        <v>81</v>
      </c>
      <c r="B49" s="2">
        <v>45</v>
      </c>
      <c r="C49" s="25" t="s">
        <v>82</v>
      </c>
      <c r="D49" s="29" t="s">
        <v>116</v>
      </c>
      <c r="E49" s="29" t="s">
        <v>117</v>
      </c>
      <c r="F49" s="29" t="s">
        <v>117</v>
      </c>
      <c r="G49" s="29" t="s">
        <v>116</v>
      </c>
      <c r="H49" s="29" t="s">
        <v>117</v>
      </c>
      <c r="I49" s="29" t="s">
        <v>117</v>
      </c>
      <c r="J49" s="29" t="s">
        <v>117</v>
      </c>
      <c r="K49" s="29" t="s">
        <v>117</v>
      </c>
      <c r="L49" s="29" t="s">
        <v>117</v>
      </c>
      <c r="M49" s="29" t="s">
        <v>117</v>
      </c>
      <c r="N49" s="29" t="s">
        <v>117</v>
      </c>
      <c r="O49" s="29" t="s">
        <v>118</v>
      </c>
      <c r="P49" s="29" t="s">
        <v>117</v>
      </c>
      <c r="Q49" s="29" t="s">
        <v>117</v>
      </c>
      <c r="R49" s="29" t="s">
        <v>117</v>
      </c>
      <c r="S49" s="29" t="s">
        <v>117</v>
      </c>
      <c r="T49" s="29" t="s">
        <v>226</v>
      </c>
      <c r="U49" s="29" t="s">
        <v>117</v>
      </c>
      <c r="V49" s="29" t="s">
        <v>117</v>
      </c>
      <c r="W49" s="29" t="s">
        <v>117</v>
      </c>
      <c r="X49" s="29" t="s">
        <v>117</v>
      </c>
      <c r="Y49" s="29" t="s">
        <v>117</v>
      </c>
      <c r="Z49" s="29" t="s">
        <v>117</v>
      </c>
      <c r="AA49" s="29" t="s">
        <v>117</v>
      </c>
      <c r="AB49" s="29" t="s">
        <v>117</v>
      </c>
      <c r="AC49" s="29" t="s">
        <v>117</v>
      </c>
      <c r="AD49" s="29" t="s">
        <v>117</v>
      </c>
      <c r="AE49" s="29" t="s">
        <v>117</v>
      </c>
      <c r="AF49" s="29" t="s">
        <v>117</v>
      </c>
      <c r="AG49" s="29" t="s">
        <v>117</v>
      </c>
      <c r="AH49" s="29" t="s">
        <v>117</v>
      </c>
      <c r="AI49" s="29" t="s">
        <v>117</v>
      </c>
      <c r="AJ49" s="29" t="s">
        <v>117</v>
      </c>
      <c r="AK49" s="29" t="s">
        <v>117</v>
      </c>
      <c r="AL49" s="29" t="s">
        <v>117</v>
      </c>
      <c r="AM49" s="29" t="s">
        <v>117</v>
      </c>
    </row>
    <row r="50" spans="1:39" ht="15.75" thickBot="1" x14ac:dyDescent="0.3">
      <c r="A50" s="110"/>
      <c r="B50" s="2">
        <v>46</v>
      </c>
      <c r="C50" s="23" t="s">
        <v>83</v>
      </c>
      <c r="D50" s="32" t="s">
        <v>116</v>
      </c>
      <c r="E50" s="32" t="s">
        <v>117</v>
      </c>
      <c r="F50" s="30" t="s">
        <v>117</v>
      </c>
      <c r="G50" s="32" t="s">
        <v>116</v>
      </c>
      <c r="H50" s="30" t="s">
        <v>117</v>
      </c>
      <c r="I50" s="30" t="s">
        <v>117</v>
      </c>
      <c r="J50" s="30" t="s">
        <v>117</v>
      </c>
      <c r="K50" s="30" t="s">
        <v>117</v>
      </c>
      <c r="L50" s="30" t="s">
        <v>117</v>
      </c>
      <c r="M50" s="30" t="s">
        <v>117</v>
      </c>
      <c r="N50" s="30" t="s">
        <v>117</v>
      </c>
      <c r="O50" s="30" t="s">
        <v>117</v>
      </c>
      <c r="P50" s="30" t="s">
        <v>117</v>
      </c>
      <c r="Q50" s="30" t="s">
        <v>117</v>
      </c>
      <c r="R50" s="30" t="s">
        <v>117</v>
      </c>
      <c r="S50" s="30" t="s">
        <v>117</v>
      </c>
      <c r="T50" s="30" t="s">
        <v>117</v>
      </c>
      <c r="U50" s="30" t="s">
        <v>117</v>
      </c>
      <c r="V50" s="30" t="s">
        <v>117</v>
      </c>
      <c r="W50" s="30" t="s">
        <v>117</v>
      </c>
      <c r="X50" s="30" t="s">
        <v>117</v>
      </c>
      <c r="Y50" s="30" t="s">
        <v>117</v>
      </c>
      <c r="Z50" s="30" t="s">
        <v>117</v>
      </c>
      <c r="AA50" s="30" t="s">
        <v>117</v>
      </c>
      <c r="AB50" s="30" t="s">
        <v>117</v>
      </c>
      <c r="AC50" s="30" t="s">
        <v>117</v>
      </c>
      <c r="AD50" s="30" t="s">
        <v>117</v>
      </c>
      <c r="AE50" s="30" t="s">
        <v>117</v>
      </c>
      <c r="AF50" s="30" t="s">
        <v>117</v>
      </c>
      <c r="AG50" s="30" t="s">
        <v>117</v>
      </c>
      <c r="AH50" s="30" t="s">
        <v>117</v>
      </c>
      <c r="AI50" s="30" t="s">
        <v>117</v>
      </c>
      <c r="AJ50" s="30" t="s">
        <v>117</v>
      </c>
      <c r="AK50" s="30" t="s">
        <v>117</v>
      </c>
      <c r="AL50" s="30" t="s">
        <v>117</v>
      </c>
      <c r="AM50" s="30" t="s">
        <v>117</v>
      </c>
    </row>
    <row r="51" spans="1:39" ht="15.75" thickBot="1" x14ac:dyDescent="0.3">
      <c r="A51" s="110"/>
      <c r="B51" s="2">
        <v>47</v>
      </c>
      <c r="C51" s="21" t="s">
        <v>45</v>
      </c>
      <c r="D51" s="32" t="s">
        <v>116</v>
      </c>
      <c r="E51" s="32" t="s">
        <v>117</v>
      </c>
      <c r="F51" s="30" t="s">
        <v>117</v>
      </c>
      <c r="G51" s="32" t="s">
        <v>116</v>
      </c>
      <c r="H51" s="30" t="s">
        <v>117</v>
      </c>
      <c r="I51" s="30" t="s">
        <v>117</v>
      </c>
      <c r="J51" s="30" t="s">
        <v>117</v>
      </c>
      <c r="K51" s="30" t="s">
        <v>117</v>
      </c>
      <c r="L51" s="30" t="s">
        <v>117</v>
      </c>
      <c r="M51" s="30" t="s">
        <v>117</v>
      </c>
      <c r="N51" s="30" t="s">
        <v>117</v>
      </c>
      <c r="O51" s="30" t="s">
        <v>117</v>
      </c>
      <c r="P51" s="30" t="s">
        <v>117</v>
      </c>
      <c r="Q51" s="30" t="s">
        <v>117</v>
      </c>
      <c r="R51" s="30" t="s">
        <v>117</v>
      </c>
      <c r="S51" s="30" t="s">
        <v>117</v>
      </c>
      <c r="T51" s="30" t="s">
        <v>117</v>
      </c>
      <c r="U51" s="30" t="s">
        <v>117</v>
      </c>
      <c r="V51" s="30" t="s">
        <v>117</v>
      </c>
      <c r="W51" s="30" t="s">
        <v>117</v>
      </c>
      <c r="X51" s="30" t="s">
        <v>117</v>
      </c>
      <c r="Y51" s="30" t="s">
        <v>117</v>
      </c>
      <c r="Z51" s="30" t="s">
        <v>117</v>
      </c>
      <c r="AA51" s="30" t="s">
        <v>117</v>
      </c>
      <c r="AB51" s="30" t="s">
        <v>117</v>
      </c>
      <c r="AC51" s="30" t="s">
        <v>117</v>
      </c>
      <c r="AD51" s="30" t="s">
        <v>117</v>
      </c>
      <c r="AE51" s="30" t="s">
        <v>117</v>
      </c>
      <c r="AF51" s="30" t="s">
        <v>117</v>
      </c>
      <c r="AG51" s="30" t="s">
        <v>117</v>
      </c>
      <c r="AH51" s="30" t="s">
        <v>117</v>
      </c>
      <c r="AI51" s="30" t="s">
        <v>117</v>
      </c>
      <c r="AJ51" s="30" t="s">
        <v>117</v>
      </c>
      <c r="AK51" s="30" t="s">
        <v>117</v>
      </c>
      <c r="AL51" s="30" t="s">
        <v>117</v>
      </c>
      <c r="AM51" s="30" t="s">
        <v>117</v>
      </c>
    </row>
    <row r="52" spans="1:39" ht="15.75" thickBot="1" x14ac:dyDescent="0.3">
      <c r="A52" s="110"/>
      <c r="B52" s="2">
        <v>48</v>
      </c>
      <c r="C52" s="21" t="s">
        <v>47</v>
      </c>
      <c r="D52" s="32" t="s">
        <v>116</v>
      </c>
      <c r="E52" s="32" t="s">
        <v>117</v>
      </c>
      <c r="F52" s="30" t="s">
        <v>117</v>
      </c>
      <c r="G52" s="32" t="s">
        <v>116</v>
      </c>
      <c r="H52" s="30" t="s">
        <v>117</v>
      </c>
      <c r="I52" s="30" t="s">
        <v>117</v>
      </c>
      <c r="J52" s="30" t="s">
        <v>117</v>
      </c>
      <c r="K52" s="30" t="s">
        <v>117</v>
      </c>
      <c r="L52" s="30" t="s">
        <v>117</v>
      </c>
      <c r="M52" s="30" t="s">
        <v>117</v>
      </c>
      <c r="N52" s="30" t="s">
        <v>117</v>
      </c>
      <c r="O52" s="30" t="s">
        <v>117</v>
      </c>
      <c r="P52" s="30" t="s">
        <v>117</v>
      </c>
      <c r="Q52" s="30" t="s">
        <v>117</v>
      </c>
      <c r="R52" s="30" t="s">
        <v>117</v>
      </c>
      <c r="S52" s="30" t="s">
        <v>117</v>
      </c>
      <c r="T52" s="30" t="s">
        <v>117</v>
      </c>
      <c r="U52" s="30" t="s">
        <v>117</v>
      </c>
      <c r="V52" s="30" t="s">
        <v>117</v>
      </c>
      <c r="W52" s="30" t="s">
        <v>117</v>
      </c>
      <c r="X52" s="30" t="s">
        <v>117</v>
      </c>
      <c r="Y52" s="30" t="s">
        <v>117</v>
      </c>
      <c r="Z52" s="30" t="s">
        <v>117</v>
      </c>
      <c r="AA52" s="30" t="s">
        <v>117</v>
      </c>
      <c r="AB52" s="30" t="s">
        <v>117</v>
      </c>
      <c r="AC52" s="30" t="s">
        <v>117</v>
      </c>
      <c r="AD52" s="30" t="s">
        <v>117</v>
      </c>
      <c r="AE52" s="30" t="s">
        <v>117</v>
      </c>
      <c r="AF52" s="30" t="s">
        <v>117</v>
      </c>
      <c r="AG52" s="30" t="s">
        <v>117</v>
      </c>
      <c r="AH52" s="30" t="s">
        <v>117</v>
      </c>
      <c r="AI52" s="30" t="s">
        <v>117</v>
      </c>
      <c r="AJ52" s="30" t="s">
        <v>117</v>
      </c>
      <c r="AK52" s="30" t="s">
        <v>117</v>
      </c>
      <c r="AL52" s="30" t="s">
        <v>117</v>
      </c>
      <c r="AM52" s="30" t="s">
        <v>117</v>
      </c>
    </row>
    <row r="53" spans="1:39" ht="15.75" thickBot="1" x14ac:dyDescent="0.3">
      <c r="A53" s="110"/>
      <c r="B53" s="2">
        <v>49</v>
      </c>
      <c r="C53" s="21" t="s">
        <v>67</v>
      </c>
      <c r="D53" s="32" t="s">
        <v>116</v>
      </c>
      <c r="E53" s="32" t="s">
        <v>117</v>
      </c>
      <c r="F53" s="30" t="s">
        <v>117</v>
      </c>
      <c r="G53" s="32" t="s">
        <v>116</v>
      </c>
      <c r="H53" s="30" t="s">
        <v>117</v>
      </c>
      <c r="I53" s="30" t="s">
        <v>117</v>
      </c>
      <c r="J53" s="30" t="s">
        <v>117</v>
      </c>
      <c r="K53" s="30" t="s">
        <v>117</v>
      </c>
      <c r="L53" s="30" t="s">
        <v>117</v>
      </c>
      <c r="M53" s="30" t="s">
        <v>117</v>
      </c>
      <c r="N53" s="30" t="s">
        <v>117</v>
      </c>
      <c r="O53" s="30" t="s">
        <v>117</v>
      </c>
      <c r="P53" s="30" t="s">
        <v>117</v>
      </c>
      <c r="Q53" s="30" t="s">
        <v>117</v>
      </c>
      <c r="R53" s="30" t="s">
        <v>117</v>
      </c>
      <c r="S53" s="30" t="s">
        <v>117</v>
      </c>
      <c r="T53" s="30" t="s">
        <v>117</v>
      </c>
      <c r="U53" s="30" t="s">
        <v>117</v>
      </c>
      <c r="V53" s="30" t="s">
        <v>117</v>
      </c>
      <c r="W53" s="30" t="s">
        <v>117</v>
      </c>
      <c r="X53" s="30" t="s">
        <v>117</v>
      </c>
      <c r="Y53" s="30" t="s">
        <v>117</v>
      </c>
      <c r="Z53" s="30" t="s">
        <v>117</v>
      </c>
      <c r="AA53" s="30" t="s">
        <v>117</v>
      </c>
      <c r="AB53" s="30" t="s">
        <v>117</v>
      </c>
      <c r="AC53" s="30" t="s">
        <v>117</v>
      </c>
      <c r="AD53" s="30" t="s">
        <v>117</v>
      </c>
      <c r="AE53" s="30" t="s">
        <v>117</v>
      </c>
      <c r="AF53" s="30" t="s">
        <v>117</v>
      </c>
      <c r="AG53" s="30" t="s">
        <v>117</v>
      </c>
      <c r="AH53" s="30" t="s">
        <v>117</v>
      </c>
      <c r="AI53" s="30" t="s">
        <v>117</v>
      </c>
      <c r="AJ53" s="30" t="s">
        <v>117</v>
      </c>
      <c r="AK53" s="30" t="s">
        <v>117</v>
      </c>
      <c r="AL53" s="30" t="s">
        <v>117</v>
      </c>
      <c r="AM53" s="30" t="s">
        <v>117</v>
      </c>
    </row>
    <row r="54" spans="1:39" ht="15.75" thickBot="1" x14ac:dyDescent="0.3">
      <c r="A54" s="110"/>
      <c r="B54" s="2">
        <v>50</v>
      </c>
      <c r="C54" s="21" t="s">
        <v>84</v>
      </c>
      <c r="D54" s="32" t="s">
        <v>116</v>
      </c>
      <c r="E54" s="32" t="s">
        <v>117</v>
      </c>
      <c r="F54" s="30" t="s">
        <v>117</v>
      </c>
      <c r="G54" s="32" t="s">
        <v>116</v>
      </c>
      <c r="H54" s="30" t="s">
        <v>117</v>
      </c>
      <c r="I54" s="30" t="s">
        <v>117</v>
      </c>
      <c r="J54" s="30" t="s">
        <v>117</v>
      </c>
      <c r="K54" s="30" t="s">
        <v>117</v>
      </c>
      <c r="L54" s="30" t="s">
        <v>117</v>
      </c>
      <c r="M54" s="30" t="s">
        <v>117</v>
      </c>
      <c r="N54" s="30" t="s">
        <v>117</v>
      </c>
      <c r="O54" s="30" t="s">
        <v>117</v>
      </c>
      <c r="P54" s="30" t="s">
        <v>117</v>
      </c>
      <c r="Q54" s="30" t="s">
        <v>117</v>
      </c>
      <c r="R54" s="30" t="s">
        <v>117</v>
      </c>
      <c r="S54" s="30" t="s">
        <v>117</v>
      </c>
      <c r="T54" s="30" t="s">
        <v>117</v>
      </c>
      <c r="U54" s="30" t="s">
        <v>117</v>
      </c>
      <c r="V54" s="30" t="s">
        <v>117</v>
      </c>
      <c r="W54" s="30" t="s">
        <v>117</v>
      </c>
      <c r="X54" s="30" t="s">
        <v>117</v>
      </c>
      <c r="Y54" s="30" t="s">
        <v>117</v>
      </c>
      <c r="Z54" s="30" t="s">
        <v>117</v>
      </c>
      <c r="AA54" s="30" t="s">
        <v>117</v>
      </c>
      <c r="AB54" s="30" t="s">
        <v>117</v>
      </c>
      <c r="AC54" s="30" t="s">
        <v>117</v>
      </c>
      <c r="AD54" s="30" t="s">
        <v>117</v>
      </c>
      <c r="AE54" s="30" t="s">
        <v>117</v>
      </c>
      <c r="AF54" s="30" t="s">
        <v>117</v>
      </c>
      <c r="AG54" s="30" t="s">
        <v>117</v>
      </c>
      <c r="AH54" s="30" t="s">
        <v>117</v>
      </c>
      <c r="AI54" s="30" t="s">
        <v>117</v>
      </c>
      <c r="AJ54" s="30" t="s">
        <v>117</v>
      </c>
      <c r="AK54" s="30" t="s">
        <v>117</v>
      </c>
      <c r="AL54" s="30" t="s">
        <v>117</v>
      </c>
      <c r="AM54" s="30" t="s">
        <v>117</v>
      </c>
    </row>
    <row r="55" spans="1:39" ht="15.75" thickBot="1" x14ac:dyDescent="0.3">
      <c r="A55" s="110"/>
      <c r="B55" s="2">
        <v>51</v>
      </c>
      <c r="C55" s="21" t="s">
        <v>85</v>
      </c>
      <c r="D55" s="32" t="s">
        <v>116</v>
      </c>
      <c r="E55" s="32" t="s">
        <v>117</v>
      </c>
      <c r="F55" s="30" t="s">
        <v>117</v>
      </c>
      <c r="G55" s="32" t="s">
        <v>116</v>
      </c>
      <c r="H55" s="30" t="s">
        <v>117</v>
      </c>
      <c r="I55" s="30" t="s">
        <v>117</v>
      </c>
      <c r="J55" s="30" t="s">
        <v>117</v>
      </c>
      <c r="K55" s="30" t="s">
        <v>117</v>
      </c>
      <c r="L55" s="30" t="s">
        <v>117</v>
      </c>
      <c r="M55" s="30" t="s">
        <v>117</v>
      </c>
      <c r="N55" s="30" t="s">
        <v>117</v>
      </c>
      <c r="O55" s="30" t="s">
        <v>117</v>
      </c>
      <c r="P55" s="30" t="s">
        <v>117</v>
      </c>
      <c r="Q55" s="30" t="s">
        <v>117</v>
      </c>
      <c r="R55" s="30" t="s">
        <v>117</v>
      </c>
      <c r="S55" s="30" t="s">
        <v>117</v>
      </c>
      <c r="T55" s="30" t="s">
        <v>117</v>
      </c>
      <c r="U55" s="30" t="s">
        <v>117</v>
      </c>
      <c r="V55" s="30" t="s">
        <v>117</v>
      </c>
      <c r="W55" s="30" t="s">
        <v>117</v>
      </c>
      <c r="X55" s="30" t="s">
        <v>117</v>
      </c>
      <c r="Y55" s="30" t="s">
        <v>117</v>
      </c>
      <c r="Z55" s="30" t="s">
        <v>117</v>
      </c>
      <c r="AA55" s="30" t="s">
        <v>117</v>
      </c>
      <c r="AB55" s="30" t="s">
        <v>117</v>
      </c>
      <c r="AC55" s="30" t="s">
        <v>117</v>
      </c>
      <c r="AD55" s="30" t="s">
        <v>117</v>
      </c>
      <c r="AE55" s="30" t="s">
        <v>117</v>
      </c>
      <c r="AF55" s="30" t="s">
        <v>117</v>
      </c>
      <c r="AG55" s="30" t="s">
        <v>119</v>
      </c>
      <c r="AH55" s="30" t="s">
        <v>117</v>
      </c>
      <c r="AI55" s="30" t="s">
        <v>117</v>
      </c>
      <c r="AJ55" s="30" t="s">
        <v>117</v>
      </c>
      <c r="AK55" s="30" t="s">
        <v>117</v>
      </c>
      <c r="AL55" s="30" t="s">
        <v>117</v>
      </c>
      <c r="AM55" s="30" t="s">
        <v>117</v>
      </c>
    </row>
    <row r="56" spans="1:39" ht="15.75" thickBot="1" x14ac:dyDescent="0.3">
      <c r="A56" s="110"/>
      <c r="B56" s="2">
        <v>52</v>
      </c>
      <c r="C56" s="21" t="s">
        <v>68</v>
      </c>
      <c r="D56" s="32" t="s">
        <v>116</v>
      </c>
      <c r="E56" s="32" t="s">
        <v>117</v>
      </c>
      <c r="F56" s="30" t="s">
        <v>117</v>
      </c>
      <c r="G56" s="32" t="s">
        <v>116</v>
      </c>
      <c r="H56" s="30" t="s">
        <v>117</v>
      </c>
      <c r="I56" s="30" t="s">
        <v>117</v>
      </c>
      <c r="J56" s="30" t="s">
        <v>117</v>
      </c>
      <c r="K56" s="30" t="s">
        <v>117</v>
      </c>
      <c r="L56" s="30" t="s">
        <v>117</v>
      </c>
      <c r="M56" s="30" t="s">
        <v>117</v>
      </c>
      <c r="N56" s="30" t="s">
        <v>117</v>
      </c>
      <c r="O56" s="30" t="s">
        <v>117</v>
      </c>
      <c r="P56" s="30" t="s">
        <v>117</v>
      </c>
      <c r="Q56" s="30" t="s">
        <v>117</v>
      </c>
      <c r="R56" s="30" t="s">
        <v>117</v>
      </c>
      <c r="S56" s="30" t="s">
        <v>117</v>
      </c>
      <c r="T56" s="30" t="s">
        <v>117</v>
      </c>
      <c r="U56" s="30" t="s">
        <v>117</v>
      </c>
      <c r="V56" s="30" t="s">
        <v>117</v>
      </c>
      <c r="W56" s="30" t="s">
        <v>117</v>
      </c>
      <c r="X56" s="30" t="s">
        <v>117</v>
      </c>
      <c r="Y56" s="30" t="s">
        <v>117</v>
      </c>
      <c r="Z56" s="30" t="s">
        <v>117</v>
      </c>
      <c r="AA56" s="30" t="s">
        <v>117</v>
      </c>
      <c r="AB56" s="30" t="s">
        <v>117</v>
      </c>
      <c r="AC56" s="30" t="s">
        <v>117</v>
      </c>
      <c r="AD56" s="30" t="s">
        <v>117</v>
      </c>
      <c r="AE56" s="30" t="s">
        <v>117</v>
      </c>
      <c r="AF56" s="30" t="s">
        <v>117</v>
      </c>
      <c r="AG56" s="30" t="s">
        <v>117</v>
      </c>
      <c r="AH56" s="30" t="s">
        <v>117</v>
      </c>
      <c r="AI56" s="30" t="s">
        <v>117</v>
      </c>
      <c r="AJ56" s="30" t="s">
        <v>117</v>
      </c>
      <c r="AK56" s="30" t="s">
        <v>117</v>
      </c>
      <c r="AL56" s="30" t="s">
        <v>117</v>
      </c>
      <c r="AM56" s="30" t="s">
        <v>117</v>
      </c>
    </row>
    <row r="57" spans="1:39" ht="15.75" thickBot="1" x14ac:dyDescent="0.3">
      <c r="A57" s="110"/>
      <c r="B57" s="2">
        <v>53</v>
      </c>
      <c r="C57" s="21" t="s">
        <v>86</v>
      </c>
      <c r="D57" s="32" t="s">
        <v>116</v>
      </c>
      <c r="E57" s="32" t="s">
        <v>117</v>
      </c>
      <c r="F57" s="30" t="s">
        <v>117</v>
      </c>
      <c r="G57" s="32" t="s">
        <v>116</v>
      </c>
      <c r="H57" s="30" t="s">
        <v>117</v>
      </c>
      <c r="I57" s="30" t="s">
        <v>117</v>
      </c>
      <c r="J57" s="30" t="s">
        <v>117</v>
      </c>
      <c r="K57" s="30" t="s">
        <v>117</v>
      </c>
      <c r="L57" s="30" t="s">
        <v>117</v>
      </c>
      <c r="M57" s="30" t="s">
        <v>117</v>
      </c>
      <c r="N57" s="30" t="s">
        <v>117</v>
      </c>
      <c r="O57" s="30" t="s">
        <v>117</v>
      </c>
      <c r="P57" s="30" t="s">
        <v>117</v>
      </c>
      <c r="Q57" s="30" t="s">
        <v>117</v>
      </c>
      <c r="R57" s="30" t="s">
        <v>117</v>
      </c>
      <c r="S57" s="30" t="s">
        <v>117</v>
      </c>
      <c r="T57" s="30" t="s">
        <v>117</v>
      </c>
      <c r="U57" s="30" t="s">
        <v>117</v>
      </c>
      <c r="V57" s="30" t="s">
        <v>117</v>
      </c>
      <c r="W57" s="30" t="s">
        <v>117</v>
      </c>
      <c r="X57" s="30" t="s">
        <v>117</v>
      </c>
      <c r="Y57" s="30" t="s">
        <v>117</v>
      </c>
      <c r="Z57" s="30" t="s">
        <v>117</v>
      </c>
      <c r="AA57" s="30" t="s">
        <v>117</v>
      </c>
      <c r="AB57" s="30" t="s">
        <v>117</v>
      </c>
      <c r="AC57" s="30" t="s">
        <v>117</v>
      </c>
      <c r="AD57" s="30" t="s">
        <v>117</v>
      </c>
      <c r="AE57" s="30" t="s">
        <v>117</v>
      </c>
      <c r="AF57" s="30" t="s">
        <v>117</v>
      </c>
      <c r="AG57" s="30" t="s">
        <v>117</v>
      </c>
      <c r="AH57" s="30" t="s">
        <v>117</v>
      </c>
      <c r="AI57" s="30" t="s">
        <v>117</v>
      </c>
      <c r="AJ57" s="30" t="s">
        <v>117</v>
      </c>
      <c r="AK57" s="30" t="s">
        <v>117</v>
      </c>
      <c r="AL57" s="30" t="s">
        <v>117</v>
      </c>
      <c r="AM57" s="30" t="s">
        <v>117</v>
      </c>
    </row>
    <row r="58" spans="1:39" ht="15.75" thickBot="1" x14ac:dyDescent="0.3">
      <c r="A58" s="110"/>
      <c r="B58" s="2">
        <v>54</v>
      </c>
      <c r="C58" s="21" t="s">
        <v>87</v>
      </c>
      <c r="D58" s="32" t="s">
        <v>116</v>
      </c>
      <c r="E58" s="32" t="s">
        <v>117</v>
      </c>
      <c r="F58" s="30" t="s">
        <v>117</v>
      </c>
      <c r="G58" s="32" t="s">
        <v>116</v>
      </c>
      <c r="H58" s="30" t="s">
        <v>117</v>
      </c>
      <c r="I58" s="30" t="s">
        <v>117</v>
      </c>
      <c r="J58" s="30" t="s">
        <v>117</v>
      </c>
      <c r="K58" s="30" t="s">
        <v>117</v>
      </c>
      <c r="L58" s="30" t="s">
        <v>117</v>
      </c>
      <c r="M58" s="30" t="s">
        <v>117</v>
      </c>
      <c r="N58" s="30" t="s">
        <v>117</v>
      </c>
      <c r="O58" s="30" t="s">
        <v>117</v>
      </c>
      <c r="P58" s="30" t="s">
        <v>117</v>
      </c>
      <c r="Q58" s="30" t="s">
        <v>117</v>
      </c>
      <c r="R58" s="30" t="s">
        <v>117</v>
      </c>
      <c r="S58" s="30" t="s">
        <v>117</v>
      </c>
      <c r="T58" s="30" t="s">
        <v>117</v>
      </c>
      <c r="U58" s="30" t="s">
        <v>117</v>
      </c>
      <c r="V58" s="30" t="s">
        <v>117</v>
      </c>
      <c r="W58" s="30" t="s">
        <v>117</v>
      </c>
      <c r="X58" s="30" t="s">
        <v>117</v>
      </c>
      <c r="Y58" s="30" t="s">
        <v>117</v>
      </c>
      <c r="Z58" s="30" t="s">
        <v>117</v>
      </c>
      <c r="AA58" s="30" t="s">
        <v>117</v>
      </c>
      <c r="AB58" s="30" t="s">
        <v>117</v>
      </c>
      <c r="AC58" s="30" t="s">
        <v>117</v>
      </c>
      <c r="AD58" s="30" t="s">
        <v>117</v>
      </c>
      <c r="AE58" s="30" t="s">
        <v>117</v>
      </c>
      <c r="AF58" s="30" t="s">
        <v>117</v>
      </c>
      <c r="AG58" s="30" t="s">
        <v>117</v>
      </c>
      <c r="AH58" s="30" t="s">
        <v>117</v>
      </c>
      <c r="AI58" s="30" t="s">
        <v>117</v>
      </c>
      <c r="AJ58" s="30" t="s">
        <v>117</v>
      </c>
      <c r="AK58" s="30" t="s">
        <v>117</v>
      </c>
      <c r="AL58" s="30" t="s">
        <v>117</v>
      </c>
      <c r="AM58" s="30" t="s">
        <v>117</v>
      </c>
    </row>
    <row r="59" spans="1:39" ht="15.75" thickBot="1" x14ac:dyDescent="0.3">
      <c r="A59" s="110"/>
      <c r="B59" s="2">
        <v>55</v>
      </c>
      <c r="C59" s="21" t="s">
        <v>88</v>
      </c>
      <c r="D59" s="32" t="s">
        <v>116</v>
      </c>
      <c r="E59" s="32" t="s">
        <v>117</v>
      </c>
      <c r="F59" s="30" t="s">
        <v>117</v>
      </c>
      <c r="G59" s="32" t="s">
        <v>116</v>
      </c>
      <c r="H59" s="30" t="s">
        <v>117</v>
      </c>
      <c r="I59" s="30" t="s">
        <v>117</v>
      </c>
      <c r="J59" s="30" t="s">
        <v>117</v>
      </c>
      <c r="K59" s="30" t="s">
        <v>117</v>
      </c>
      <c r="L59" s="30" t="s">
        <v>117</v>
      </c>
      <c r="M59" s="30" t="s">
        <v>117</v>
      </c>
      <c r="N59" s="42" t="s">
        <v>117</v>
      </c>
      <c r="O59" s="42" t="s">
        <v>117</v>
      </c>
      <c r="P59" s="42" t="s">
        <v>117</v>
      </c>
      <c r="Q59" s="42" t="s">
        <v>117</v>
      </c>
      <c r="R59" s="42" t="s">
        <v>117</v>
      </c>
      <c r="S59" s="42" t="s">
        <v>117</v>
      </c>
      <c r="T59" s="42" t="s">
        <v>117</v>
      </c>
      <c r="U59" s="42" t="s">
        <v>117</v>
      </c>
      <c r="V59" s="42" t="s">
        <v>117</v>
      </c>
      <c r="W59" s="42" t="s">
        <v>117</v>
      </c>
      <c r="X59" s="42" t="s">
        <v>117</v>
      </c>
      <c r="Y59" s="42" t="s">
        <v>117</v>
      </c>
      <c r="Z59" s="42" t="s">
        <v>117</v>
      </c>
      <c r="AA59" s="42" t="s">
        <v>117</v>
      </c>
      <c r="AB59" s="42" t="s">
        <v>117</v>
      </c>
      <c r="AC59" s="42" t="s">
        <v>117</v>
      </c>
      <c r="AD59" s="42" t="s">
        <v>117</v>
      </c>
      <c r="AE59" s="42" t="s">
        <v>117</v>
      </c>
      <c r="AF59" s="42" t="s">
        <v>117</v>
      </c>
      <c r="AG59" s="42" t="s">
        <v>117</v>
      </c>
      <c r="AH59" s="42" t="s">
        <v>117</v>
      </c>
      <c r="AI59" s="42" t="s">
        <v>117</v>
      </c>
      <c r="AJ59" s="42" t="s">
        <v>117</v>
      </c>
      <c r="AK59" s="42" t="s">
        <v>117</v>
      </c>
      <c r="AL59" s="42" t="s">
        <v>117</v>
      </c>
      <c r="AM59" s="42" t="s">
        <v>117</v>
      </c>
    </row>
    <row r="60" spans="1:39" ht="15.75" thickBot="1" x14ac:dyDescent="0.3">
      <c r="A60" s="110"/>
      <c r="B60" s="2">
        <v>56</v>
      </c>
      <c r="C60" s="21" t="s">
        <v>89</v>
      </c>
      <c r="D60" s="32" t="s">
        <v>116</v>
      </c>
      <c r="E60" s="32" t="s">
        <v>117</v>
      </c>
      <c r="F60" s="30" t="s">
        <v>117</v>
      </c>
      <c r="G60" s="32" t="s">
        <v>116</v>
      </c>
      <c r="H60" s="30" t="s">
        <v>117</v>
      </c>
      <c r="I60" s="30" t="s">
        <v>117</v>
      </c>
      <c r="J60" s="30" t="s">
        <v>117</v>
      </c>
      <c r="K60" s="30" t="s">
        <v>117</v>
      </c>
      <c r="L60" s="30" t="s">
        <v>117</v>
      </c>
      <c r="M60" s="30" t="s">
        <v>117</v>
      </c>
      <c r="N60" s="30" t="s">
        <v>117</v>
      </c>
      <c r="O60" s="30" t="s">
        <v>117</v>
      </c>
      <c r="P60" s="30" t="s">
        <v>117</v>
      </c>
      <c r="Q60" s="30" t="s">
        <v>117</v>
      </c>
      <c r="R60" s="30" t="s">
        <v>117</v>
      </c>
      <c r="S60" s="30" t="s">
        <v>117</v>
      </c>
      <c r="T60" s="30" t="s">
        <v>117</v>
      </c>
      <c r="U60" s="30" t="s">
        <v>117</v>
      </c>
      <c r="V60" s="30" t="s">
        <v>117</v>
      </c>
      <c r="W60" s="30" t="s">
        <v>117</v>
      </c>
      <c r="X60" s="30" t="s">
        <v>117</v>
      </c>
      <c r="Y60" s="30" t="s">
        <v>117</v>
      </c>
      <c r="Z60" s="30" t="s">
        <v>117</v>
      </c>
      <c r="AA60" s="30" t="s">
        <v>117</v>
      </c>
      <c r="AB60" s="30" t="s">
        <v>117</v>
      </c>
      <c r="AC60" s="30" t="s">
        <v>117</v>
      </c>
      <c r="AD60" s="30" t="s">
        <v>117</v>
      </c>
      <c r="AE60" s="30" t="s">
        <v>117</v>
      </c>
      <c r="AF60" s="30" t="s">
        <v>117</v>
      </c>
      <c r="AG60" s="30" t="s">
        <v>235</v>
      </c>
      <c r="AH60" s="30" t="s">
        <v>117</v>
      </c>
      <c r="AI60" s="30" t="s">
        <v>117</v>
      </c>
      <c r="AJ60" s="30" t="s">
        <v>117</v>
      </c>
      <c r="AK60" s="30" t="s">
        <v>117</v>
      </c>
      <c r="AL60" s="30" t="s">
        <v>117</v>
      </c>
      <c r="AM60" s="30" t="s">
        <v>117</v>
      </c>
    </row>
    <row r="61" spans="1:39" ht="15.75" thickBot="1" x14ac:dyDescent="0.3">
      <c r="A61" s="110"/>
      <c r="B61" s="2">
        <v>57</v>
      </c>
      <c r="C61" s="21" t="s">
        <v>76</v>
      </c>
      <c r="D61" s="32" t="s">
        <v>116</v>
      </c>
      <c r="E61" s="32" t="s">
        <v>117</v>
      </c>
      <c r="F61" s="30" t="s">
        <v>117</v>
      </c>
      <c r="G61" s="32" t="s">
        <v>116</v>
      </c>
      <c r="H61" s="30" t="s">
        <v>117</v>
      </c>
      <c r="I61" s="30" t="s">
        <v>117</v>
      </c>
      <c r="J61" s="30" t="s">
        <v>117</v>
      </c>
      <c r="K61" s="30" t="s">
        <v>117</v>
      </c>
      <c r="L61" s="30" t="s">
        <v>117</v>
      </c>
      <c r="M61" s="30" t="s">
        <v>117</v>
      </c>
      <c r="N61" s="30" t="s">
        <v>117</v>
      </c>
      <c r="O61" s="30" t="s">
        <v>117</v>
      </c>
      <c r="P61" s="30" t="s">
        <v>117</v>
      </c>
      <c r="Q61" s="30" t="s">
        <v>117</v>
      </c>
      <c r="R61" s="30" t="s">
        <v>117</v>
      </c>
      <c r="S61" s="30" t="s">
        <v>117</v>
      </c>
      <c r="T61" s="30" t="s">
        <v>117</v>
      </c>
      <c r="U61" s="30" t="s">
        <v>117</v>
      </c>
      <c r="V61" s="30" t="s">
        <v>117</v>
      </c>
      <c r="W61" s="30" t="s">
        <v>117</v>
      </c>
      <c r="X61" s="30" t="s">
        <v>117</v>
      </c>
      <c r="Y61" s="30" t="s">
        <v>117</v>
      </c>
      <c r="Z61" s="30" t="s">
        <v>117</v>
      </c>
      <c r="AA61" s="30" t="s">
        <v>117</v>
      </c>
      <c r="AB61" s="30" t="s">
        <v>117</v>
      </c>
      <c r="AC61" s="30" t="s">
        <v>117</v>
      </c>
      <c r="AD61" s="30" t="s">
        <v>117</v>
      </c>
      <c r="AE61" s="30" t="s">
        <v>117</v>
      </c>
      <c r="AF61" s="30" t="s">
        <v>117</v>
      </c>
      <c r="AG61" s="30" t="s">
        <v>117</v>
      </c>
      <c r="AH61" s="30" t="s">
        <v>117</v>
      </c>
      <c r="AI61" s="30" t="s">
        <v>117</v>
      </c>
      <c r="AJ61" s="30" t="s">
        <v>117</v>
      </c>
      <c r="AK61" s="30" t="s">
        <v>117</v>
      </c>
      <c r="AL61" s="30" t="s">
        <v>117</v>
      </c>
      <c r="AM61" s="30" t="s">
        <v>117</v>
      </c>
    </row>
    <row r="62" spans="1:39" ht="15.75" thickBot="1" x14ac:dyDescent="0.3">
      <c r="A62" s="110"/>
      <c r="B62" s="2">
        <v>58</v>
      </c>
      <c r="C62" s="21" t="s">
        <v>77</v>
      </c>
      <c r="D62" s="32" t="s">
        <v>116</v>
      </c>
      <c r="E62" s="30" t="s">
        <v>117</v>
      </c>
      <c r="F62" s="30" t="s">
        <v>117</v>
      </c>
      <c r="G62" s="32" t="s">
        <v>116</v>
      </c>
      <c r="H62" s="30" t="s">
        <v>117</v>
      </c>
      <c r="I62" s="30" t="s">
        <v>117</v>
      </c>
      <c r="J62" s="30" t="s">
        <v>117</v>
      </c>
      <c r="K62" s="30" t="s">
        <v>117</v>
      </c>
      <c r="L62" s="30" t="s">
        <v>117</v>
      </c>
      <c r="M62" s="30" t="s">
        <v>117</v>
      </c>
      <c r="N62" s="30" t="s">
        <v>117</v>
      </c>
      <c r="O62" s="30" t="s">
        <v>219</v>
      </c>
      <c r="P62" s="30" t="s">
        <v>117</v>
      </c>
      <c r="Q62" s="30" t="s">
        <v>117</v>
      </c>
      <c r="R62" s="30" t="s">
        <v>117</v>
      </c>
      <c r="S62" s="30" t="s">
        <v>117</v>
      </c>
      <c r="T62" s="30" t="s">
        <v>212</v>
      </c>
      <c r="U62" s="30" t="s">
        <v>117</v>
      </c>
      <c r="V62" s="30" t="s">
        <v>126</v>
      </c>
      <c r="W62" s="30" t="s">
        <v>117</v>
      </c>
      <c r="X62" s="30" t="s">
        <v>117</v>
      </c>
      <c r="Y62" s="30" t="s">
        <v>127</v>
      </c>
      <c r="Z62" s="30" t="s">
        <v>117</v>
      </c>
      <c r="AA62" s="30" t="s">
        <v>117</v>
      </c>
      <c r="AB62" s="30" t="s">
        <v>117</v>
      </c>
      <c r="AC62" s="30" t="s">
        <v>117</v>
      </c>
      <c r="AD62" s="30" t="s">
        <v>117</v>
      </c>
      <c r="AE62" s="30" t="s">
        <v>127</v>
      </c>
      <c r="AF62" s="30" t="s">
        <v>117</v>
      </c>
      <c r="AG62" s="30" t="s">
        <v>117</v>
      </c>
      <c r="AH62" s="30" t="s">
        <v>117</v>
      </c>
      <c r="AI62" s="30" t="s">
        <v>117</v>
      </c>
      <c r="AJ62" s="30" t="s">
        <v>117</v>
      </c>
      <c r="AK62" s="30" t="s">
        <v>117</v>
      </c>
      <c r="AL62" s="30" t="s">
        <v>117</v>
      </c>
      <c r="AM62" s="30" t="s">
        <v>127</v>
      </c>
    </row>
    <row r="63" spans="1:39" ht="15.75" thickBot="1" x14ac:dyDescent="0.3">
      <c r="A63" s="110"/>
      <c r="B63" s="2">
        <v>59</v>
      </c>
      <c r="C63" s="21" t="s">
        <v>59</v>
      </c>
      <c r="D63" s="32" t="s">
        <v>116</v>
      </c>
      <c r="E63" s="32" t="s">
        <v>117</v>
      </c>
      <c r="F63" s="30" t="s">
        <v>117</v>
      </c>
      <c r="G63" s="32" t="s">
        <v>116</v>
      </c>
      <c r="H63" s="30" t="s">
        <v>117</v>
      </c>
      <c r="I63" s="30" t="s">
        <v>117</v>
      </c>
      <c r="J63" s="30" t="s">
        <v>117</v>
      </c>
      <c r="K63" s="30" t="s">
        <v>117</v>
      </c>
      <c r="L63" s="30" t="s">
        <v>117</v>
      </c>
      <c r="M63" s="30" t="s">
        <v>117</v>
      </c>
      <c r="N63" s="30" t="s">
        <v>117</v>
      </c>
      <c r="O63" s="30" t="s">
        <v>117</v>
      </c>
      <c r="P63" s="30" t="s">
        <v>225</v>
      </c>
      <c r="Q63" s="30" t="s">
        <v>117</v>
      </c>
      <c r="R63" s="30" t="s">
        <v>117</v>
      </c>
      <c r="S63" s="30" t="s">
        <v>225</v>
      </c>
      <c r="T63" s="30" t="s">
        <v>117</v>
      </c>
      <c r="U63" s="30" t="s">
        <v>117</v>
      </c>
      <c r="V63" s="30" t="s">
        <v>117</v>
      </c>
      <c r="W63" s="30" t="s">
        <v>117</v>
      </c>
      <c r="X63" s="30" t="s">
        <v>117</v>
      </c>
      <c r="Y63" s="30" t="s">
        <v>117</v>
      </c>
      <c r="Z63" s="30" t="s">
        <v>117</v>
      </c>
      <c r="AA63" s="30" t="s">
        <v>117</v>
      </c>
      <c r="AB63" s="30" t="s">
        <v>117</v>
      </c>
      <c r="AC63" s="30" t="s">
        <v>117</v>
      </c>
      <c r="AD63" s="30" t="s">
        <v>117</v>
      </c>
      <c r="AE63" s="30" t="s">
        <v>117</v>
      </c>
      <c r="AF63" s="30" t="s">
        <v>117</v>
      </c>
      <c r="AG63" s="30" t="s">
        <v>117</v>
      </c>
      <c r="AH63" s="30" t="s">
        <v>117</v>
      </c>
      <c r="AI63" s="30" t="s">
        <v>117</v>
      </c>
      <c r="AJ63" s="30" t="s">
        <v>117</v>
      </c>
      <c r="AK63" s="30" t="s">
        <v>117</v>
      </c>
      <c r="AL63" s="30" t="s">
        <v>117</v>
      </c>
      <c r="AM63" s="30" t="s">
        <v>117</v>
      </c>
    </row>
    <row r="64" spans="1:39" ht="15.75" thickBot="1" x14ac:dyDescent="0.3">
      <c r="A64" s="110"/>
      <c r="B64" s="2">
        <v>60</v>
      </c>
      <c r="C64" s="21" t="s">
        <v>61</v>
      </c>
      <c r="D64" s="32" t="s">
        <v>116</v>
      </c>
      <c r="E64" s="32" t="s">
        <v>117</v>
      </c>
      <c r="F64" s="30" t="s">
        <v>117</v>
      </c>
      <c r="G64" s="32" t="s">
        <v>116</v>
      </c>
      <c r="H64" s="30" t="s">
        <v>117</v>
      </c>
      <c r="I64" s="30" t="s">
        <v>117</v>
      </c>
      <c r="J64" s="30" t="s">
        <v>117</v>
      </c>
      <c r="K64" s="30" t="s">
        <v>117</v>
      </c>
      <c r="L64" s="30" t="s">
        <v>117</v>
      </c>
      <c r="M64" s="30" t="s">
        <v>117</v>
      </c>
      <c r="N64" s="30" t="s">
        <v>117</v>
      </c>
      <c r="O64" s="30" t="s">
        <v>117</v>
      </c>
      <c r="P64" s="30" t="s">
        <v>117</v>
      </c>
      <c r="Q64" s="30" t="s">
        <v>117</v>
      </c>
      <c r="R64" s="30" t="s">
        <v>117</v>
      </c>
      <c r="S64" s="30" t="s">
        <v>117</v>
      </c>
      <c r="T64" s="30" t="s">
        <v>117</v>
      </c>
      <c r="U64" s="30" t="s">
        <v>117</v>
      </c>
      <c r="V64" s="30" t="s">
        <v>130</v>
      </c>
      <c r="W64" s="30" t="s">
        <v>117</v>
      </c>
      <c r="X64" s="30" t="s">
        <v>117</v>
      </c>
      <c r="Y64" s="30" t="s">
        <v>117</v>
      </c>
      <c r="Z64" s="30" t="s">
        <v>117</v>
      </c>
      <c r="AA64" s="30" t="s">
        <v>117</v>
      </c>
      <c r="AB64" s="30" t="s">
        <v>117</v>
      </c>
      <c r="AC64" s="30" t="s">
        <v>117</v>
      </c>
      <c r="AD64" s="30" t="s">
        <v>117</v>
      </c>
      <c r="AE64" s="30" t="s">
        <v>117</v>
      </c>
      <c r="AF64" s="30" t="s">
        <v>117</v>
      </c>
      <c r="AG64" s="30" t="s">
        <v>117</v>
      </c>
      <c r="AH64" s="30" t="s">
        <v>117</v>
      </c>
      <c r="AI64" s="30" t="s">
        <v>117</v>
      </c>
      <c r="AJ64" s="30" t="s">
        <v>117</v>
      </c>
      <c r="AK64" s="30" t="s">
        <v>117</v>
      </c>
      <c r="AL64" s="30" t="s">
        <v>117</v>
      </c>
      <c r="AM64" s="30" t="s">
        <v>117</v>
      </c>
    </row>
    <row r="65" spans="1:39" ht="15.75" thickBot="1" x14ac:dyDescent="0.3">
      <c r="A65" s="110"/>
      <c r="B65" s="2">
        <v>61</v>
      </c>
      <c r="C65" s="21" t="s">
        <v>62</v>
      </c>
      <c r="D65" s="32" t="s">
        <v>116</v>
      </c>
      <c r="E65" s="32" t="s">
        <v>117</v>
      </c>
      <c r="F65" s="30" t="s">
        <v>117</v>
      </c>
      <c r="G65" s="32" t="s">
        <v>116</v>
      </c>
      <c r="H65" s="30" t="s">
        <v>117</v>
      </c>
      <c r="I65" s="30" t="s">
        <v>117</v>
      </c>
      <c r="J65" s="30" t="s">
        <v>117</v>
      </c>
      <c r="K65" s="30" t="s">
        <v>117</v>
      </c>
      <c r="L65" s="30" t="s">
        <v>117</v>
      </c>
      <c r="M65" s="30" t="s">
        <v>117</v>
      </c>
      <c r="N65" s="30" t="s">
        <v>117</v>
      </c>
      <c r="O65" s="30" t="s">
        <v>117</v>
      </c>
      <c r="P65" s="30" t="s">
        <v>117</v>
      </c>
      <c r="Q65" s="30" t="s">
        <v>117</v>
      </c>
      <c r="R65" s="30" t="s">
        <v>117</v>
      </c>
      <c r="S65" s="30" t="s">
        <v>117</v>
      </c>
      <c r="T65" s="30" t="s">
        <v>117</v>
      </c>
      <c r="U65" s="30" t="s">
        <v>117</v>
      </c>
      <c r="V65" s="30" t="s">
        <v>117</v>
      </c>
      <c r="W65" s="30" t="s">
        <v>117</v>
      </c>
      <c r="X65" s="30" t="s">
        <v>117</v>
      </c>
      <c r="Y65" s="30" t="s">
        <v>117</v>
      </c>
      <c r="Z65" s="30" t="s">
        <v>117</v>
      </c>
      <c r="AA65" s="30" t="s">
        <v>117</v>
      </c>
      <c r="AB65" s="30" t="s">
        <v>117</v>
      </c>
      <c r="AC65" s="30" t="s">
        <v>117</v>
      </c>
      <c r="AD65" s="30" t="s">
        <v>117</v>
      </c>
      <c r="AE65" s="30" t="s">
        <v>117</v>
      </c>
      <c r="AF65" s="30" t="s">
        <v>117</v>
      </c>
      <c r="AG65" s="30" t="s">
        <v>117</v>
      </c>
      <c r="AH65" s="30" t="s">
        <v>117</v>
      </c>
      <c r="AI65" s="30" t="s">
        <v>117</v>
      </c>
      <c r="AJ65" s="30" t="s">
        <v>117</v>
      </c>
      <c r="AK65" s="30" t="s">
        <v>117</v>
      </c>
      <c r="AL65" s="30" t="s">
        <v>117</v>
      </c>
      <c r="AM65" s="30" t="s">
        <v>117</v>
      </c>
    </row>
    <row r="66" spans="1:39" ht="15.75" thickBot="1" x14ac:dyDescent="0.3">
      <c r="A66" s="111"/>
      <c r="B66" s="2">
        <v>62</v>
      </c>
      <c r="C66" s="26" t="s">
        <v>78</v>
      </c>
      <c r="D66" s="33" t="s">
        <v>116</v>
      </c>
      <c r="E66" s="33" t="s">
        <v>117</v>
      </c>
      <c r="F66" s="33" t="s">
        <v>117</v>
      </c>
      <c r="G66" s="33" t="s">
        <v>116</v>
      </c>
      <c r="H66" s="33" t="s">
        <v>117</v>
      </c>
      <c r="I66" s="33" t="s">
        <v>117</v>
      </c>
      <c r="J66" s="33" t="s">
        <v>117</v>
      </c>
      <c r="K66" s="33" t="s">
        <v>117</v>
      </c>
      <c r="L66" s="33" t="s">
        <v>117</v>
      </c>
      <c r="M66" s="33" t="s">
        <v>117</v>
      </c>
      <c r="N66" s="33" t="s">
        <v>117</v>
      </c>
      <c r="O66" s="33" t="s">
        <v>117</v>
      </c>
      <c r="P66" s="33" t="s">
        <v>117</v>
      </c>
      <c r="Q66" s="33" t="s">
        <v>117</v>
      </c>
      <c r="R66" s="33" t="s">
        <v>117</v>
      </c>
      <c r="S66" s="33" t="s">
        <v>117</v>
      </c>
      <c r="T66" s="33" t="s">
        <v>117</v>
      </c>
      <c r="U66" s="33" t="s">
        <v>117</v>
      </c>
      <c r="V66" s="33" t="s">
        <v>117</v>
      </c>
      <c r="W66" s="33" t="s">
        <v>117</v>
      </c>
      <c r="X66" s="33" t="s">
        <v>117</v>
      </c>
      <c r="Y66" s="33" t="s">
        <v>117</v>
      </c>
      <c r="Z66" s="33" t="s">
        <v>117</v>
      </c>
      <c r="AA66" s="33" t="s">
        <v>117</v>
      </c>
      <c r="AB66" s="33" t="s">
        <v>117</v>
      </c>
      <c r="AC66" s="33" t="s">
        <v>117</v>
      </c>
      <c r="AD66" s="33" t="s">
        <v>117</v>
      </c>
      <c r="AE66" s="33" t="s">
        <v>117</v>
      </c>
      <c r="AF66" s="33" t="s">
        <v>117</v>
      </c>
      <c r="AG66" s="33" t="s">
        <v>117</v>
      </c>
      <c r="AH66" s="33" t="s">
        <v>117</v>
      </c>
      <c r="AI66" s="33" t="s">
        <v>117</v>
      </c>
      <c r="AJ66" s="33" t="s">
        <v>117</v>
      </c>
      <c r="AK66" s="33" t="s">
        <v>117</v>
      </c>
      <c r="AL66" s="33" t="s">
        <v>117</v>
      </c>
      <c r="AM66" s="33" t="s">
        <v>117</v>
      </c>
    </row>
    <row r="67" spans="1:39" ht="15.75" thickBot="1" x14ac:dyDescent="0.3">
      <c r="A67" s="110" t="s">
        <v>90</v>
      </c>
      <c r="B67" s="2">
        <v>63</v>
      </c>
      <c r="C67" s="27" t="s">
        <v>45</v>
      </c>
      <c r="D67" s="31" t="s">
        <v>116</v>
      </c>
      <c r="E67" s="31" t="s">
        <v>117</v>
      </c>
      <c r="F67" s="29" t="s">
        <v>117</v>
      </c>
      <c r="G67" s="31" t="s">
        <v>116</v>
      </c>
      <c r="H67" s="29" t="s">
        <v>117</v>
      </c>
      <c r="I67" s="29" t="s">
        <v>117</v>
      </c>
      <c r="J67" s="29" t="s">
        <v>117</v>
      </c>
      <c r="K67" s="29" t="s">
        <v>117</v>
      </c>
      <c r="L67" s="29" t="s">
        <v>117</v>
      </c>
      <c r="M67" s="29" t="s">
        <v>117</v>
      </c>
      <c r="N67" s="29" t="s">
        <v>117</v>
      </c>
      <c r="O67" s="29" t="s">
        <v>117</v>
      </c>
      <c r="P67" s="29" t="s">
        <v>117</v>
      </c>
      <c r="Q67" s="29" t="s">
        <v>117</v>
      </c>
      <c r="R67" s="29" t="s">
        <v>117</v>
      </c>
      <c r="S67" s="29" t="s">
        <v>117</v>
      </c>
      <c r="T67" s="29" t="s">
        <v>117</v>
      </c>
      <c r="U67" s="29" t="s">
        <v>117</v>
      </c>
      <c r="V67" s="29" t="s">
        <v>117</v>
      </c>
      <c r="W67" s="29" t="s">
        <v>117</v>
      </c>
      <c r="X67" s="29" t="s">
        <v>117</v>
      </c>
      <c r="Y67" s="29" t="s">
        <v>117</v>
      </c>
      <c r="Z67" s="29" t="s">
        <v>117</v>
      </c>
      <c r="AA67" s="29" t="s">
        <v>117</v>
      </c>
      <c r="AB67" s="29" t="s">
        <v>117</v>
      </c>
      <c r="AC67" s="29" t="s">
        <v>117</v>
      </c>
      <c r="AD67" s="29" t="s">
        <v>117</v>
      </c>
      <c r="AE67" s="29" t="s">
        <v>117</v>
      </c>
      <c r="AF67" s="29" t="s">
        <v>117</v>
      </c>
      <c r="AG67" s="29" t="s">
        <v>117</v>
      </c>
      <c r="AH67" s="29" t="s">
        <v>117</v>
      </c>
      <c r="AI67" s="29" t="s">
        <v>117</v>
      </c>
      <c r="AJ67" s="29" t="s">
        <v>117</v>
      </c>
      <c r="AK67" s="29" t="s">
        <v>117</v>
      </c>
      <c r="AL67" s="29" t="s">
        <v>117</v>
      </c>
      <c r="AM67" s="29" t="s">
        <v>117</v>
      </c>
    </row>
    <row r="68" spans="1:39" ht="15.75" thickBot="1" x14ac:dyDescent="0.3">
      <c r="A68" s="110"/>
      <c r="B68" s="2">
        <v>64</v>
      </c>
      <c r="C68" s="21" t="s">
        <v>59</v>
      </c>
      <c r="D68" s="32" t="s">
        <v>116</v>
      </c>
      <c r="E68" s="32" t="s">
        <v>117</v>
      </c>
      <c r="F68" s="30" t="s">
        <v>117</v>
      </c>
      <c r="G68" s="32" t="s">
        <v>116</v>
      </c>
      <c r="H68" s="30" t="s">
        <v>117</v>
      </c>
      <c r="I68" s="30" t="s">
        <v>117</v>
      </c>
      <c r="J68" s="30" t="s">
        <v>117</v>
      </c>
      <c r="K68" s="30" t="s">
        <v>117</v>
      </c>
      <c r="L68" s="29" t="s">
        <v>117</v>
      </c>
      <c r="M68" s="30" t="s">
        <v>117</v>
      </c>
      <c r="N68" s="30" t="s">
        <v>117</v>
      </c>
      <c r="O68" s="30" t="s">
        <v>117</v>
      </c>
      <c r="P68" s="30" t="s">
        <v>117</v>
      </c>
      <c r="Q68" s="30" t="s">
        <v>117</v>
      </c>
      <c r="R68" s="30" t="s">
        <v>117</v>
      </c>
      <c r="S68" s="30" t="s">
        <v>117</v>
      </c>
      <c r="T68" s="30" t="s">
        <v>117</v>
      </c>
      <c r="U68" s="30" t="s">
        <v>117</v>
      </c>
      <c r="V68" s="30" t="s">
        <v>117</v>
      </c>
      <c r="W68" s="30" t="s">
        <v>117</v>
      </c>
      <c r="X68" s="30" t="s">
        <v>117</v>
      </c>
      <c r="Y68" s="30" t="s">
        <v>117</v>
      </c>
      <c r="Z68" s="30" t="s">
        <v>117</v>
      </c>
      <c r="AA68" s="30" t="s">
        <v>117</v>
      </c>
      <c r="AB68" s="30" t="s">
        <v>117</v>
      </c>
      <c r="AC68" s="30" t="s">
        <v>117</v>
      </c>
      <c r="AD68" s="30" t="s">
        <v>117</v>
      </c>
      <c r="AE68" s="30" t="s">
        <v>117</v>
      </c>
      <c r="AF68" s="30" t="s">
        <v>117</v>
      </c>
      <c r="AG68" s="30" t="s">
        <v>117</v>
      </c>
      <c r="AH68" s="30" t="s">
        <v>117</v>
      </c>
      <c r="AI68" s="30" t="s">
        <v>117</v>
      </c>
      <c r="AJ68" s="30" t="s">
        <v>117</v>
      </c>
      <c r="AK68" s="30" t="s">
        <v>117</v>
      </c>
      <c r="AL68" s="30" t="s">
        <v>117</v>
      </c>
      <c r="AM68" s="30" t="s">
        <v>117</v>
      </c>
    </row>
    <row r="69" spans="1:39" ht="15.75" thickBot="1" x14ac:dyDescent="0.3">
      <c r="A69" s="110"/>
      <c r="B69" s="2">
        <v>65</v>
      </c>
      <c r="C69" s="21" t="s">
        <v>61</v>
      </c>
      <c r="D69" s="32" t="s">
        <v>116</v>
      </c>
      <c r="E69" s="32" t="s">
        <v>117</v>
      </c>
      <c r="F69" s="30" t="s">
        <v>117</v>
      </c>
      <c r="G69" s="32" t="s">
        <v>116</v>
      </c>
      <c r="H69" s="30" t="s">
        <v>117</v>
      </c>
      <c r="I69" s="30" t="s">
        <v>117</v>
      </c>
      <c r="J69" s="30" t="s">
        <v>117</v>
      </c>
      <c r="K69" s="30" t="s">
        <v>117</v>
      </c>
      <c r="L69" s="30" t="s">
        <v>117</v>
      </c>
      <c r="M69" s="30" t="s">
        <v>117</v>
      </c>
      <c r="N69" s="30" t="s">
        <v>117</v>
      </c>
      <c r="O69" s="30" t="s">
        <v>117</v>
      </c>
      <c r="P69" s="30" t="s">
        <v>117</v>
      </c>
      <c r="Q69" s="30" t="s">
        <v>117</v>
      </c>
      <c r="R69" s="30" t="s">
        <v>117</v>
      </c>
      <c r="S69" s="30" t="s">
        <v>117</v>
      </c>
      <c r="T69" s="30" t="s">
        <v>117</v>
      </c>
      <c r="U69" s="30" t="s">
        <v>117</v>
      </c>
      <c r="V69" s="30" t="s">
        <v>117</v>
      </c>
      <c r="W69" s="30" t="s">
        <v>117</v>
      </c>
      <c r="X69" s="30" t="s">
        <v>117</v>
      </c>
      <c r="Y69" s="30" t="s">
        <v>117</v>
      </c>
      <c r="Z69" s="30" t="s">
        <v>117</v>
      </c>
      <c r="AA69" s="30" t="s">
        <v>117</v>
      </c>
      <c r="AB69" s="30" t="s">
        <v>117</v>
      </c>
      <c r="AC69" s="30" t="s">
        <v>117</v>
      </c>
      <c r="AD69" s="30" t="s">
        <v>117</v>
      </c>
      <c r="AE69" s="30" t="s">
        <v>117</v>
      </c>
      <c r="AF69" s="30" t="s">
        <v>117</v>
      </c>
      <c r="AG69" s="30" t="s">
        <v>117</v>
      </c>
      <c r="AH69" s="30" t="s">
        <v>117</v>
      </c>
      <c r="AI69" s="30" t="s">
        <v>117</v>
      </c>
      <c r="AJ69" s="30" t="s">
        <v>117</v>
      </c>
      <c r="AK69" s="30" t="s">
        <v>117</v>
      </c>
      <c r="AL69" s="30" t="s">
        <v>117</v>
      </c>
      <c r="AM69" s="30" t="s">
        <v>117</v>
      </c>
    </row>
    <row r="70" spans="1:39" ht="15.75" thickBot="1" x14ac:dyDescent="0.3">
      <c r="A70" s="110"/>
      <c r="B70" s="2">
        <v>66</v>
      </c>
      <c r="C70" s="20" t="s">
        <v>64</v>
      </c>
      <c r="D70" s="32" t="s">
        <v>116</v>
      </c>
      <c r="E70" s="32" t="s">
        <v>117</v>
      </c>
      <c r="F70" s="30" t="s">
        <v>117</v>
      </c>
      <c r="G70" s="32" t="s">
        <v>116</v>
      </c>
      <c r="H70" s="30" t="s">
        <v>117</v>
      </c>
      <c r="I70" s="30" t="s">
        <v>117</v>
      </c>
      <c r="J70" s="30" t="s">
        <v>117</v>
      </c>
      <c r="K70" s="30" t="s">
        <v>117</v>
      </c>
      <c r="L70" s="30" t="s">
        <v>117</v>
      </c>
      <c r="M70" s="30" t="s">
        <v>117</v>
      </c>
      <c r="N70" s="30" t="s">
        <v>117</v>
      </c>
      <c r="O70" s="30" t="s">
        <v>117</v>
      </c>
      <c r="P70" s="30" t="s">
        <v>117</v>
      </c>
      <c r="Q70" s="30" t="s">
        <v>117</v>
      </c>
      <c r="R70" s="30" t="s">
        <v>117</v>
      </c>
      <c r="S70" s="30" t="s">
        <v>117</v>
      </c>
      <c r="T70" s="30" t="s">
        <v>117</v>
      </c>
      <c r="U70" s="30" t="s">
        <v>117</v>
      </c>
      <c r="V70" s="30" t="s">
        <v>117</v>
      </c>
      <c r="W70" s="30" t="s">
        <v>117</v>
      </c>
      <c r="X70" s="30" t="s">
        <v>117</v>
      </c>
      <c r="Y70" s="30" t="s">
        <v>127</v>
      </c>
      <c r="Z70" s="30" t="s">
        <v>117</v>
      </c>
      <c r="AA70" s="30" t="s">
        <v>117</v>
      </c>
      <c r="AB70" s="30" t="s">
        <v>117</v>
      </c>
      <c r="AC70" s="30" t="s">
        <v>117</v>
      </c>
      <c r="AD70" s="30" t="s">
        <v>117</v>
      </c>
      <c r="AE70" s="30" t="s">
        <v>117</v>
      </c>
      <c r="AF70" s="30" t="s">
        <v>117</v>
      </c>
      <c r="AG70" s="30" t="s">
        <v>128</v>
      </c>
      <c r="AH70" s="30" t="s">
        <v>117</v>
      </c>
      <c r="AI70" s="30" t="s">
        <v>117</v>
      </c>
      <c r="AJ70" s="30" t="s">
        <v>117</v>
      </c>
      <c r="AK70" s="30" t="s">
        <v>117</v>
      </c>
      <c r="AL70" s="30" t="s">
        <v>117</v>
      </c>
      <c r="AM70" s="30" t="s">
        <v>117</v>
      </c>
    </row>
    <row r="71" spans="1:39" ht="15.75" thickBot="1" x14ac:dyDescent="0.3">
      <c r="A71" s="110"/>
      <c r="B71" s="2">
        <v>67</v>
      </c>
      <c r="C71" s="21" t="s">
        <v>62</v>
      </c>
      <c r="D71" s="32" t="s">
        <v>116</v>
      </c>
      <c r="E71" s="32" t="s">
        <v>117</v>
      </c>
      <c r="F71" s="30" t="s">
        <v>117</v>
      </c>
      <c r="G71" s="32" t="s">
        <v>116</v>
      </c>
      <c r="H71" s="30" t="s">
        <v>117</v>
      </c>
      <c r="I71" s="30" t="s">
        <v>117</v>
      </c>
      <c r="J71" s="30" t="s">
        <v>117</v>
      </c>
      <c r="K71" s="30" t="s">
        <v>117</v>
      </c>
      <c r="L71" s="30" t="s">
        <v>117</v>
      </c>
      <c r="M71" s="30" t="s">
        <v>117</v>
      </c>
      <c r="N71" s="30" t="s">
        <v>117</v>
      </c>
      <c r="O71" s="30" t="s">
        <v>117</v>
      </c>
      <c r="P71" s="30" t="s">
        <v>117</v>
      </c>
      <c r="Q71" s="30" t="s">
        <v>117</v>
      </c>
      <c r="R71" s="30" t="s">
        <v>117</v>
      </c>
      <c r="S71" s="30" t="s">
        <v>117</v>
      </c>
      <c r="T71" s="30" t="s">
        <v>212</v>
      </c>
      <c r="U71" s="30" t="s">
        <v>117</v>
      </c>
      <c r="V71" s="30" t="s">
        <v>117</v>
      </c>
      <c r="W71" s="30" t="s">
        <v>117</v>
      </c>
      <c r="X71" s="30" t="s">
        <v>117</v>
      </c>
      <c r="Y71" s="30" t="s">
        <v>117</v>
      </c>
      <c r="Z71" s="30" t="s">
        <v>117</v>
      </c>
      <c r="AA71" s="30" t="s">
        <v>117</v>
      </c>
      <c r="AB71" s="30" t="s">
        <v>117</v>
      </c>
      <c r="AC71" s="30" t="s">
        <v>117</v>
      </c>
      <c r="AD71" s="30" t="s">
        <v>117</v>
      </c>
      <c r="AE71" s="30" t="s">
        <v>117</v>
      </c>
      <c r="AF71" s="30" t="s">
        <v>117</v>
      </c>
      <c r="AG71" s="30" t="s">
        <v>117</v>
      </c>
      <c r="AH71" s="30" t="s">
        <v>117</v>
      </c>
      <c r="AI71" s="30" t="s">
        <v>117</v>
      </c>
      <c r="AJ71" s="30" t="s">
        <v>117</v>
      </c>
      <c r="AK71" s="30" t="s">
        <v>117</v>
      </c>
      <c r="AL71" s="30" t="s">
        <v>117</v>
      </c>
      <c r="AM71" s="30" t="s">
        <v>117</v>
      </c>
    </row>
    <row r="72" spans="1:39" ht="15.75" thickBot="1" x14ac:dyDescent="0.3">
      <c r="A72" s="110"/>
      <c r="B72" s="2">
        <v>68</v>
      </c>
      <c r="C72" s="21" t="s">
        <v>91</v>
      </c>
      <c r="D72" s="32" t="s">
        <v>116</v>
      </c>
      <c r="E72" s="32" t="s">
        <v>117</v>
      </c>
      <c r="F72" s="30" t="s">
        <v>117</v>
      </c>
      <c r="G72" s="32" t="s">
        <v>116</v>
      </c>
      <c r="H72" s="30" t="s">
        <v>117</v>
      </c>
      <c r="I72" s="30" t="s">
        <v>117</v>
      </c>
      <c r="J72" s="30" t="s">
        <v>117</v>
      </c>
      <c r="K72" s="30" t="s">
        <v>117</v>
      </c>
      <c r="L72" s="30" t="s">
        <v>117</v>
      </c>
      <c r="M72" s="30" t="s">
        <v>117</v>
      </c>
      <c r="N72" s="30" t="s">
        <v>117</v>
      </c>
      <c r="O72" s="39" t="s">
        <v>117</v>
      </c>
      <c r="P72" s="39" t="s">
        <v>117</v>
      </c>
      <c r="Q72" s="39" t="s">
        <v>117</v>
      </c>
      <c r="R72" s="39" t="s">
        <v>117</v>
      </c>
      <c r="S72" s="39" t="s">
        <v>117</v>
      </c>
      <c r="T72" s="30" t="s">
        <v>117</v>
      </c>
      <c r="U72" s="39" t="s">
        <v>117</v>
      </c>
      <c r="V72" s="39" t="s">
        <v>117</v>
      </c>
      <c r="W72" s="39" t="s">
        <v>117</v>
      </c>
      <c r="X72" s="39" t="s">
        <v>117</v>
      </c>
      <c r="Y72" s="39" t="s">
        <v>117</v>
      </c>
      <c r="Z72" s="39" t="s">
        <v>117</v>
      </c>
      <c r="AA72" s="39" t="s">
        <v>117</v>
      </c>
      <c r="AB72" s="39" t="s">
        <v>117</v>
      </c>
      <c r="AC72" s="39" t="s">
        <v>117</v>
      </c>
      <c r="AD72" s="39" t="s">
        <v>117</v>
      </c>
      <c r="AE72" s="39" t="s">
        <v>117</v>
      </c>
      <c r="AF72" s="39" t="s">
        <v>117</v>
      </c>
      <c r="AG72" s="39" t="s">
        <v>117</v>
      </c>
      <c r="AH72" s="39" t="s">
        <v>117</v>
      </c>
      <c r="AI72" s="39" t="s">
        <v>117</v>
      </c>
      <c r="AJ72" s="39" t="s">
        <v>117</v>
      </c>
      <c r="AK72" s="39" t="s">
        <v>117</v>
      </c>
      <c r="AL72" s="39" t="s">
        <v>117</v>
      </c>
      <c r="AM72" s="39" t="s">
        <v>117</v>
      </c>
    </row>
    <row r="73" spans="1:39" ht="15.75" thickBot="1" x14ac:dyDescent="0.3">
      <c r="A73" s="110"/>
      <c r="B73" s="2">
        <v>69</v>
      </c>
      <c r="C73" s="20" t="s">
        <v>92</v>
      </c>
      <c r="D73" s="32" t="s">
        <v>116</v>
      </c>
      <c r="E73" s="32" t="s">
        <v>117</v>
      </c>
      <c r="F73" s="30" t="s">
        <v>117</v>
      </c>
      <c r="G73" s="32" t="s">
        <v>116</v>
      </c>
      <c r="H73" s="30" t="s">
        <v>117</v>
      </c>
      <c r="I73" s="30" t="s">
        <v>117</v>
      </c>
      <c r="J73" s="30" t="s">
        <v>117</v>
      </c>
      <c r="K73" s="30" t="s">
        <v>117</v>
      </c>
      <c r="L73" s="30" t="s">
        <v>117</v>
      </c>
      <c r="M73" s="30" t="s">
        <v>117</v>
      </c>
      <c r="N73" s="30" t="s">
        <v>117</v>
      </c>
      <c r="O73" s="30" t="s">
        <v>117</v>
      </c>
      <c r="P73" s="30" t="s">
        <v>117</v>
      </c>
      <c r="Q73" s="30" t="s">
        <v>117</v>
      </c>
      <c r="R73" s="30" t="s">
        <v>117</v>
      </c>
      <c r="S73" s="30" t="s">
        <v>117</v>
      </c>
      <c r="T73" s="30" t="s">
        <v>117</v>
      </c>
      <c r="U73" s="30" t="s">
        <v>117</v>
      </c>
      <c r="V73" s="30" t="s">
        <v>117</v>
      </c>
      <c r="W73" s="30" t="s">
        <v>117</v>
      </c>
      <c r="X73" s="30" t="s">
        <v>117</v>
      </c>
      <c r="Y73" s="30" t="s">
        <v>117</v>
      </c>
      <c r="Z73" s="30" t="s">
        <v>117</v>
      </c>
      <c r="AA73" s="30" t="s">
        <v>117</v>
      </c>
      <c r="AB73" s="30" t="s">
        <v>117</v>
      </c>
      <c r="AC73" s="30" t="s">
        <v>117</v>
      </c>
      <c r="AD73" s="30" t="s">
        <v>117</v>
      </c>
      <c r="AE73" s="30" t="s">
        <v>117</v>
      </c>
      <c r="AF73" s="30" t="s">
        <v>117</v>
      </c>
      <c r="AG73" s="30" t="s">
        <v>117</v>
      </c>
      <c r="AH73" s="30" t="s">
        <v>117</v>
      </c>
      <c r="AI73" s="30" t="s">
        <v>117</v>
      </c>
      <c r="AJ73" s="30" t="s">
        <v>117</v>
      </c>
      <c r="AK73" s="30" t="s">
        <v>117</v>
      </c>
      <c r="AL73" s="30" t="s">
        <v>117</v>
      </c>
      <c r="AM73" s="30" t="s">
        <v>117</v>
      </c>
    </row>
    <row r="74" spans="1:39" ht="15.75" thickBot="1" x14ac:dyDescent="0.3">
      <c r="A74" s="110"/>
      <c r="B74" s="2">
        <v>70</v>
      </c>
      <c r="C74" s="20" t="s">
        <v>93</v>
      </c>
      <c r="D74" s="32" t="s">
        <v>116</v>
      </c>
      <c r="E74" s="32" t="s">
        <v>117</v>
      </c>
      <c r="F74" s="30" t="s">
        <v>117</v>
      </c>
      <c r="G74" s="32" t="s">
        <v>116</v>
      </c>
      <c r="H74" s="30" t="s">
        <v>117</v>
      </c>
      <c r="I74" s="30" t="s">
        <v>117</v>
      </c>
      <c r="J74" s="30" t="s">
        <v>117</v>
      </c>
      <c r="K74" s="30" t="s">
        <v>117</v>
      </c>
      <c r="L74" s="30" t="s">
        <v>117</v>
      </c>
      <c r="M74" s="30" t="s">
        <v>117</v>
      </c>
      <c r="N74" s="30" t="s">
        <v>117</v>
      </c>
      <c r="O74" s="30" t="s">
        <v>117</v>
      </c>
      <c r="P74" s="30" t="s">
        <v>117</v>
      </c>
      <c r="Q74" s="30" t="s">
        <v>117</v>
      </c>
      <c r="R74" s="30" t="s">
        <v>117</v>
      </c>
      <c r="S74" s="30" t="s">
        <v>117</v>
      </c>
      <c r="T74" s="30" t="s">
        <v>117</v>
      </c>
      <c r="U74" s="30" t="s">
        <v>117</v>
      </c>
      <c r="V74" s="30" t="s">
        <v>117</v>
      </c>
      <c r="W74" s="30" t="s">
        <v>117</v>
      </c>
      <c r="X74" s="30" t="s">
        <v>117</v>
      </c>
      <c r="Y74" s="30" t="s">
        <v>117</v>
      </c>
      <c r="Z74" s="30" t="s">
        <v>117</v>
      </c>
      <c r="AA74" s="30" t="s">
        <v>117</v>
      </c>
      <c r="AB74" s="30" t="s">
        <v>117</v>
      </c>
      <c r="AC74" s="30" t="s">
        <v>117</v>
      </c>
      <c r="AD74" s="30" t="s">
        <v>117</v>
      </c>
      <c r="AE74" s="30" t="s">
        <v>117</v>
      </c>
      <c r="AF74" s="30" t="s">
        <v>117</v>
      </c>
      <c r="AG74" s="30" t="s">
        <v>117</v>
      </c>
      <c r="AH74" s="30" t="s">
        <v>117</v>
      </c>
      <c r="AI74" s="30" t="s">
        <v>117</v>
      </c>
      <c r="AJ74" s="30" t="s">
        <v>117</v>
      </c>
      <c r="AK74" s="30" t="s">
        <v>117</v>
      </c>
      <c r="AL74" s="30" t="s">
        <v>117</v>
      </c>
      <c r="AM74" s="30" t="s">
        <v>117</v>
      </c>
    </row>
    <row r="75" spans="1:39" ht="15.75" thickBot="1" x14ac:dyDescent="0.3">
      <c r="A75" s="111"/>
      <c r="B75" s="2">
        <v>71</v>
      </c>
      <c r="C75" s="22" t="s">
        <v>94</v>
      </c>
      <c r="D75" s="32" t="s">
        <v>116</v>
      </c>
      <c r="E75" s="32" t="s">
        <v>117</v>
      </c>
      <c r="F75" s="33" t="s">
        <v>117</v>
      </c>
      <c r="G75" s="32" t="s">
        <v>116</v>
      </c>
      <c r="H75" s="33" t="s">
        <v>117</v>
      </c>
      <c r="I75" s="33" t="s">
        <v>117</v>
      </c>
      <c r="J75" s="33" t="s">
        <v>117</v>
      </c>
      <c r="K75" s="33" t="s">
        <v>117</v>
      </c>
      <c r="L75" s="33" t="s">
        <v>117</v>
      </c>
      <c r="M75" s="33" t="s">
        <v>117</v>
      </c>
      <c r="N75" s="33" t="s">
        <v>117</v>
      </c>
      <c r="O75" s="33" t="s">
        <v>117</v>
      </c>
      <c r="P75" s="33" t="s">
        <v>117</v>
      </c>
      <c r="Q75" s="33" t="s">
        <v>117</v>
      </c>
      <c r="R75" s="33" t="s">
        <v>117</v>
      </c>
      <c r="S75" s="33" t="s">
        <v>117</v>
      </c>
      <c r="T75" s="33" t="s">
        <v>117</v>
      </c>
      <c r="U75" s="33" t="s">
        <v>117</v>
      </c>
      <c r="V75" s="33" t="s">
        <v>117</v>
      </c>
      <c r="W75" s="33" t="s">
        <v>117</v>
      </c>
      <c r="X75" s="33" t="s">
        <v>117</v>
      </c>
      <c r="Y75" s="33" t="s">
        <v>117</v>
      </c>
      <c r="Z75" s="33" t="s">
        <v>117</v>
      </c>
      <c r="AA75" s="33" t="s">
        <v>117</v>
      </c>
      <c r="AB75" s="33" t="s">
        <v>117</v>
      </c>
      <c r="AC75" s="33" t="s">
        <v>117</v>
      </c>
      <c r="AD75" s="33" t="s">
        <v>117</v>
      </c>
      <c r="AE75" s="33" t="s">
        <v>117</v>
      </c>
      <c r="AF75" s="33" t="s">
        <v>117</v>
      </c>
      <c r="AG75" s="33" t="s">
        <v>117</v>
      </c>
      <c r="AH75" s="33" t="s">
        <v>117</v>
      </c>
      <c r="AI75" s="33" t="s">
        <v>117</v>
      </c>
      <c r="AJ75" s="33" t="s">
        <v>117</v>
      </c>
      <c r="AK75" s="33" t="s">
        <v>117</v>
      </c>
      <c r="AL75" s="33" t="s">
        <v>117</v>
      </c>
      <c r="AM75" s="33" t="s">
        <v>117</v>
      </c>
    </row>
    <row r="76" spans="1:39" ht="15.75" thickBot="1" x14ac:dyDescent="0.3">
      <c r="A76" s="110" t="s">
        <v>95</v>
      </c>
      <c r="B76" s="2">
        <v>72</v>
      </c>
      <c r="C76" s="27" t="s">
        <v>45</v>
      </c>
      <c r="D76" s="29" t="s">
        <v>116</v>
      </c>
      <c r="E76" s="29" t="s">
        <v>117</v>
      </c>
      <c r="F76" s="29" t="s">
        <v>117</v>
      </c>
      <c r="G76" s="29" t="s">
        <v>116</v>
      </c>
      <c r="H76" s="29" t="s">
        <v>117</v>
      </c>
      <c r="I76" s="29" t="s">
        <v>117</v>
      </c>
      <c r="J76" s="29" t="s">
        <v>117</v>
      </c>
      <c r="K76" s="29" t="s">
        <v>117</v>
      </c>
      <c r="L76" s="29" t="s">
        <v>117</v>
      </c>
      <c r="M76" s="29" t="s">
        <v>117</v>
      </c>
      <c r="N76" s="29" t="s">
        <v>117</v>
      </c>
      <c r="O76" s="29" t="s">
        <v>117</v>
      </c>
      <c r="P76" s="29" t="s">
        <v>117</v>
      </c>
      <c r="Q76" s="29" t="s">
        <v>117</v>
      </c>
      <c r="R76" s="29" t="s">
        <v>117</v>
      </c>
      <c r="S76" s="29" t="s">
        <v>117</v>
      </c>
      <c r="T76" s="29" t="s">
        <v>117</v>
      </c>
      <c r="U76" s="29" t="s">
        <v>117</v>
      </c>
      <c r="V76" s="29" t="s">
        <v>117</v>
      </c>
      <c r="W76" s="29" t="s">
        <v>117</v>
      </c>
      <c r="X76" s="29" t="s">
        <v>117</v>
      </c>
      <c r="Y76" s="29" t="s">
        <v>117</v>
      </c>
      <c r="Z76" s="29" t="s">
        <v>117</v>
      </c>
      <c r="AA76" s="29" t="s">
        <v>117</v>
      </c>
      <c r="AB76" s="29" t="s">
        <v>117</v>
      </c>
      <c r="AC76" s="29" t="s">
        <v>117</v>
      </c>
      <c r="AD76" s="29" t="s">
        <v>117</v>
      </c>
      <c r="AE76" s="29" t="s">
        <v>117</v>
      </c>
      <c r="AF76" s="29" t="s">
        <v>117</v>
      </c>
      <c r="AG76" s="29" t="s">
        <v>117</v>
      </c>
      <c r="AH76" s="29" t="s">
        <v>117</v>
      </c>
      <c r="AI76" s="29" t="s">
        <v>117</v>
      </c>
      <c r="AJ76" s="29" t="s">
        <v>117</v>
      </c>
      <c r="AK76" s="29" t="s">
        <v>117</v>
      </c>
      <c r="AL76" s="29" t="s">
        <v>117</v>
      </c>
      <c r="AM76" s="29" t="s">
        <v>117</v>
      </c>
    </row>
    <row r="77" spans="1:39" ht="15.75" thickBot="1" x14ac:dyDescent="0.3">
      <c r="A77" s="110"/>
      <c r="B77" s="2">
        <v>73</v>
      </c>
      <c r="C77" s="21" t="s">
        <v>96</v>
      </c>
      <c r="D77" s="32" t="s">
        <v>116</v>
      </c>
      <c r="E77" s="32" t="s">
        <v>117</v>
      </c>
      <c r="F77" s="30" t="s">
        <v>117</v>
      </c>
      <c r="G77" s="32" t="s">
        <v>116</v>
      </c>
      <c r="H77" s="30" t="s">
        <v>117</v>
      </c>
      <c r="I77" s="30" t="s">
        <v>117</v>
      </c>
      <c r="J77" s="30" t="s">
        <v>117</v>
      </c>
      <c r="K77" s="30" t="s">
        <v>117</v>
      </c>
      <c r="L77" s="30" t="s">
        <v>117</v>
      </c>
      <c r="M77" s="30" t="s">
        <v>117</v>
      </c>
      <c r="N77" s="30" t="s">
        <v>117</v>
      </c>
      <c r="O77" s="30" t="s">
        <v>117</v>
      </c>
      <c r="P77" s="30" t="s">
        <v>117</v>
      </c>
      <c r="Q77" s="30" t="s">
        <v>117</v>
      </c>
      <c r="R77" s="30" t="s">
        <v>117</v>
      </c>
      <c r="S77" s="39" t="s">
        <v>117</v>
      </c>
      <c r="T77" s="30" t="s">
        <v>117</v>
      </c>
      <c r="U77" s="30" t="s">
        <v>117</v>
      </c>
      <c r="V77" s="30" t="s">
        <v>117</v>
      </c>
      <c r="W77" s="30" t="s">
        <v>117</v>
      </c>
      <c r="X77" s="30" t="s">
        <v>117</v>
      </c>
      <c r="Y77" s="30" t="s">
        <v>117</v>
      </c>
      <c r="Z77" s="30" t="s">
        <v>117</v>
      </c>
      <c r="AA77" s="30" t="s">
        <v>117</v>
      </c>
      <c r="AB77" s="30" t="s">
        <v>117</v>
      </c>
      <c r="AC77" s="30" t="s">
        <v>117</v>
      </c>
      <c r="AD77" s="30" t="s">
        <v>117</v>
      </c>
      <c r="AE77" s="30" t="s">
        <v>117</v>
      </c>
      <c r="AF77" s="30" t="s">
        <v>117</v>
      </c>
      <c r="AG77" s="30" t="s">
        <v>117</v>
      </c>
      <c r="AH77" s="30" t="s">
        <v>117</v>
      </c>
      <c r="AI77" s="30" t="s">
        <v>117</v>
      </c>
      <c r="AJ77" s="30" t="s">
        <v>117</v>
      </c>
      <c r="AK77" s="30" t="s">
        <v>117</v>
      </c>
      <c r="AL77" s="30" t="s">
        <v>117</v>
      </c>
      <c r="AM77" s="30" t="s">
        <v>117</v>
      </c>
    </row>
    <row r="78" spans="1:39" ht="15.75" thickBot="1" x14ac:dyDescent="0.3">
      <c r="A78" s="110"/>
      <c r="B78" s="2">
        <v>74</v>
      </c>
      <c r="C78" s="20" t="s">
        <v>64</v>
      </c>
      <c r="D78" s="32" t="s">
        <v>116</v>
      </c>
      <c r="E78" s="32" t="s">
        <v>117</v>
      </c>
      <c r="F78" s="30" t="s">
        <v>214</v>
      </c>
      <c r="G78" s="32" t="s">
        <v>116</v>
      </c>
      <c r="H78" s="30" t="s">
        <v>117</v>
      </c>
      <c r="I78" s="30" t="s">
        <v>117</v>
      </c>
      <c r="J78" s="30" t="s">
        <v>117</v>
      </c>
      <c r="K78" s="30" t="s">
        <v>117</v>
      </c>
      <c r="L78" s="30" t="s">
        <v>117</v>
      </c>
      <c r="M78" s="30" t="s">
        <v>117</v>
      </c>
      <c r="N78" s="30" t="s">
        <v>117</v>
      </c>
      <c r="O78" s="30" t="s">
        <v>117</v>
      </c>
      <c r="P78" s="30" t="s">
        <v>117</v>
      </c>
      <c r="Q78" s="30" t="s">
        <v>117</v>
      </c>
      <c r="R78" s="30" t="s">
        <v>117</v>
      </c>
      <c r="S78" s="30" t="s">
        <v>117</v>
      </c>
      <c r="T78" s="30" t="s">
        <v>117</v>
      </c>
      <c r="U78" s="30" t="s">
        <v>126</v>
      </c>
      <c r="V78" s="30" t="s">
        <v>117</v>
      </c>
      <c r="W78" s="30" t="s">
        <v>117</v>
      </c>
      <c r="X78" s="30" t="s">
        <v>117</v>
      </c>
      <c r="Y78" s="30" t="s">
        <v>127</v>
      </c>
      <c r="Z78" s="30" t="s">
        <v>117</v>
      </c>
      <c r="AA78" s="30" t="s">
        <v>117</v>
      </c>
      <c r="AB78" s="30" t="s">
        <v>117</v>
      </c>
      <c r="AC78" s="30" t="s">
        <v>117</v>
      </c>
      <c r="AD78" s="30" t="s">
        <v>117</v>
      </c>
      <c r="AE78" s="30" t="s">
        <v>127</v>
      </c>
      <c r="AF78" s="30" t="s">
        <v>117</v>
      </c>
      <c r="AG78" s="30" t="s">
        <v>117</v>
      </c>
      <c r="AH78" s="30" t="s">
        <v>117</v>
      </c>
      <c r="AI78" s="30" t="s">
        <v>117</v>
      </c>
      <c r="AJ78" s="30" t="s">
        <v>117</v>
      </c>
      <c r="AK78" s="30" t="s">
        <v>117</v>
      </c>
      <c r="AL78" s="30" t="s">
        <v>117</v>
      </c>
      <c r="AM78" s="30" t="s">
        <v>127</v>
      </c>
    </row>
    <row r="79" spans="1:39" ht="15.75" thickBot="1" x14ac:dyDescent="0.3">
      <c r="A79" s="110"/>
      <c r="B79" s="2">
        <v>75</v>
      </c>
      <c r="C79" s="21" t="s">
        <v>62</v>
      </c>
      <c r="D79" s="32" t="s">
        <v>116</v>
      </c>
      <c r="E79" s="32" t="s">
        <v>117</v>
      </c>
      <c r="F79" s="30" t="s">
        <v>117</v>
      </c>
      <c r="G79" s="32" t="s">
        <v>116</v>
      </c>
      <c r="H79" s="30" t="s">
        <v>117</v>
      </c>
      <c r="I79" s="30" t="s">
        <v>117</v>
      </c>
      <c r="J79" s="30" t="s">
        <v>117</v>
      </c>
      <c r="K79" s="30" t="s">
        <v>117</v>
      </c>
      <c r="L79" s="30" t="s">
        <v>117</v>
      </c>
      <c r="M79" s="30" t="s">
        <v>117</v>
      </c>
      <c r="N79" s="30" t="s">
        <v>117</v>
      </c>
      <c r="O79" s="30" t="s">
        <v>117</v>
      </c>
      <c r="P79" s="30" t="s">
        <v>117</v>
      </c>
      <c r="Q79" s="30" t="s">
        <v>117</v>
      </c>
      <c r="R79" s="30" t="s">
        <v>117</v>
      </c>
      <c r="S79" s="30" t="s">
        <v>117</v>
      </c>
      <c r="T79" s="30" t="s">
        <v>212</v>
      </c>
      <c r="U79" s="30" t="s">
        <v>117</v>
      </c>
      <c r="V79" s="30" t="s">
        <v>125</v>
      </c>
      <c r="W79" s="30" t="s">
        <v>117</v>
      </c>
      <c r="X79" s="30" t="s">
        <v>117</v>
      </c>
      <c r="Y79" s="30" t="s">
        <v>117</v>
      </c>
      <c r="Z79" s="30" t="s">
        <v>117</v>
      </c>
      <c r="AA79" s="30" t="s">
        <v>117</v>
      </c>
      <c r="AB79" s="30" t="s">
        <v>117</v>
      </c>
      <c r="AC79" s="30" t="s">
        <v>117</v>
      </c>
      <c r="AD79" s="30" t="s">
        <v>117</v>
      </c>
      <c r="AE79" s="30" t="s">
        <v>117</v>
      </c>
      <c r="AF79" s="30" t="s">
        <v>117</v>
      </c>
      <c r="AG79" s="30" t="s">
        <v>117</v>
      </c>
      <c r="AH79" s="30" t="s">
        <v>117</v>
      </c>
      <c r="AI79" s="30" t="s">
        <v>117</v>
      </c>
      <c r="AJ79" s="30" t="s">
        <v>117</v>
      </c>
      <c r="AK79" s="30" t="s">
        <v>117</v>
      </c>
      <c r="AL79" s="30" t="s">
        <v>117</v>
      </c>
      <c r="AM79" s="30" t="s">
        <v>117</v>
      </c>
    </row>
    <row r="80" spans="1:39" ht="15.75" thickBot="1" x14ac:dyDescent="0.3">
      <c r="A80" s="110"/>
      <c r="B80" s="2">
        <v>76</v>
      </c>
      <c r="C80" s="21" t="s">
        <v>97</v>
      </c>
      <c r="D80" s="32" t="s">
        <v>116</v>
      </c>
      <c r="E80" s="32" t="s">
        <v>117</v>
      </c>
      <c r="F80" s="30" t="s">
        <v>117</v>
      </c>
      <c r="G80" s="32" t="s">
        <v>116</v>
      </c>
      <c r="H80" s="30" t="s">
        <v>117</v>
      </c>
      <c r="I80" s="30" t="s">
        <v>117</v>
      </c>
      <c r="J80" s="30" t="s">
        <v>117</v>
      </c>
      <c r="K80" s="30" t="s">
        <v>117</v>
      </c>
      <c r="L80" s="30" t="s">
        <v>117</v>
      </c>
      <c r="M80" s="30" t="s">
        <v>117</v>
      </c>
      <c r="N80" s="30" t="s">
        <v>117</v>
      </c>
      <c r="O80" s="30" t="s">
        <v>117</v>
      </c>
      <c r="P80" s="30" t="s">
        <v>117</v>
      </c>
      <c r="Q80" s="30" t="s">
        <v>117</v>
      </c>
      <c r="R80" s="30" t="s">
        <v>117</v>
      </c>
      <c r="S80" s="30" t="s">
        <v>117</v>
      </c>
      <c r="T80" s="30" t="s">
        <v>117</v>
      </c>
      <c r="U80" s="30" t="s">
        <v>117</v>
      </c>
      <c r="V80" s="30" t="s">
        <v>117</v>
      </c>
      <c r="W80" s="30" t="s">
        <v>117</v>
      </c>
      <c r="X80" s="30" t="s">
        <v>117</v>
      </c>
      <c r="Y80" s="30" t="s">
        <v>117</v>
      </c>
      <c r="Z80" s="30" t="s">
        <v>117</v>
      </c>
      <c r="AA80" s="30" t="s">
        <v>117</v>
      </c>
      <c r="AB80" s="30" t="s">
        <v>117</v>
      </c>
      <c r="AC80" s="30" t="s">
        <v>117</v>
      </c>
      <c r="AD80" s="30" t="s">
        <v>117</v>
      </c>
      <c r="AE80" s="30" t="s">
        <v>117</v>
      </c>
      <c r="AF80" s="30" t="s">
        <v>117</v>
      </c>
      <c r="AG80" s="30" t="s">
        <v>117</v>
      </c>
      <c r="AH80" s="30" t="s">
        <v>117</v>
      </c>
      <c r="AI80" s="30" t="s">
        <v>117</v>
      </c>
      <c r="AJ80" s="30" t="s">
        <v>117</v>
      </c>
      <c r="AK80" s="30" t="s">
        <v>117</v>
      </c>
      <c r="AL80" s="30" t="s">
        <v>117</v>
      </c>
      <c r="AM80" s="30" t="s">
        <v>117</v>
      </c>
    </row>
    <row r="81" spans="1:39" ht="15.75" thickBot="1" x14ac:dyDescent="0.3">
      <c r="A81" s="110"/>
      <c r="B81" s="2">
        <v>77</v>
      </c>
      <c r="C81" s="20" t="s">
        <v>92</v>
      </c>
      <c r="D81" s="32" t="s">
        <v>116</v>
      </c>
      <c r="E81" s="32" t="s">
        <v>117</v>
      </c>
      <c r="F81" s="33" t="s">
        <v>213</v>
      </c>
      <c r="G81" s="32" t="s">
        <v>116</v>
      </c>
      <c r="H81" s="33" t="s">
        <v>117</v>
      </c>
      <c r="I81" s="33" t="s">
        <v>117</v>
      </c>
      <c r="J81" s="33" t="s">
        <v>117</v>
      </c>
      <c r="K81" s="33" t="s">
        <v>117</v>
      </c>
      <c r="L81" s="33" t="s">
        <v>117</v>
      </c>
      <c r="M81" s="33" t="s">
        <v>117</v>
      </c>
      <c r="N81" s="33" t="s">
        <v>117</v>
      </c>
      <c r="O81" s="33" t="s">
        <v>117</v>
      </c>
      <c r="P81" s="33" t="s">
        <v>117</v>
      </c>
      <c r="Q81" s="33" t="s">
        <v>117</v>
      </c>
      <c r="R81" s="33" t="s">
        <v>117</v>
      </c>
      <c r="S81" s="33" t="s">
        <v>117</v>
      </c>
      <c r="T81" s="33" t="s">
        <v>117</v>
      </c>
      <c r="U81" s="33" t="s">
        <v>117</v>
      </c>
      <c r="V81" s="33" t="s">
        <v>117</v>
      </c>
      <c r="W81" s="33" t="s">
        <v>117</v>
      </c>
      <c r="X81" s="33" t="s">
        <v>117</v>
      </c>
      <c r="Y81" s="33" t="s">
        <v>117</v>
      </c>
      <c r="Z81" s="33" t="s">
        <v>117</v>
      </c>
      <c r="AA81" s="33" t="s">
        <v>117</v>
      </c>
      <c r="AB81" s="33" t="s">
        <v>117</v>
      </c>
      <c r="AC81" s="33" t="s">
        <v>117</v>
      </c>
      <c r="AD81" s="33" t="s">
        <v>119</v>
      </c>
      <c r="AE81" s="33" t="s">
        <v>117</v>
      </c>
      <c r="AF81" s="33" t="s">
        <v>117</v>
      </c>
      <c r="AG81" s="33" t="s">
        <v>117</v>
      </c>
      <c r="AH81" s="33" t="s">
        <v>117</v>
      </c>
      <c r="AI81" s="33" t="s">
        <v>117</v>
      </c>
      <c r="AJ81" s="33" t="s">
        <v>117</v>
      </c>
      <c r="AK81" s="33" t="s">
        <v>117</v>
      </c>
      <c r="AL81" s="33" t="s">
        <v>117</v>
      </c>
      <c r="AM81" s="33" t="s">
        <v>117</v>
      </c>
    </row>
    <row r="82" spans="1:39" ht="15.75" thickBot="1" x14ac:dyDescent="0.3">
      <c r="A82" s="112" t="s">
        <v>98</v>
      </c>
      <c r="B82" s="2">
        <v>78</v>
      </c>
      <c r="C82" s="25" t="s">
        <v>99</v>
      </c>
      <c r="D82" s="29" t="s">
        <v>116</v>
      </c>
      <c r="E82" s="29" t="s">
        <v>117</v>
      </c>
      <c r="F82" s="29" t="s">
        <v>117</v>
      </c>
      <c r="G82" s="29" t="s">
        <v>116</v>
      </c>
      <c r="H82" s="29" t="s">
        <v>118</v>
      </c>
      <c r="I82" s="29" t="s">
        <v>117</v>
      </c>
      <c r="J82" s="29" t="s">
        <v>117</v>
      </c>
      <c r="K82" s="29" t="s">
        <v>117</v>
      </c>
      <c r="L82" s="40" t="s">
        <v>117</v>
      </c>
      <c r="M82" s="30" t="s">
        <v>118</v>
      </c>
      <c r="N82" s="40" t="s">
        <v>117</v>
      </c>
      <c r="O82" s="40" t="s">
        <v>117</v>
      </c>
      <c r="P82" s="40" t="s">
        <v>117</v>
      </c>
      <c r="Q82" s="40" t="s">
        <v>117</v>
      </c>
      <c r="R82" s="40" t="s">
        <v>117</v>
      </c>
      <c r="S82" s="40" t="s">
        <v>117</v>
      </c>
      <c r="T82" s="40" t="s">
        <v>117</v>
      </c>
      <c r="U82" s="40" t="s">
        <v>117</v>
      </c>
      <c r="V82" s="40" t="s">
        <v>117</v>
      </c>
      <c r="W82" s="40" t="s">
        <v>117</v>
      </c>
      <c r="X82" s="40" t="s">
        <v>117</v>
      </c>
      <c r="Y82" s="40" t="s">
        <v>117</v>
      </c>
      <c r="Z82" s="40" t="s">
        <v>117</v>
      </c>
      <c r="AA82" s="40" t="s">
        <v>118</v>
      </c>
      <c r="AB82" s="40" t="s">
        <v>117</v>
      </c>
      <c r="AC82" s="40" t="s">
        <v>117</v>
      </c>
      <c r="AD82" s="40" t="s">
        <v>229</v>
      </c>
      <c r="AE82" s="40" t="s">
        <v>117</v>
      </c>
      <c r="AF82" s="40" t="s">
        <v>117</v>
      </c>
      <c r="AG82" s="40" t="s">
        <v>117</v>
      </c>
      <c r="AH82" s="40" t="s">
        <v>117</v>
      </c>
      <c r="AI82" s="40" t="s">
        <v>117</v>
      </c>
      <c r="AJ82" s="40" t="s">
        <v>117</v>
      </c>
      <c r="AK82" s="40" t="s">
        <v>117</v>
      </c>
      <c r="AL82" s="40" t="s">
        <v>117</v>
      </c>
      <c r="AM82" s="40" t="s">
        <v>118</v>
      </c>
    </row>
    <row r="83" spans="1:39" ht="15.75" thickBot="1" x14ac:dyDescent="0.3">
      <c r="A83" s="110"/>
      <c r="B83" s="2">
        <v>79</v>
      </c>
      <c r="C83" s="21" t="s">
        <v>100</v>
      </c>
      <c r="D83" s="32" t="s">
        <v>116</v>
      </c>
      <c r="E83" s="32" t="s">
        <v>117</v>
      </c>
      <c r="F83" s="30" t="s">
        <v>117</v>
      </c>
      <c r="G83" s="32" t="s">
        <v>116</v>
      </c>
      <c r="H83" s="30" t="s">
        <v>117</v>
      </c>
      <c r="I83" s="30" t="s">
        <v>117</v>
      </c>
      <c r="J83" s="30" t="s">
        <v>117</v>
      </c>
      <c r="K83" s="30" t="s">
        <v>117</v>
      </c>
      <c r="L83" s="30" t="s">
        <v>117</v>
      </c>
      <c r="M83" s="31" t="s">
        <v>117</v>
      </c>
      <c r="N83" s="30" t="s">
        <v>117</v>
      </c>
      <c r="O83" s="30" t="s">
        <v>117</v>
      </c>
      <c r="P83" s="30" t="s">
        <v>117</v>
      </c>
      <c r="Q83" s="30" t="s">
        <v>117</v>
      </c>
      <c r="R83" s="30" t="s">
        <v>117</v>
      </c>
      <c r="S83" s="30" t="s">
        <v>117</v>
      </c>
      <c r="T83" s="30" t="s">
        <v>117</v>
      </c>
      <c r="U83" s="30" t="s">
        <v>117</v>
      </c>
      <c r="V83" s="30" t="s">
        <v>117</v>
      </c>
      <c r="W83" s="30" t="s">
        <v>117</v>
      </c>
      <c r="X83" s="30" t="s">
        <v>117</v>
      </c>
      <c r="Y83" s="30" t="s">
        <v>117</v>
      </c>
      <c r="Z83" s="30" t="s">
        <v>117</v>
      </c>
      <c r="AA83" s="30" t="s">
        <v>117</v>
      </c>
      <c r="AB83" s="30" t="s">
        <v>117</v>
      </c>
      <c r="AC83" s="30" t="s">
        <v>117</v>
      </c>
      <c r="AD83" s="30" t="s">
        <v>117</v>
      </c>
      <c r="AE83" s="30" t="s">
        <v>117</v>
      </c>
      <c r="AF83" s="30" t="s">
        <v>117</v>
      </c>
      <c r="AG83" s="30" t="s">
        <v>117</v>
      </c>
      <c r="AH83" s="30" t="s">
        <v>117</v>
      </c>
      <c r="AI83" s="30" t="s">
        <v>117</v>
      </c>
      <c r="AJ83" s="30" t="s">
        <v>117</v>
      </c>
      <c r="AK83" s="30" t="s">
        <v>117</v>
      </c>
      <c r="AL83" s="30" t="s">
        <v>117</v>
      </c>
      <c r="AM83" s="30" t="s">
        <v>117</v>
      </c>
    </row>
    <row r="84" spans="1:39" ht="15.75" thickBot="1" x14ac:dyDescent="0.3">
      <c r="A84" s="110"/>
      <c r="B84" s="2">
        <v>80</v>
      </c>
      <c r="C84" s="20" t="s">
        <v>42</v>
      </c>
      <c r="D84" s="32" t="s">
        <v>116</v>
      </c>
      <c r="E84" s="32" t="s">
        <v>117</v>
      </c>
      <c r="F84" s="30" t="s">
        <v>117</v>
      </c>
      <c r="G84" s="32" t="s">
        <v>116</v>
      </c>
      <c r="H84" s="30" t="s">
        <v>117</v>
      </c>
      <c r="I84" s="30" t="s">
        <v>117</v>
      </c>
      <c r="J84" s="30" t="s">
        <v>117</v>
      </c>
      <c r="K84" s="30" t="s">
        <v>117</v>
      </c>
      <c r="L84" s="30" t="s">
        <v>117</v>
      </c>
      <c r="M84" s="30" t="s">
        <v>117</v>
      </c>
      <c r="N84" s="30" t="s">
        <v>117</v>
      </c>
      <c r="O84" s="30" t="s">
        <v>117</v>
      </c>
      <c r="P84" s="30" t="s">
        <v>117</v>
      </c>
      <c r="Q84" s="30" t="s">
        <v>117</v>
      </c>
      <c r="R84" s="30" t="s">
        <v>117</v>
      </c>
      <c r="S84" s="30" t="s">
        <v>117</v>
      </c>
      <c r="T84" s="30" t="s">
        <v>117</v>
      </c>
      <c r="U84" s="30" t="s">
        <v>117</v>
      </c>
      <c r="V84" s="30" t="s">
        <v>117</v>
      </c>
      <c r="W84" s="30" t="s">
        <v>117</v>
      </c>
      <c r="X84" s="30" t="s">
        <v>117</v>
      </c>
      <c r="Y84" s="30" t="s">
        <v>117</v>
      </c>
      <c r="Z84" s="30" t="s">
        <v>117</v>
      </c>
      <c r="AA84" s="30" t="s">
        <v>117</v>
      </c>
      <c r="AB84" s="30" t="s">
        <v>117</v>
      </c>
      <c r="AC84" s="30" t="s">
        <v>117</v>
      </c>
      <c r="AD84" s="30" t="s">
        <v>117</v>
      </c>
      <c r="AE84" s="30" t="s">
        <v>117</v>
      </c>
      <c r="AF84" s="30" t="s">
        <v>117</v>
      </c>
      <c r="AG84" s="30" t="s">
        <v>117</v>
      </c>
      <c r="AH84" s="30" t="s">
        <v>117</v>
      </c>
      <c r="AI84" s="30" t="s">
        <v>117</v>
      </c>
      <c r="AJ84" s="30" t="s">
        <v>117</v>
      </c>
      <c r="AK84" s="30" t="s">
        <v>117</v>
      </c>
      <c r="AL84" s="30" t="s">
        <v>117</v>
      </c>
      <c r="AM84" s="30" t="s">
        <v>117</v>
      </c>
    </row>
    <row r="85" spans="1:39" ht="15.75" thickBot="1" x14ac:dyDescent="0.3">
      <c r="A85" s="110"/>
      <c r="B85" s="2">
        <v>81</v>
      </c>
      <c r="C85" s="21" t="s">
        <v>45</v>
      </c>
      <c r="D85" s="32" t="s">
        <v>116</v>
      </c>
      <c r="E85" s="32" t="s">
        <v>117</v>
      </c>
      <c r="F85" s="30" t="s">
        <v>117</v>
      </c>
      <c r="G85" s="32" t="s">
        <v>116</v>
      </c>
      <c r="H85" s="30" t="s">
        <v>117</v>
      </c>
      <c r="I85" s="30" t="s">
        <v>117</v>
      </c>
      <c r="J85" s="30" t="s">
        <v>117</v>
      </c>
      <c r="K85" s="30" t="s">
        <v>117</v>
      </c>
      <c r="L85" s="30" t="s">
        <v>117</v>
      </c>
      <c r="M85" s="30" t="s">
        <v>117</v>
      </c>
      <c r="N85" s="30" t="s">
        <v>117</v>
      </c>
      <c r="O85" s="30" t="s">
        <v>117</v>
      </c>
      <c r="P85" s="30" t="s">
        <v>117</v>
      </c>
      <c r="Q85" s="30" t="s">
        <v>117</v>
      </c>
      <c r="R85" s="30" t="s">
        <v>117</v>
      </c>
      <c r="S85" s="30" t="s">
        <v>117</v>
      </c>
      <c r="T85" s="30" t="s">
        <v>117</v>
      </c>
      <c r="U85" s="30" t="s">
        <v>118</v>
      </c>
      <c r="V85" s="30" t="s">
        <v>117</v>
      </c>
      <c r="W85" s="30" t="s">
        <v>117</v>
      </c>
      <c r="X85" s="30" t="s">
        <v>117</v>
      </c>
      <c r="Y85" s="30" t="s">
        <v>117</v>
      </c>
      <c r="Z85" s="30" t="s">
        <v>118</v>
      </c>
      <c r="AA85" s="30" t="s">
        <v>117</v>
      </c>
      <c r="AB85" s="30" t="s">
        <v>117</v>
      </c>
      <c r="AC85" s="30" t="s">
        <v>117</v>
      </c>
      <c r="AD85" s="30" t="s">
        <v>117</v>
      </c>
      <c r="AE85" s="30" t="s">
        <v>117</v>
      </c>
      <c r="AF85" s="30" t="s">
        <v>117</v>
      </c>
      <c r="AG85" s="30" t="s">
        <v>239</v>
      </c>
      <c r="AH85" s="30" t="s">
        <v>117</v>
      </c>
      <c r="AI85" s="30" t="s">
        <v>117</v>
      </c>
      <c r="AJ85" s="30" t="s">
        <v>117</v>
      </c>
      <c r="AK85" s="30" t="s">
        <v>117</v>
      </c>
      <c r="AL85" s="30" t="s">
        <v>117</v>
      </c>
      <c r="AM85" s="30" t="s">
        <v>117</v>
      </c>
    </row>
    <row r="86" spans="1:39" ht="15.75" thickBot="1" x14ac:dyDescent="0.3">
      <c r="A86" s="110"/>
      <c r="B86" s="2">
        <v>82</v>
      </c>
      <c r="C86" s="21" t="s">
        <v>46</v>
      </c>
      <c r="D86" s="30" t="s">
        <v>116</v>
      </c>
      <c r="E86" s="30" t="s">
        <v>117</v>
      </c>
      <c r="F86" s="30" t="s">
        <v>117</v>
      </c>
      <c r="G86" s="30" t="s">
        <v>116</v>
      </c>
      <c r="H86" s="30" t="s">
        <v>117</v>
      </c>
      <c r="I86" s="30" t="s">
        <v>117</v>
      </c>
      <c r="J86" s="30" t="s">
        <v>117</v>
      </c>
      <c r="K86" s="30" t="s">
        <v>117</v>
      </c>
      <c r="L86" s="30" t="s">
        <v>117</v>
      </c>
      <c r="M86" s="30" t="s">
        <v>132</v>
      </c>
      <c r="N86" s="39" t="s">
        <v>117</v>
      </c>
      <c r="O86" s="39" t="s">
        <v>117</v>
      </c>
      <c r="P86" s="39" t="s">
        <v>117</v>
      </c>
      <c r="Q86" s="39" t="s">
        <v>117</v>
      </c>
      <c r="R86" s="39" t="s">
        <v>117</v>
      </c>
      <c r="S86" s="39" t="s">
        <v>117</v>
      </c>
      <c r="T86" s="39" t="s">
        <v>117</v>
      </c>
      <c r="U86" s="39" t="s">
        <v>117</v>
      </c>
      <c r="V86" s="39" t="s">
        <v>117</v>
      </c>
      <c r="W86" s="39" t="s">
        <v>117</v>
      </c>
      <c r="X86" s="39" t="s">
        <v>117</v>
      </c>
      <c r="Y86" s="39" t="s">
        <v>117</v>
      </c>
      <c r="Z86" s="39" t="s">
        <v>117</v>
      </c>
      <c r="AA86" s="39" t="s">
        <v>117</v>
      </c>
      <c r="AB86" s="39" t="s">
        <v>117</v>
      </c>
      <c r="AC86" s="39" t="s">
        <v>117</v>
      </c>
      <c r="AD86" s="39" t="s">
        <v>117</v>
      </c>
      <c r="AE86" s="39" t="s">
        <v>117</v>
      </c>
      <c r="AF86" s="39" t="s">
        <v>117</v>
      </c>
      <c r="AG86" s="39" t="s">
        <v>117</v>
      </c>
      <c r="AH86" s="39" t="s">
        <v>117</v>
      </c>
      <c r="AI86" s="39" t="s">
        <v>117</v>
      </c>
      <c r="AJ86" s="39" t="s">
        <v>117</v>
      </c>
      <c r="AK86" s="39" t="s">
        <v>117</v>
      </c>
      <c r="AL86" s="39" t="s">
        <v>117</v>
      </c>
      <c r="AM86" s="39" t="s">
        <v>117</v>
      </c>
    </row>
    <row r="87" spans="1:39" ht="15.75" thickBot="1" x14ac:dyDescent="0.3">
      <c r="A87" s="110"/>
      <c r="B87" s="2">
        <v>83</v>
      </c>
      <c r="C87" s="21" t="s">
        <v>47</v>
      </c>
      <c r="D87" s="32" t="s">
        <v>116</v>
      </c>
      <c r="E87" s="32" t="s">
        <v>117</v>
      </c>
      <c r="F87" s="30" t="s">
        <v>117</v>
      </c>
      <c r="G87" s="32" t="s">
        <v>116</v>
      </c>
      <c r="H87" s="30" t="s">
        <v>117</v>
      </c>
      <c r="I87" s="30" t="s">
        <v>117</v>
      </c>
      <c r="J87" s="30" t="s">
        <v>117</v>
      </c>
      <c r="K87" s="30" t="s">
        <v>117</v>
      </c>
      <c r="L87" s="30" t="s">
        <v>117</v>
      </c>
      <c r="M87" s="30" t="s">
        <v>117</v>
      </c>
      <c r="N87" s="30" t="s">
        <v>117</v>
      </c>
      <c r="O87" s="30" t="s">
        <v>117</v>
      </c>
      <c r="P87" s="30" t="s">
        <v>117</v>
      </c>
      <c r="Q87" s="30" t="s">
        <v>117</v>
      </c>
      <c r="R87" s="30" t="s">
        <v>117</v>
      </c>
      <c r="S87" s="30" t="s">
        <v>117</v>
      </c>
      <c r="T87" s="30" t="s">
        <v>117</v>
      </c>
      <c r="U87" s="30" t="s">
        <v>117</v>
      </c>
      <c r="V87" s="30" t="s">
        <v>117</v>
      </c>
      <c r="W87" s="30" t="s">
        <v>117</v>
      </c>
      <c r="X87" s="30" t="s">
        <v>117</v>
      </c>
      <c r="Y87" s="30" t="s">
        <v>117</v>
      </c>
      <c r="Z87" s="30" t="s">
        <v>117</v>
      </c>
      <c r="AA87" s="30" t="s">
        <v>117</v>
      </c>
      <c r="AB87" s="30" t="s">
        <v>117</v>
      </c>
      <c r="AC87" s="30" t="s">
        <v>117</v>
      </c>
      <c r="AD87" s="30" t="s">
        <v>117</v>
      </c>
      <c r="AE87" s="30" t="s">
        <v>117</v>
      </c>
      <c r="AF87" s="30" t="s">
        <v>117</v>
      </c>
      <c r="AG87" s="30" t="s">
        <v>117</v>
      </c>
      <c r="AH87" s="30" t="s">
        <v>117</v>
      </c>
      <c r="AI87" s="30" t="s">
        <v>117</v>
      </c>
      <c r="AJ87" s="30" t="s">
        <v>117</v>
      </c>
      <c r="AK87" s="30" t="s">
        <v>117</v>
      </c>
      <c r="AL87" s="30" t="s">
        <v>117</v>
      </c>
      <c r="AM87" s="30" t="s">
        <v>117</v>
      </c>
    </row>
    <row r="88" spans="1:39" ht="15.75" thickBot="1" x14ac:dyDescent="0.3">
      <c r="A88" s="110"/>
      <c r="B88" s="2">
        <v>84</v>
      </c>
      <c r="C88" s="21" t="s">
        <v>49</v>
      </c>
      <c r="D88" s="32" t="s">
        <v>116</v>
      </c>
      <c r="E88" s="32" t="s">
        <v>117</v>
      </c>
      <c r="F88" s="30" t="s">
        <v>117</v>
      </c>
      <c r="G88" s="32" t="s">
        <v>116</v>
      </c>
      <c r="H88" s="30" t="s">
        <v>117</v>
      </c>
      <c r="I88" s="30" t="s">
        <v>117</v>
      </c>
      <c r="J88" s="30" t="s">
        <v>117</v>
      </c>
      <c r="K88" s="30" t="s">
        <v>117</v>
      </c>
      <c r="L88" s="30" t="s">
        <v>117</v>
      </c>
      <c r="M88" s="30" t="s">
        <v>117</v>
      </c>
      <c r="N88" s="30" t="s">
        <v>117</v>
      </c>
      <c r="O88" s="30" t="s">
        <v>117</v>
      </c>
      <c r="P88" s="30" t="s">
        <v>117</v>
      </c>
      <c r="Q88" s="30" t="s">
        <v>117</v>
      </c>
      <c r="R88" s="30" t="s">
        <v>117</v>
      </c>
      <c r="S88" s="30" t="s">
        <v>117</v>
      </c>
      <c r="T88" s="30" t="s">
        <v>117</v>
      </c>
      <c r="U88" s="30" t="s">
        <v>117</v>
      </c>
      <c r="V88" s="30" t="s">
        <v>117</v>
      </c>
      <c r="W88" s="30" t="s">
        <v>117</v>
      </c>
      <c r="X88" s="30" t="s">
        <v>117</v>
      </c>
      <c r="Y88" s="30" t="s">
        <v>117</v>
      </c>
      <c r="Z88" s="30" t="s">
        <v>117</v>
      </c>
      <c r="AA88" s="30" t="s">
        <v>117</v>
      </c>
      <c r="AB88" s="30" t="s">
        <v>117</v>
      </c>
      <c r="AC88" s="30" t="s">
        <v>117</v>
      </c>
      <c r="AD88" s="30" t="s">
        <v>117</v>
      </c>
      <c r="AE88" s="30" t="s">
        <v>117</v>
      </c>
      <c r="AF88" s="30" t="s">
        <v>117</v>
      </c>
      <c r="AG88" s="30" t="s">
        <v>117</v>
      </c>
      <c r="AH88" s="30" t="s">
        <v>117</v>
      </c>
      <c r="AI88" s="30" t="s">
        <v>117</v>
      </c>
      <c r="AJ88" s="30" t="s">
        <v>117</v>
      </c>
      <c r="AK88" s="30" t="s">
        <v>117</v>
      </c>
      <c r="AL88" s="30" t="s">
        <v>117</v>
      </c>
      <c r="AM88" s="30" t="s">
        <v>117</v>
      </c>
    </row>
    <row r="89" spans="1:39" ht="15.75" thickBot="1" x14ac:dyDescent="0.3">
      <c r="A89" s="110"/>
      <c r="B89" s="2">
        <v>85</v>
      </c>
      <c r="C89" s="21" t="s">
        <v>52</v>
      </c>
      <c r="D89" s="32" t="s">
        <v>116</v>
      </c>
      <c r="E89" s="32" t="s">
        <v>117</v>
      </c>
      <c r="F89" s="30" t="s">
        <v>117</v>
      </c>
      <c r="G89" s="32" t="s">
        <v>116</v>
      </c>
      <c r="H89" s="30" t="s">
        <v>117</v>
      </c>
      <c r="I89" s="30" t="s">
        <v>117</v>
      </c>
      <c r="J89" s="30" t="s">
        <v>117</v>
      </c>
      <c r="K89" s="30" t="s">
        <v>117</v>
      </c>
      <c r="L89" s="30" t="s">
        <v>117</v>
      </c>
      <c r="M89" s="30" t="s">
        <v>117</v>
      </c>
      <c r="N89" s="30" t="s">
        <v>117</v>
      </c>
      <c r="O89" s="30" t="s">
        <v>117</v>
      </c>
      <c r="P89" s="30" t="s">
        <v>117</v>
      </c>
      <c r="Q89" s="30" t="s">
        <v>117</v>
      </c>
      <c r="R89" s="30" t="s">
        <v>117</v>
      </c>
      <c r="S89" s="30" t="s">
        <v>117</v>
      </c>
      <c r="T89" s="30" t="s">
        <v>117</v>
      </c>
      <c r="U89" s="30" t="s">
        <v>117</v>
      </c>
      <c r="V89" s="30" t="s">
        <v>119</v>
      </c>
      <c r="W89" s="30" t="s">
        <v>117</v>
      </c>
      <c r="X89" s="30" t="s">
        <v>117</v>
      </c>
      <c r="Y89" s="30" t="s">
        <v>117</v>
      </c>
      <c r="Z89" s="30" t="s">
        <v>117</v>
      </c>
      <c r="AA89" s="30" t="s">
        <v>117</v>
      </c>
      <c r="AB89" s="30" t="s">
        <v>117</v>
      </c>
      <c r="AC89" s="30" t="s">
        <v>117</v>
      </c>
      <c r="AD89" s="30" t="s">
        <v>117</v>
      </c>
      <c r="AE89" s="30" t="s">
        <v>117</v>
      </c>
      <c r="AF89" s="30" t="s">
        <v>117</v>
      </c>
      <c r="AG89" s="30" t="s">
        <v>117</v>
      </c>
      <c r="AH89" s="30" t="s">
        <v>117</v>
      </c>
      <c r="AI89" s="30" t="s">
        <v>117</v>
      </c>
      <c r="AJ89" s="30" t="s">
        <v>117</v>
      </c>
      <c r="AK89" s="30" t="s">
        <v>117</v>
      </c>
      <c r="AL89" s="30" t="s">
        <v>117</v>
      </c>
      <c r="AM89" s="30" t="s">
        <v>119</v>
      </c>
    </row>
    <row r="90" spans="1:39" ht="15.75" thickBot="1" x14ac:dyDescent="0.3">
      <c r="A90" s="110"/>
      <c r="B90" s="2">
        <v>86</v>
      </c>
      <c r="C90" s="21" t="s">
        <v>54</v>
      </c>
      <c r="D90" s="32" t="s">
        <v>116</v>
      </c>
      <c r="E90" s="32" t="s">
        <v>117</v>
      </c>
      <c r="F90" s="30" t="s">
        <v>117</v>
      </c>
      <c r="G90" s="32" t="s">
        <v>116</v>
      </c>
      <c r="H90" s="30" t="s">
        <v>117</v>
      </c>
      <c r="I90" s="30" t="s">
        <v>117</v>
      </c>
      <c r="J90" s="30" t="s">
        <v>117</v>
      </c>
      <c r="K90" s="30" t="s">
        <v>117</v>
      </c>
      <c r="L90" s="30" t="s">
        <v>117</v>
      </c>
      <c r="M90" s="30" t="s">
        <v>117</v>
      </c>
      <c r="N90" s="30" t="s">
        <v>117</v>
      </c>
      <c r="O90" s="30" t="s">
        <v>117</v>
      </c>
      <c r="P90" s="30" t="s">
        <v>117</v>
      </c>
      <c r="Q90" s="30" t="s">
        <v>118</v>
      </c>
      <c r="R90" s="30" t="s">
        <v>117</v>
      </c>
      <c r="S90" s="30" t="s">
        <v>117</v>
      </c>
      <c r="T90" s="30" t="s">
        <v>117</v>
      </c>
      <c r="U90" s="30" t="s">
        <v>117</v>
      </c>
      <c r="V90" s="30" t="s">
        <v>117</v>
      </c>
      <c r="W90" s="30" t="s">
        <v>117</v>
      </c>
      <c r="X90" s="30" t="s">
        <v>117</v>
      </c>
      <c r="Y90" s="30" t="s">
        <v>117</v>
      </c>
      <c r="Z90" s="30" t="s">
        <v>117</v>
      </c>
      <c r="AA90" s="30" t="s">
        <v>117</v>
      </c>
      <c r="AB90" s="30" t="s">
        <v>117</v>
      </c>
      <c r="AC90" s="30" t="s">
        <v>117</v>
      </c>
      <c r="AD90" s="30" t="s">
        <v>117</v>
      </c>
      <c r="AE90" s="30" t="s">
        <v>117</v>
      </c>
      <c r="AF90" s="30" t="s">
        <v>117</v>
      </c>
      <c r="AG90" s="30" t="s">
        <v>117</v>
      </c>
      <c r="AH90" s="30" t="s">
        <v>117</v>
      </c>
      <c r="AI90" s="30" t="s">
        <v>117</v>
      </c>
      <c r="AJ90" s="30" t="s">
        <v>117</v>
      </c>
      <c r="AK90" s="30" t="s">
        <v>117</v>
      </c>
      <c r="AL90" s="30" t="s">
        <v>117</v>
      </c>
      <c r="AM90" s="30" t="s">
        <v>117</v>
      </c>
    </row>
    <row r="91" spans="1:39" ht="15.75" thickBot="1" x14ac:dyDescent="0.3">
      <c r="A91" s="110"/>
      <c r="B91" s="2">
        <v>87</v>
      </c>
      <c r="C91" s="21" t="s">
        <v>55</v>
      </c>
      <c r="D91" s="38" t="s">
        <v>116</v>
      </c>
      <c r="E91" s="30" t="s">
        <v>117</v>
      </c>
      <c r="F91" s="30" t="s">
        <v>117</v>
      </c>
      <c r="G91" s="38" t="s">
        <v>116</v>
      </c>
      <c r="H91" s="30" t="s">
        <v>117</v>
      </c>
      <c r="I91" s="30" t="s">
        <v>117</v>
      </c>
      <c r="J91" s="30" t="s">
        <v>117</v>
      </c>
      <c r="K91" s="30" t="s">
        <v>117</v>
      </c>
      <c r="L91" s="30" t="s">
        <v>117</v>
      </c>
      <c r="M91" s="30" t="s">
        <v>117</v>
      </c>
      <c r="N91" s="30" t="s">
        <v>117</v>
      </c>
      <c r="O91" s="30" t="s">
        <v>117</v>
      </c>
      <c r="P91" s="30" t="s">
        <v>117</v>
      </c>
      <c r="Q91" s="30" t="s">
        <v>117</v>
      </c>
      <c r="R91" s="30" t="s">
        <v>117</v>
      </c>
      <c r="S91" s="30" t="s">
        <v>117</v>
      </c>
      <c r="T91" s="30" t="s">
        <v>117</v>
      </c>
      <c r="U91" s="30" t="s">
        <v>117</v>
      </c>
      <c r="V91" s="30" t="s">
        <v>117</v>
      </c>
      <c r="W91" s="30" t="s">
        <v>117</v>
      </c>
      <c r="X91" s="30" t="s">
        <v>117</v>
      </c>
      <c r="Y91" s="30" t="s">
        <v>117</v>
      </c>
      <c r="Z91" s="30" t="s">
        <v>117</v>
      </c>
      <c r="AA91" s="30" t="s">
        <v>117</v>
      </c>
      <c r="AB91" s="30" t="s">
        <v>117</v>
      </c>
      <c r="AC91" s="30" t="s">
        <v>117</v>
      </c>
      <c r="AD91" s="30" t="s">
        <v>117</v>
      </c>
      <c r="AE91" s="30" t="s">
        <v>117</v>
      </c>
      <c r="AF91" s="30" t="s">
        <v>117</v>
      </c>
      <c r="AG91" s="30" t="s">
        <v>117</v>
      </c>
      <c r="AH91" s="30" t="s">
        <v>117</v>
      </c>
      <c r="AI91" s="30" t="s">
        <v>117</v>
      </c>
      <c r="AJ91" s="30" t="s">
        <v>117</v>
      </c>
      <c r="AK91" s="30" t="s">
        <v>117</v>
      </c>
      <c r="AL91" s="30" t="s">
        <v>117</v>
      </c>
      <c r="AM91" s="30" t="s">
        <v>117</v>
      </c>
    </row>
    <row r="92" spans="1:39" ht="15.75" thickBot="1" x14ac:dyDescent="0.3">
      <c r="A92" s="110"/>
      <c r="B92" s="2">
        <v>88</v>
      </c>
      <c r="C92" s="21" t="s">
        <v>57</v>
      </c>
      <c r="D92" s="38" t="s">
        <v>116</v>
      </c>
      <c r="E92" s="30" t="s">
        <v>117</v>
      </c>
      <c r="F92" s="30" t="s">
        <v>117</v>
      </c>
      <c r="G92" s="38" t="s">
        <v>116</v>
      </c>
      <c r="H92" s="30" t="s">
        <v>117</v>
      </c>
      <c r="I92" s="30" t="s">
        <v>117</v>
      </c>
      <c r="J92" s="30" t="s">
        <v>117</v>
      </c>
      <c r="K92" s="30" t="s">
        <v>117</v>
      </c>
      <c r="L92" s="30" t="s">
        <v>117</v>
      </c>
      <c r="M92" s="30" t="s">
        <v>117</v>
      </c>
      <c r="N92" s="30" t="s">
        <v>117</v>
      </c>
      <c r="O92" s="30" t="s">
        <v>117</v>
      </c>
      <c r="P92" s="30" t="s">
        <v>117</v>
      </c>
      <c r="Q92" s="30" t="s">
        <v>117</v>
      </c>
      <c r="R92" s="30" t="s">
        <v>117</v>
      </c>
      <c r="S92" s="30" t="s">
        <v>117</v>
      </c>
      <c r="T92" s="30" t="s">
        <v>117</v>
      </c>
      <c r="U92" s="30" t="s">
        <v>117</v>
      </c>
      <c r="V92" s="30" t="s">
        <v>117</v>
      </c>
      <c r="W92" s="30" t="s">
        <v>117</v>
      </c>
      <c r="X92" s="30" t="s">
        <v>117</v>
      </c>
      <c r="Y92" s="30" t="s">
        <v>117</v>
      </c>
      <c r="Z92" s="30" t="s">
        <v>117</v>
      </c>
      <c r="AA92" s="30" t="s">
        <v>117</v>
      </c>
      <c r="AB92" s="30" t="s">
        <v>117</v>
      </c>
      <c r="AC92" s="30" t="s">
        <v>117</v>
      </c>
      <c r="AD92" s="30" t="s">
        <v>117</v>
      </c>
      <c r="AE92" s="30" t="s">
        <v>117</v>
      </c>
      <c r="AF92" s="30" t="s">
        <v>117</v>
      </c>
      <c r="AG92" s="30" t="s">
        <v>117</v>
      </c>
      <c r="AH92" s="30" t="s">
        <v>117</v>
      </c>
      <c r="AI92" s="30" t="s">
        <v>117</v>
      </c>
      <c r="AJ92" s="30" t="s">
        <v>117</v>
      </c>
      <c r="AK92" s="30" t="s">
        <v>117</v>
      </c>
      <c r="AL92" s="30" t="s">
        <v>117</v>
      </c>
      <c r="AM92" s="30" t="s">
        <v>117</v>
      </c>
    </row>
    <row r="93" spans="1:39" ht="15.75" thickBot="1" x14ac:dyDescent="0.3">
      <c r="A93" s="110"/>
      <c r="B93" s="2">
        <v>89</v>
      </c>
      <c r="C93" s="21" t="s">
        <v>59</v>
      </c>
      <c r="D93" s="32" t="s">
        <v>116</v>
      </c>
      <c r="E93" s="32" t="s">
        <v>117</v>
      </c>
      <c r="F93" s="30" t="s">
        <v>117</v>
      </c>
      <c r="G93" s="32" t="s">
        <v>116</v>
      </c>
      <c r="H93" s="30" t="s">
        <v>117</v>
      </c>
      <c r="I93" s="30" t="s">
        <v>117</v>
      </c>
      <c r="J93" s="30" t="s">
        <v>117</v>
      </c>
      <c r="K93" s="30" t="s">
        <v>122</v>
      </c>
      <c r="L93" s="30" t="s">
        <v>117</v>
      </c>
      <c r="M93" s="30" t="s">
        <v>117</v>
      </c>
      <c r="N93" s="30" t="s">
        <v>123</v>
      </c>
      <c r="O93" s="30" t="s">
        <v>117</v>
      </c>
      <c r="P93" s="30" t="s">
        <v>117</v>
      </c>
      <c r="Q93" s="30" t="s">
        <v>117</v>
      </c>
      <c r="R93" s="30" t="s">
        <v>117</v>
      </c>
      <c r="S93" s="30" t="s">
        <v>117</v>
      </c>
      <c r="T93" s="30" t="s">
        <v>117</v>
      </c>
      <c r="U93" s="30" t="s">
        <v>117</v>
      </c>
      <c r="V93" s="30" t="s">
        <v>117</v>
      </c>
      <c r="W93" s="30" t="s">
        <v>117</v>
      </c>
      <c r="X93" s="30" t="s">
        <v>117</v>
      </c>
      <c r="Y93" s="30" t="s">
        <v>117</v>
      </c>
      <c r="Z93" s="30" t="s">
        <v>117</v>
      </c>
      <c r="AA93" s="30" t="s">
        <v>117</v>
      </c>
      <c r="AB93" s="30" t="s">
        <v>117</v>
      </c>
      <c r="AC93" s="30" t="s">
        <v>117</v>
      </c>
      <c r="AD93" s="30" t="s">
        <v>117</v>
      </c>
      <c r="AE93" s="30" t="s">
        <v>117</v>
      </c>
      <c r="AF93" s="30" t="s">
        <v>117</v>
      </c>
      <c r="AG93" s="30" t="s">
        <v>236</v>
      </c>
      <c r="AH93" s="30" t="s">
        <v>117</v>
      </c>
      <c r="AI93" s="30" t="s">
        <v>123</v>
      </c>
      <c r="AJ93" s="30" t="s">
        <v>123</v>
      </c>
      <c r="AK93" s="30" t="s">
        <v>117</v>
      </c>
      <c r="AL93" s="30" t="s">
        <v>117</v>
      </c>
      <c r="AM93" s="30" t="s">
        <v>117</v>
      </c>
    </row>
    <row r="94" spans="1:39" ht="15.75" thickBot="1" x14ac:dyDescent="0.3">
      <c r="A94" s="110"/>
      <c r="B94" s="2">
        <v>90</v>
      </c>
      <c r="C94" s="21" t="s">
        <v>61</v>
      </c>
      <c r="D94" s="32" t="s">
        <v>116</v>
      </c>
      <c r="E94" s="32" t="s">
        <v>117</v>
      </c>
      <c r="F94" s="30" t="s">
        <v>117</v>
      </c>
      <c r="G94" s="32" t="s">
        <v>116</v>
      </c>
      <c r="H94" s="30" t="s">
        <v>117</v>
      </c>
      <c r="I94" s="30" t="s">
        <v>117</v>
      </c>
      <c r="J94" s="30" t="s">
        <v>117</v>
      </c>
      <c r="K94" s="30" t="s">
        <v>117</v>
      </c>
      <c r="L94" s="30" t="s">
        <v>117</v>
      </c>
      <c r="M94" s="30" t="s">
        <v>117</v>
      </c>
      <c r="N94" s="30" t="s">
        <v>117</v>
      </c>
      <c r="O94" s="30" t="s">
        <v>117</v>
      </c>
      <c r="P94" s="30" t="s">
        <v>117</v>
      </c>
      <c r="Q94" s="30" t="s">
        <v>117</v>
      </c>
      <c r="R94" s="30" t="s">
        <v>117</v>
      </c>
      <c r="S94" s="30" t="s">
        <v>117</v>
      </c>
      <c r="T94" s="30" t="s">
        <v>117</v>
      </c>
      <c r="U94" s="30" t="s">
        <v>117</v>
      </c>
      <c r="V94" s="30" t="s">
        <v>117</v>
      </c>
      <c r="W94" s="30" t="s">
        <v>117</v>
      </c>
      <c r="X94" s="30" t="s">
        <v>117</v>
      </c>
      <c r="Y94" s="30" t="s">
        <v>117</v>
      </c>
      <c r="Z94" s="30" t="s">
        <v>117</v>
      </c>
      <c r="AA94" s="30" t="s">
        <v>117</v>
      </c>
      <c r="AB94" s="30" t="s">
        <v>117</v>
      </c>
      <c r="AC94" s="30" t="s">
        <v>117</v>
      </c>
      <c r="AD94" s="30" t="s">
        <v>117</v>
      </c>
      <c r="AE94" s="30" t="s">
        <v>117</v>
      </c>
      <c r="AF94" s="30" t="s">
        <v>117</v>
      </c>
      <c r="AG94" s="30" t="s">
        <v>117</v>
      </c>
      <c r="AH94" s="30" t="s">
        <v>117</v>
      </c>
      <c r="AI94" s="30" t="s">
        <v>117</v>
      </c>
      <c r="AJ94" s="30" t="s">
        <v>117</v>
      </c>
      <c r="AK94" s="30" t="s">
        <v>117</v>
      </c>
      <c r="AL94" s="30" t="s">
        <v>117</v>
      </c>
      <c r="AM94" s="30" t="s">
        <v>117</v>
      </c>
    </row>
    <row r="95" spans="1:39" ht="15.75" thickBot="1" x14ac:dyDescent="0.3">
      <c r="A95" s="110"/>
      <c r="B95" s="2">
        <v>91</v>
      </c>
      <c r="C95" s="21" t="s">
        <v>62</v>
      </c>
      <c r="D95" s="32" t="s">
        <v>116</v>
      </c>
      <c r="E95" s="32" t="s">
        <v>117</v>
      </c>
      <c r="F95" s="30" t="s">
        <v>117</v>
      </c>
      <c r="G95" s="32" t="s">
        <v>116</v>
      </c>
      <c r="H95" s="30" t="s">
        <v>125</v>
      </c>
      <c r="I95" s="30" t="s">
        <v>117</v>
      </c>
      <c r="J95" s="30" t="s">
        <v>117</v>
      </c>
      <c r="K95" s="30" t="s">
        <v>117</v>
      </c>
      <c r="L95" s="30" t="s">
        <v>117</v>
      </c>
      <c r="M95" s="30" t="s">
        <v>117</v>
      </c>
      <c r="N95" s="30" t="s">
        <v>117</v>
      </c>
      <c r="O95" s="30" t="s">
        <v>221</v>
      </c>
      <c r="P95" s="30" t="s">
        <v>117</v>
      </c>
      <c r="Q95" s="30" t="s">
        <v>117</v>
      </c>
      <c r="R95" s="30" t="s">
        <v>117</v>
      </c>
      <c r="S95" s="30" t="s">
        <v>117</v>
      </c>
      <c r="T95" s="30" t="s">
        <v>212</v>
      </c>
      <c r="U95" s="30" t="s">
        <v>117</v>
      </c>
      <c r="V95" s="30" t="s">
        <v>117</v>
      </c>
      <c r="W95" s="30" t="s">
        <v>117</v>
      </c>
      <c r="X95" s="30" t="s">
        <v>117</v>
      </c>
      <c r="Y95" s="30" t="s">
        <v>117</v>
      </c>
      <c r="Z95" s="30" t="s">
        <v>117</v>
      </c>
      <c r="AA95" s="30" t="s">
        <v>117</v>
      </c>
      <c r="AB95" s="30" t="s">
        <v>117</v>
      </c>
      <c r="AC95" s="30" t="s">
        <v>117</v>
      </c>
      <c r="AD95" s="30" t="s">
        <v>127</v>
      </c>
      <c r="AE95" s="30" t="s">
        <v>117</v>
      </c>
      <c r="AF95" s="30" t="s">
        <v>117</v>
      </c>
      <c r="AG95" s="30" t="s">
        <v>117</v>
      </c>
      <c r="AH95" s="30" t="s">
        <v>117</v>
      </c>
      <c r="AI95" s="30" t="s">
        <v>117</v>
      </c>
      <c r="AJ95" s="30" t="s">
        <v>117</v>
      </c>
      <c r="AK95" s="30" t="s">
        <v>117</v>
      </c>
      <c r="AL95" s="30" t="s">
        <v>125</v>
      </c>
      <c r="AM95" s="30" t="s">
        <v>117</v>
      </c>
    </row>
    <row r="96" spans="1:39" ht="15.75" thickBot="1" x14ac:dyDescent="0.3">
      <c r="A96" s="110"/>
      <c r="B96" s="2">
        <v>92</v>
      </c>
      <c r="C96" s="20" t="s">
        <v>101</v>
      </c>
      <c r="D96" s="32" t="s">
        <v>116</v>
      </c>
      <c r="E96" s="32" t="s">
        <v>117</v>
      </c>
      <c r="F96" s="30" t="s">
        <v>117</v>
      </c>
      <c r="G96" s="32" t="s">
        <v>116</v>
      </c>
      <c r="H96" s="30" t="s">
        <v>117</v>
      </c>
      <c r="I96" s="30" t="s">
        <v>117</v>
      </c>
      <c r="J96" s="30" t="s">
        <v>117</v>
      </c>
      <c r="K96" s="30" t="s">
        <v>117</v>
      </c>
      <c r="L96" s="30" t="s">
        <v>117</v>
      </c>
      <c r="M96" s="30" t="s">
        <v>117</v>
      </c>
      <c r="N96" s="30" t="s">
        <v>133</v>
      </c>
      <c r="O96" s="30" t="s">
        <v>117</v>
      </c>
      <c r="P96" s="30" t="s">
        <v>117</v>
      </c>
      <c r="Q96" s="30" t="s">
        <v>117</v>
      </c>
      <c r="R96" s="30" t="s">
        <v>117</v>
      </c>
      <c r="S96" s="30" t="s">
        <v>117</v>
      </c>
      <c r="T96" s="30" t="s">
        <v>117</v>
      </c>
      <c r="U96" s="30" t="s">
        <v>117</v>
      </c>
      <c r="V96" s="30" t="s">
        <v>117</v>
      </c>
      <c r="W96" s="30" t="s">
        <v>117</v>
      </c>
      <c r="X96" s="30" t="s">
        <v>117</v>
      </c>
      <c r="Y96" s="30" t="s">
        <v>117</v>
      </c>
      <c r="Z96" s="30" t="s">
        <v>117</v>
      </c>
      <c r="AA96" s="30" t="s">
        <v>129</v>
      </c>
      <c r="AB96" s="30" t="s">
        <v>117</v>
      </c>
      <c r="AC96" s="30" t="s">
        <v>117</v>
      </c>
      <c r="AD96" s="30" t="s">
        <v>117</v>
      </c>
      <c r="AE96" s="30" t="s">
        <v>117</v>
      </c>
      <c r="AF96" s="30" t="s">
        <v>117</v>
      </c>
      <c r="AG96" s="30" t="s">
        <v>117</v>
      </c>
      <c r="AH96" s="39" t="s">
        <v>117</v>
      </c>
      <c r="AI96" s="30" t="s">
        <v>117</v>
      </c>
      <c r="AJ96" s="30" t="s">
        <v>117</v>
      </c>
      <c r="AK96" s="30" t="s">
        <v>117</v>
      </c>
      <c r="AL96" s="30" t="s">
        <v>117</v>
      </c>
      <c r="AM96" s="30" t="s">
        <v>117</v>
      </c>
    </row>
    <row r="97" spans="1:39" ht="15.75" thickBot="1" x14ac:dyDescent="0.3">
      <c r="A97" s="110"/>
      <c r="B97" s="2">
        <v>93</v>
      </c>
      <c r="C97" s="20" t="s">
        <v>91</v>
      </c>
      <c r="D97" s="32" t="s">
        <v>116</v>
      </c>
      <c r="E97" s="32" t="s">
        <v>117</v>
      </c>
      <c r="F97" s="30" t="s">
        <v>117</v>
      </c>
      <c r="G97" s="32" t="s">
        <v>116</v>
      </c>
      <c r="H97" s="30" t="s">
        <v>117</v>
      </c>
      <c r="I97" s="30" t="s">
        <v>117</v>
      </c>
      <c r="J97" s="30" t="s">
        <v>117</v>
      </c>
      <c r="K97" s="30" t="s">
        <v>117</v>
      </c>
      <c r="L97" s="30" t="s">
        <v>117</v>
      </c>
      <c r="M97" s="30" t="s">
        <v>117</v>
      </c>
      <c r="N97" s="30" t="s">
        <v>117</v>
      </c>
      <c r="O97" s="30" t="s">
        <v>117</v>
      </c>
      <c r="P97" s="30" t="s">
        <v>117</v>
      </c>
      <c r="Q97" s="30" t="s">
        <v>117</v>
      </c>
      <c r="R97" s="30" t="s">
        <v>117</v>
      </c>
      <c r="S97" s="30" t="s">
        <v>117</v>
      </c>
      <c r="T97" s="30" t="s">
        <v>117</v>
      </c>
      <c r="U97" s="30" t="s">
        <v>117</v>
      </c>
      <c r="V97" s="30" t="s">
        <v>117</v>
      </c>
      <c r="W97" s="30" t="s">
        <v>117</v>
      </c>
      <c r="X97" s="30" t="s">
        <v>117</v>
      </c>
      <c r="Y97" s="30" t="s">
        <v>117</v>
      </c>
      <c r="Z97" s="30" t="s">
        <v>117</v>
      </c>
      <c r="AA97" s="30" t="s">
        <v>117</v>
      </c>
      <c r="AB97" s="30" t="s">
        <v>117</v>
      </c>
      <c r="AC97" s="30" t="s">
        <v>117</v>
      </c>
      <c r="AD97" s="30" t="s">
        <v>117</v>
      </c>
      <c r="AE97" s="30" t="s">
        <v>117</v>
      </c>
      <c r="AF97" s="30" t="s">
        <v>117</v>
      </c>
      <c r="AG97" s="30" t="s">
        <v>117</v>
      </c>
      <c r="AH97" s="30" t="s">
        <v>124</v>
      </c>
      <c r="AI97" s="30" t="s">
        <v>117</v>
      </c>
      <c r="AJ97" s="30" t="s">
        <v>117</v>
      </c>
      <c r="AK97" s="30" t="s">
        <v>117</v>
      </c>
      <c r="AL97" s="30" t="s">
        <v>117</v>
      </c>
      <c r="AM97" s="30" t="s">
        <v>117</v>
      </c>
    </row>
    <row r="98" spans="1:39" ht="30.75" thickBot="1" x14ac:dyDescent="0.3">
      <c r="A98" s="111"/>
      <c r="B98" s="2">
        <v>94</v>
      </c>
      <c r="C98" s="22" t="s">
        <v>64</v>
      </c>
      <c r="D98" s="33" t="s">
        <v>116</v>
      </c>
      <c r="E98" s="33" t="s">
        <v>117</v>
      </c>
      <c r="F98" s="33" t="s">
        <v>117</v>
      </c>
      <c r="G98" s="33" t="s">
        <v>116</v>
      </c>
      <c r="H98" s="33" t="s">
        <v>117</v>
      </c>
      <c r="I98" s="33" t="s">
        <v>117</v>
      </c>
      <c r="J98" s="33" t="s">
        <v>117</v>
      </c>
      <c r="K98" s="33" t="s">
        <v>216</v>
      </c>
      <c r="L98" s="41" t="s">
        <v>117</v>
      </c>
      <c r="M98" s="41" t="s">
        <v>117</v>
      </c>
      <c r="N98" s="41" t="s">
        <v>134</v>
      </c>
      <c r="O98" s="41" t="s">
        <v>117</v>
      </c>
      <c r="P98" s="41" t="s">
        <v>117</v>
      </c>
      <c r="Q98" s="41" t="s">
        <v>212</v>
      </c>
      <c r="R98" s="41" t="s">
        <v>117</v>
      </c>
      <c r="S98" s="41" t="s">
        <v>212</v>
      </c>
      <c r="T98" s="30" t="s">
        <v>212</v>
      </c>
      <c r="U98" s="41" t="s">
        <v>117</v>
      </c>
      <c r="V98" s="41" t="s">
        <v>126</v>
      </c>
      <c r="W98" s="41" t="s">
        <v>117</v>
      </c>
      <c r="X98" s="41" t="s">
        <v>127</v>
      </c>
      <c r="Y98" s="41" t="s">
        <v>127</v>
      </c>
      <c r="Z98" s="41" t="s">
        <v>117</v>
      </c>
      <c r="AA98" s="41" t="s">
        <v>117</v>
      </c>
      <c r="AB98" s="41" t="s">
        <v>117</v>
      </c>
      <c r="AC98" s="41" t="s">
        <v>117</v>
      </c>
      <c r="AD98" s="41" t="s">
        <v>117</v>
      </c>
      <c r="AE98" s="41" t="s">
        <v>127</v>
      </c>
      <c r="AF98" s="41" t="s">
        <v>117</v>
      </c>
      <c r="AG98" s="41" t="s">
        <v>237</v>
      </c>
      <c r="AH98" s="41" t="s">
        <v>127</v>
      </c>
      <c r="AI98" s="41" t="s">
        <v>117</v>
      </c>
      <c r="AJ98" s="41" t="s">
        <v>117</v>
      </c>
      <c r="AK98" s="41" t="s">
        <v>117</v>
      </c>
      <c r="AL98" s="41" t="s">
        <v>117</v>
      </c>
      <c r="AM98" s="41" t="s">
        <v>117</v>
      </c>
    </row>
    <row r="99" spans="1:39" ht="15.75" thickBot="1" x14ac:dyDescent="0.3">
      <c r="A99" s="112" t="s">
        <v>102</v>
      </c>
      <c r="B99" s="2">
        <v>95</v>
      </c>
      <c r="C99" s="25" t="s">
        <v>86</v>
      </c>
      <c r="D99" s="31" t="s">
        <v>116</v>
      </c>
      <c r="E99" s="31" t="s">
        <v>117</v>
      </c>
      <c r="F99" s="29" t="s">
        <v>117</v>
      </c>
      <c r="G99" s="31" t="s">
        <v>116</v>
      </c>
      <c r="H99" s="29" t="s">
        <v>117</v>
      </c>
      <c r="I99" s="29" t="s">
        <v>117</v>
      </c>
      <c r="J99" s="29" t="s">
        <v>117</v>
      </c>
      <c r="K99" s="29" t="s">
        <v>117</v>
      </c>
      <c r="L99" s="29" t="s">
        <v>117</v>
      </c>
      <c r="M99" s="29" t="s">
        <v>117</v>
      </c>
      <c r="N99" s="29" t="s">
        <v>117</v>
      </c>
      <c r="O99" s="29" t="s">
        <v>117</v>
      </c>
      <c r="P99" s="29" t="s">
        <v>117</v>
      </c>
      <c r="Q99" s="29" t="s">
        <v>117</v>
      </c>
      <c r="R99" s="29" t="s">
        <v>117</v>
      </c>
      <c r="S99" s="29" t="s">
        <v>117</v>
      </c>
      <c r="T99" s="29" t="s">
        <v>117</v>
      </c>
      <c r="U99" s="29" t="s">
        <v>117</v>
      </c>
      <c r="V99" s="29" t="s">
        <v>117</v>
      </c>
      <c r="W99" s="29" t="s">
        <v>117</v>
      </c>
      <c r="X99" s="29" t="s">
        <v>117</v>
      </c>
      <c r="Y99" s="29" t="s">
        <v>117</v>
      </c>
      <c r="Z99" s="29" t="s">
        <v>117</v>
      </c>
      <c r="AA99" s="29" t="s">
        <v>117</v>
      </c>
      <c r="AB99" s="29" t="s">
        <v>117</v>
      </c>
      <c r="AC99" s="29" t="s">
        <v>117</v>
      </c>
      <c r="AD99" s="29" t="s">
        <v>117</v>
      </c>
      <c r="AE99" s="29" t="s">
        <v>117</v>
      </c>
      <c r="AF99" s="29" t="s">
        <v>117</v>
      </c>
      <c r="AG99" s="29" t="s">
        <v>117</v>
      </c>
      <c r="AH99" s="29" t="s">
        <v>117</v>
      </c>
      <c r="AI99" s="29" t="s">
        <v>117</v>
      </c>
      <c r="AJ99" s="29" t="s">
        <v>117</v>
      </c>
      <c r="AK99" s="29" t="s">
        <v>117</v>
      </c>
      <c r="AL99" s="29" t="s">
        <v>117</v>
      </c>
      <c r="AM99" s="29" t="s">
        <v>117</v>
      </c>
    </row>
    <row r="100" spans="1:39" ht="15.75" thickBot="1" x14ac:dyDescent="0.3">
      <c r="A100" s="110"/>
      <c r="B100" s="2">
        <v>96</v>
      </c>
      <c r="C100" s="21" t="s">
        <v>87</v>
      </c>
      <c r="D100" s="32" t="s">
        <v>116</v>
      </c>
      <c r="E100" s="30" t="s">
        <v>117</v>
      </c>
      <c r="F100" s="30" t="s">
        <v>117</v>
      </c>
      <c r="G100" s="32" t="s">
        <v>116</v>
      </c>
      <c r="H100" s="30" t="s">
        <v>117</v>
      </c>
      <c r="I100" s="30" t="s">
        <v>117</v>
      </c>
      <c r="J100" s="30" t="s">
        <v>117</v>
      </c>
      <c r="K100" s="30" t="s">
        <v>117</v>
      </c>
      <c r="L100" s="30" t="s">
        <v>117</v>
      </c>
      <c r="M100" s="30" t="s">
        <v>117</v>
      </c>
      <c r="N100" s="30" t="s">
        <v>117</v>
      </c>
      <c r="O100" s="30" t="s">
        <v>117</v>
      </c>
      <c r="P100" s="30" t="s">
        <v>117</v>
      </c>
      <c r="Q100" s="30" t="s">
        <v>117</v>
      </c>
      <c r="R100" s="30" t="s">
        <v>117</v>
      </c>
      <c r="S100" s="30" t="s">
        <v>117</v>
      </c>
      <c r="T100" s="30" t="s">
        <v>117</v>
      </c>
      <c r="U100" s="30" t="s">
        <v>117</v>
      </c>
      <c r="V100" s="30" t="s">
        <v>117</v>
      </c>
      <c r="W100" s="30" t="s">
        <v>117</v>
      </c>
      <c r="X100" s="30" t="s">
        <v>117</v>
      </c>
      <c r="Y100" s="30" t="s">
        <v>117</v>
      </c>
      <c r="Z100" s="30" t="s">
        <v>117</v>
      </c>
      <c r="AA100" s="30" t="s">
        <v>117</v>
      </c>
      <c r="AB100" s="30" t="s">
        <v>117</v>
      </c>
      <c r="AC100" s="30" t="s">
        <v>117</v>
      </c>
      <c r="AD100" s="30" t="s">
        <v>117</v>
      </c>
      <c r="AE100" s="30" t="s">
        <v>117</v>
      </c>
      <c r="AF100" s="30" t="s">
        <v>117</v>
      </c>
      <c r="AG100" s="30" t="s">
        <v>117</v>
      </c>
      <c r="AH100" s="30" t="s">
        <v>117</v>
      </c>
      <c r="AI100" s="30" t="s">
        <v>117</v>
      </c>
      <c r="AJ100" s="30" t="s">
        <v>117</v>
      </c>
      <c r="AK100" s="30" t="s">
        <v>117</v>
      </c>
      <c r="AL100" s="30" t="s">
        <v>117</v>
      </c>
      <c r="AM100" s="30" t="s">
        <v>117</v>
      </c>
    </row>
    <row r="101" spans="1:39" ht="15.75" thickBot="1" x14ac:dyDescent="0.3">
      <c r="A101" s="110"/>
      <c r="B101" s="2">
        <v>97</v>
      </c>
      <c r="C101" s="21" t="s">
        <v>88</v>
      </c>
      <c r="D101" s="32" t="s">
        <v>116</v>
      </c>
      <c r="E101" s="32" t="s">
        <v>117</v>
      </c>
      <c r="F101" s="30" t="s">
        <v>117</v>
      </c>
      <c r="G101" s="32" t="s">
        <v>116</v>
      </c>
      <c r="H101" s="30" t="s">
        <v>117</v>
      </c>
      <c r="I101" s="30" t="s">
        <v>117</v>
      </c>
      <c r="J101" s="30" t="s">
        <v>117</v>
      </c>
      <c r="K101" s="30" t="s">
        <v>117</v>
      </c>
      <c r="L101" s="30" t="s">
        <v>117</v>
      </c>
      <c r="M101" s="30" t="s">
        <v>117</v>
      </c>
      <c r="N101" s="30" t="s">
        <v>117</v>
      </c>
      <c r="O101" s="30" t="s">
        <v>117</v>
      </c>
      <c r="P101" s="30" t="s">
        <v>117</v>
      </c>
      <c r="Q101" s="30" t="s">
        <v>117</v>
      </c>
      <c r="R101" s="30" t="s">
        <v>117</v>
      </c>
      <c r="S101" s="30" t="s">
        <v>117</v>
      </c>
      <c r="T101" s="30" t="s">
        <v>117</v>
      </c>
      <c r="U101" s="30" t="s">
        <v>117</v>
      </c>
      <c r="V101" s="30" t="s">
        <v>117</v>
      </c>
      <c r="W101" s="30" t="s">
        <v>117</v>
      </c>
      <c r="X101" s="30" t="s">
        <v>117</v>
      </c>
      <c r="Y101" s="30" t="s">
        <v>117</v>
      </c>
      <c r="Z101" s="30" t="s">
        <v>117</v>
      </c>
      <c r="AA101" s="30" t="s">
        <v>117</v>
      </c>
      <c r="AB101" s="30" t="s">
        <v>117</v>
      </c>
      <c r="AC101" s="30" t="s">
        <v>117</v>
      </c>
      <c r="AD101" s="30" t="s">
        <v>117</v>
      </c>
      <c r="AE101" s="30" t="s">
        <v>117</v>
      </c>
      <c r="AF101" s="30" t="s">
        <v>117</v>
      </c>
      <c r="AG101" s="30" t="s">
        <v>117</v>
      </c>
      <c r="AH101" s="30" t="s">
        <v>117</v>
      </c>
      <c r="AI101" s="30" t="s">
        <v>117</v>
      </c>
      <c r="AJ101" s="30" t="s">
        <v>117</v>
      </c>
      <c r="AK101" s="30" t="s">
        <v>117</v>
      </c>
      <c r="AL101" s="30" t="s">
        <v>117</v>
      </c>
      <c r="AM101" s="30" t="s">
        <v>117</v>
      </c>
    </row>
    <row r="102" spans="1:39" ht="15.75" thickBot="1" x14ac:dyDescent="0.3">
      <c r="A102" s="110"/>
      <c r="B102" s="2">
        <v>98</v>
      </c>
      <c r="C102" s="21" t="s">
        <v>89</v>
      </c>
      <c r="D102" s="32" t="s">
        <v>116</v>
      </c>
      <c r="E102" s="32" t="s">
        <v>117</v>
      </c>
      <c r="F102" s="30" t="s">
        <v>117</v>
      </c>
      <c r="G102" s="32" t="s">
        <v>116</v>
      </c>
      <c r="H102" s="30" t="s">
        <v>117</v>
      </c>
      <c r="I102" s="30" t="s">
        <v>117</v>
      </c>
      <c r="J102" s="30" t="s">
        <v>117</v>
      </c>
      <c r="K102" s="30" t="s">
        <v>117</v>
      </c>
      <c r="L102" s="30" t="s">
        <v>117</v>
      </c>
      <c r="M102" s="30" t="s">
        <v>117</v>
      </c>
      <c r="N102" s="30" t="s">
        <v>117</v>
      </c>
      <c r="O102" s="30" t="s">
        <v>117</v>
      </c>
      <c r="P102" s="30" t="s">
        <v>117</v>
      </c>
      <c r="Q102" s="30" t="s">
        <v>117</v>
      </c>
      <c r="R102" s="30" t="s">
        <v>117</v>
      </c>
      <c r="S102" s="30" t="s">
        <v>117</v>
      </c>
      <c r="T102" s="30" t="s">
        <v>117</v>
      </c>
      <c r="U102" s="30" t="s">
        <v>117</v>
      </c>
      <c r="V102" s="30" t="s">
        <v>117</v>
      </c>
      <c r="W102" s="30" t="s">
        <v>117</v>
      </c>
      <c r="X102" s="30" t="s">
        <v>117</v>
      </c>
      <c r="Y102" s="30" t="s">
        <v>117</v>
      </c>
      <c r="Z102" s="30" t="s">
        <v>117</v>
      </c>
      <c r="AA102" s="30" t="s">
        <v>117</v>
      </c>
      <c r="AB102" s="30" t="s">
        <v>117</v>
      </c>
      <c r="AC102" s="30" t="s">
        <v>117</v>
      </c>
      <c r="AD102" s="30" t="s">
        <v>117</v>
      </c>
      <c r="AE102" s="30" t="s">
        <v>117</v>
      </c>
      <c r="AF102" s="30" t="s">
        <v>117</v>
      </c>
      <c r="AG102" s="30" t="s">
        <v>117</v>
      </c>
      <c r="AH102" s="39" t="s">
        <v>117</v>
      </c>
      <c r="AI102" s="30" t="s">
        <v>117</v>
      </c>
      <c r="AJ102" s="30" t="s">
        <v>117</v>
      </c>
      <c r="AK102" s="30" t="s">
        <v>117</v>
      </c>
      <c r="AL102" s="30" t="s">
        <v>117</v>
      </c>
      <c r="AM102" s="30" t="s">
        <v>117</v>
      </c>
    </row>
    <row r="103" spans="1:39" ht="15.75" thickBot="1" x14ac:dyDescent="0.3">
      <c r="A103" s="110"/>
      <c r="B103" s="2">
        <v>99</v>
      </c>
      <c r="C103" s="21" t="s">
        <v>76</v>
      </c>
      <c r="D103" s="32" t="s">
        <v>116</v>
      </c>
      <c r="E103" s="32" t="s">
        <v>117</v>
      </c>
      <c r="F103" s="30" t="s">
        <v>117</v>
      </c>
      <c r="G103" s="32" t="s">
        <v>116</v>
      </c>
      <c r="H103" s="30" t="s">
        <v>117</v>
      </c>
      <c r="I103" s="30" t="s">
        <v>117</v>
      </c>
      <c r="J103" s="30" t="s">
        <v>117</v>
      </c>
      <c r="K103" s="31" t="s">
        <v>117</v>
      </c>
      <c r="L103" s="30" t="s">
        <v>118</v>
      </c>
      <c r="M103" s="30" t="s">
        <v>117</v>
      </c>
      <c r="N103" s="30" t="s">
        <v>117</v>
      </c>
      <c r="O103" s="30" t="s">
        <v>117</v>
      </c>
      <c r="P103" s="30" t="s">
        <v>117</v>
      </c>
      <c r="Q103" s="30" t="s">
        <v>117</v>
      </c>
      <c r="R103" s="30" t="s">
        <v>117</v>
      </c>
      <c r="S103" s="30" t="s">
        <v>117</v>
      </c>
      <c r="T103" s="30" t="s">
        <v>117</v>
      </c>
      <c r="U103" s="30" t="s">
        <v>117</v>
      </c>
      <c r="V103" s="30" t="s">
        <v>117</v>
      </c>
      <c r="W103" s="30" t="s">
        <v>117</v>
      </c>
      <c r="X103" s="30" t="s">
        <v>117</v>
      </c>
      <c r="Y103" s="30" t="s">
        <v>117</v>
      </c>
      <c r="Z103" s="30" t="s">
        <v>117</v>
      </c>
      <c r="AA103" s="30" t="s">
        <v>117</v>
      </c>
      <c r="AB103" s="30" t="s">
        <v>117</v>
      </c>
      <c r="AC103" s="30" t="s">
        <v>117</v>
      </c>
      <c r="AD103" s="30" t="s">
        <v>117</v>
      </c>
      <c r="AE103" s="30" t="s">
        <v>117</v>
      </c>
      <c r="AF103" s="30" t="s">
        <v>117</v>
      </c>
      <c r="AG103" s="30" t="s">
        <v>117</v>
      </c>
      <c r="AH103" s="30" t="s">
        <v>117</v>
      </c>
      <c r="AI103" s="30" t="s">
        <v>117</v>
      </c>
      <c r="AJ103" s="30" t="s">
        <v>117</v>
      </c>
      <c r="AK103" s="30" t="s">
        <v>117</v>
      </c>
      <c r="AL103" s="30" t="s">
        <v>117</v>
      </c>
      <c r="AM103" s="30" t="s">
        <v>117</v>
      </c>
    </row>
    <row r="104" spans="1:39" ht="15.75" thickBot="1" x14ac:dyDescent="0.3">
      <c r="A104" s="110"/>
      <c r="B104" s="2">
        <v>100</v>
      </c>
      <c r="C104" s="21" t="s">
        <v>77</v>
      </c>
      <c r="D104" s="32" t="s">
        <v>116</v>
      </c>
      <c r="E104" s="32" t="s">
        <v>117</v>
      </c>
      <c r="F104" s="30" t="s">
        <v>117</v>
      </c>
      <c r="G104" s="32" t="s">
        <v>116</v>
      </c>
      <c r="H104" s="30" t="s">
        <v>117</v>
      </c>
      <c r="I104" s="30" t="s">
        <v>117</v>
      </c>
      <c r="J104" s="30" t="s">
        <v>117</v>
      </c>
      <c r="K104" s="30" t="s">
        <v>117</v>
      </c>
      <c r="L104" s="30" t="s">
        <v>117</v>
      </c>
      <c r="M104" s="30" t="s">
        <v>117</v>
      </c>
      <c r="N104" s="30" t="s">
        <v>117</v>
      </c>
      <c r="O104" s="30" t="s">
        <v>117</v>
      </c>
      <c r="P104" s="30" t="s">
        <v>117</v>
      </c>
      <c r="Q104" s="30" t="s">
        <v>117</v>
      </c>
      <c r="R104" s="30" t="s">
        <v>117</v>
      </c>
      <c r="S104" s="30" t="s">
        <v>117</v>
      </c>
      <c r="T104" s="30" t="s">
        <v>117</v>
      </c>
      <c r="U104" s="30" t="s">
        <v>126</v>
      </c>
      <c r="V104" s="30" t="s">
        <v>117</v>
      </c>
      <c r="W104" s="30" t="s">
        <v>117</v>
      </c>
      <c r="X104" s="30" t="s">
        <v>117</v>
      </c>
      <c r="Y104" s="30" t="s">
        <v>117</v>
      </c>
      <c r="Z104" s="30" t="s">
        <v>117</v>
      </c>
      <c r="AA104" s="30" t="s">
        <v>117</v>
      </c>
      <c r="AB104" s="30" t="s">
        <v>117</v>
      </c>
      <c r="AC104" s="30" t="s">
        <v>117</v>
      </c>
      <c r="AD104" s="30" t="s">
        <v>117</v>
      </c>
      <c r="AE104" s="30" t="s">
        <v>117</v>
      </c>
      <c r="AF104" s="30" t="s">
        <v>117</v>
      </c>
      <c r="AG104" s="30" t="s">
        <v>238</v>
      </c>
      <c r="AH104" s="30" t="s">
        <v>117</v>
      </c>
      <c r="AI104" s="30" t="s">
        <v>117</v>
      </c>
      <c r="AJ104" s="30" t="s">
        <v>117</v>
      </c>
      <c r="AK104" s="30" t="s">
        <v>117</v>
      </c>
      <c r="AL104" s="30" t="s">
        <v>117</v>
      </c>
      <c r="AM104" s="30" t="s">
        <v>117</v>
      </c>
    </row>
    <row r="105" spans="1:39" ht="15.75" thickBot="1" x14ac:dyDescent="0.3">
      <c r="A105" s="110"/>
      <c r="B105" s="2">
        <v>101</v>
      </c>
      <c r="C105" s="21" t="s">
        <v>59</v>
      </c>
      <c r="D105" s="32" t="s">
        <v>116</v>
      </c>
      <c r="E105" s="32" t="s">
        <v>117</v>
      </c>
      <c r="F105" s="30" t="s">
        <v>117</v>
      </c>
      <c r="G105" s="32" t="s">
        <v>116</v>
      </c>
      <c r="H105" s="30" t="s">
        <v>117</v>
      </c>
      <c r="I105" s="30" t="s">
        <v>117</v>
      </c>
      <c r="J105" s="30" t="s">
        <v>117</v>
      </c>
      <c r="K105" s="30" t="s">
        <v>117</v>
      </c>
      <c r="L105" s="30" t="s">
        <v>117</v>
      </c>
      <c r="M105" s="30" t="s">
        <v>117</v>
      </c>
      <c r="N105" s="30" t="s">
        <v>117</v>
      </c>
      <c r="O105" s="30" t="s">
        <v>117</v>
      </c>
      <c r="P105" s="30" t="s">
        <v>117</v>
      </c>
      <c r="Q105" s="30" t="s">
        <v>117</v>
      </c>
      <c r="R105" s="30" t="s">
        <v>117</v>
      </c>
      <c r="S105" s="30" t="s">
        <v>225</v>
      </c>
      <c r="T105" s="30" t="s">
        <v>117</v>
      </c>
      <c r="U105" s="30" t="s">
        <v>117</v>
      </c>
      <c r="V105" s="30" t="s">
        <v>117</v>
      </c>
      <c r="W105" s="30" t="s">
        <v>117</v>
      </c>
      <c r="X105" s="30" t="s">
        <v>117</v>
      </c>
      <c r="Y105" s="30" t="s">
        <v>117</v>
      </c>
      <c r="Z105" s="30" t="s">
        <v>117</v>
      </c>
      <c r="AA105" s="30" t="s">
        <v>117</v>
      </c>
      <c r="AB105" s="30" t="s">
        <v>117</v>
      </c>
      <c r="AC105" s="30" t="s">
        <v>117</v>
      </c>
      <c r="AD105" s="30" t="s">
        <v>117</v>
      </c>
      <c r="AE105" s="30" t="s">
        <v>117</v>
      </c>
      <c r="AF105" s="30" t="s">
        <v>117</v>
      </c>
      <c r="AG105" s="30" t="s">
        <v>117</v>
      </c>
      <c r="AH105" s="30" t="s">
        <v>117</v>
      </c>
      <c r="AI105" s="30" t="s">
        <v>117</v>
      </c>
      <c r="AJ105" s="30" t="s">
        <v>117</v>
      </c>
      <c r="AK105" s="30" t="s">
        <v>117</v>
      </c>
      <c r="AL105" s="30" t="s">
        <v>117</v>
      </c>
      <c r="AM105" s="30" t="s">
        <v>117</v>
      </c>
    </row>
    <row r="106" spans="1:39" ht="15.75" thickBot="1" x14ac:dyDescent="0.3">
      <c r="A106" s="110"/>
      <c r="B106" s="2">
        <v>102</v>
      </c>
      <c r="C106" s="21" t="s">
        <v>61</v>
      </c>
      <c r="D106" s="32" t="s">
        <v>116</v>
      </c>
      <c r="E106" s="32" t="s">
        <v>117</v>
      </c>
      <c r="F106" s="30" t="s">
        <v>117</v>
      </c>
      <c r="G106" s="32" t="s">
        <v>116</v>
      </c>
      <c r="H106" s="30" t="s">
        <v>117</v>
      </c>
      <c r="I106" s="30" t="s">
        <v>117</v>
      </c>
      <c r="J106" s="30" t="s">
        <v>117</v>
      </c>
      <c r="K106" s="30" t="s">
        <v>117</v>
      </c>
      <c r="L106" s="30" t="s">
        <v>117</v>
      </c>
      <c r="M106" s="30" t="s">
        <v>117</v>
      </c>
      <c r="N106" s="30" t="s">
        <v>117</v>
      </c>
      <c r="O106" s="30" t="s">
        <v>117</v>
      </c>
      <c r="P106" s="30" t="s">
        <v>117</v>
      </c>
      <c r="Q106" s="30" t="s">
        <v>117</v>
      </c>
      <c r="R106" s="30" t="s">
        <v>117</v>
      </c>
      <c r="S106" s="30" t="s">
        <v>117</v>
      </c>
      <c r="T106" s="30" t="s">
        <v>117</v>
      </c>
      <c r="U106" s="30" t="s">
        <v>117</v>
      </c>
      <c r="V106" s="30" t="s">
        <v>117</v>
      </c>
      <c r="W106" s="30" t="s">
        <v>117</v>
      </c>
      <c r="X106" s="30" t="s">
        <v>117</v>
      </c>
      <c r="Y106" s="30" t="s">
        <v>117</v>
      </c>
      <c r="Z106" s="30" t="s">
        <v>117</v>
      </c>
      <c r="AA106" s="30" t="s">
        <v>117</v>
      </c>
      <c r="AB106" s="30" t="s">
        <v>117</v>
      </c>
      <c r="AC106" s="30" t="s">
        <v>117</v>
      </c>
      <c r="AD106" s="30" t="s">
        <v>117</v>
      </c>
      <c r="AE106" s="30" t="s">
        <v>117</v>
      </c>
      <c r="AF106" s="30" t="s">
        <v>117</v>
      </c>
      <c r="AG106" s="30" t="s">
        <v>117</v>
      </c>
      <c r="AH106" s="30" t="s">
        <v>117</v>
      </c>
      <c r="AI106" s="30" t="s">
        <v>117</v>
      </c>
      <c r="AJ106" s="30" t="s">
        <v>117</v>
      </c>
      <c r="AK106" s="30" t="s">
        <v>117</v>
      </c>
      <c r="AL106" s="30" t="s">
        <v>117</v>
      </c>
      <c r="AM106" s="30" t="s">
        <v>117</v>
      </c>
    </row>
    <row r="107" spans="1:39" ht="15.75" thickBot="1" x14ac:dyDescent="0.3">
      <c r="A107" s="110"/>
      <c r="B107" s="2">
        <v>103</v>
      </c>
      <c r="C107" s="21" t="s">
        <v>62</v>
      </c>
      <c r="D107" s="32" t="s">
        <v>116</v>
      </c>
      <c r="E107" s="32" t="s">
        <v>117</v>
      </c>
      <c r="F107" s="30" t="s">
        <v>117</v>
      </c>
      <c r="G107" s="32" t="s">
        <v>116</v>
      </c>
      <c r="H107" s="30" t="s">
        <v>117</v>
      </c>
      <c r="I107" s="30" t="s">
        <v>117</v>
      </c>
      <c r="J107" s="30" t="s">
        <v>117</v>
      </c>
      <c r="K107" s="30" t="s">
        <v>117</v>
      </c>
      <c r="L107" s="30" t="s">
        <v>117</v>
      </c>
      <c r="M107" s="30" t="s">
        <v>117</v>
      </c>
      <c r="N107" s="30" t="s">
        <v>117</v>
      </c>
      <c r="O107" s="30" t="s">
        <v>117</v>
      </c>
      <c r="P107" s="30" t="s">
        <v>117</v>
      </c>
      <c r="Q107" s="30" t="s">
        <v>117</v>
      </c>
      <c r="R107" s="30" t="s">
        <v>117</v>
      </c>
      <c r="S107" s="30" t="s">
        <v>117</v>
      </c>
      <c r="T107" s="30" t="s">
        <v>117</v>
      </c>
      <c r="U107" s="30" t="s">
        <v>117</v>
      </c>
      <c r="V107" s="30" t="s">
        <v>117</v>
      </c>
      <c r="W107" s="30" t="s">
        <v>117</v>
      </c>
      <c r="X107" s="30" t="s">
        <v>117</v>
      </c>
      <c r="Y107" s="30" t="s">
        <v>117</v>
      </c>
      <c r="Z107" s="30" t="s">
        <v>117</v>
      </c>
      <c r="AA107" s="30" t="s">
        <v>117</v>
      </c>
      <c r="AB107" s="30" t="s">
        <v>117</v>
      </c>
      <c r="AC107" s="30" t="s">
        <v>117</v>
      </c>
      <c r="AD107" s="30" t="s">
        <v>117</v>
      </c>
      <c r="AE107" s="30" t="s">
        <v>117</v>
      </c>
      <c r="AF107" s="30" t="s">
        <v>117</v>
      </c>
      <c r="AG107" s="134" t="s">
        <v>117</v>
      </c>
      <c r="AH107" s="30" t="s">
        <v>117</v>
      </c>
      <c r="AI107" s="30" t="s">
        <v>117</v>
      </c>
      <c r="AJ107" s="30" t="s">
        <v>117</v>
      </c>
      <c r="AK107" s="30" t="s">
        <v>117</v>
      </c>
      <c r="AL107" s="30" t="s">
        <v>117</v>
      </c>
      <c r="AM107" s="30" t="s">
        <v>117</v>
      </c>
    </row>
    <row r="108" spans="1:39" ht="15.75" thickBot="1" x14ac:dyDescent="0.3">
      <c r="A108" s="110"/>
      <c r="B108" s="2">
        <v>104</v>
      </c>
      <c r="C108" s="21" t="s">
        <v>103</v>
      </c>
      <c r="D108" s="32" t="s">
        <v>116</v>
      </c>
      <c r="E108" s="32" t="s">
        <v>117</v>
      </c>
      <c r="F108" s="30" t="s">
        <v>117</v>
      </c>
      <c r="G108" s="32" t="s">
        <v>116</v>
      </c>
      <c r="H108" s="30" t="s">
        <v>117</v>
      </c>
      <c r="I108" s="30" t="s">
        <v>117</v>
      </c>
      <c r="J108" s="30" t="s">
        <v>117</v>
      </c>
      <c r="K108" s="30" t="s">
        <v>117</v>
      </c>
      <c r="L108" s="30" t="s">
        <v>117</v>
      </c>
      <c r="M108" s="30" t="s">
        <v>117</v>
      </c>
      <c r="N108" s="30" t="s">
        <v>117</v>
      </c>
      <c r="O108" s="30" t="s">
        <v>117</v>
      </c>
      <c r="P108" s="30" t="s">
        <v>117</v>
      </c>
      <c r="Q108" s="30" t="s">
        <v>117</v>
      </c>
      <c r="R108" s="30" t="s">
        <v>117</v>
      </c>
      <c r="S108" s="30" t="s">
        <v>117</v>
      </c>
      <c r="T108" s="30" t="s">
        <v>117</v>
      </c>
      <c r="U108" s="39" t="s">
        <v>117</v>
      </c>
      <c r="V108" s="39" t="s">
        <v>117</v>
      </c>
      <c r="W108" s="39" t="s">
        <v>117</v>
      </c>
      <c r="X108" s="39" t="s">
        <v>117</v>
      </c>
      <c r="Y108" s="39" t="s">
        <v>117</v>
      </c>
      <c r="Z108" s="39" t="s">
        <v>117</v>
      </c>
      <c r="AA108" s="39" t="s">
        <v>118</v>
      </c>
      <c r="AB108" s="39" t="s">
        <v>117</v>
      </c>
      <c r="AC108" s="39" t="s">
        <v>117</v>
      </c>
      <c r="AD108" s="39" t="s">
        <v>117</v>
      </c>
      <c r="AE108" s="39" t="s">
        <v>117</v>
      </c>
      <c r="AF108" s="39" t="s">
        <v>117</v>
      </c>
      <c r="AG108" s="39" t="s">
        <v>117</v>
      </c>
      <c r="AH108" s="39" t="s">
        <v>117</v>
      </c>
      <c r="AI108" s="39" t="s">
        <v>117</v>
      </c>
      <c r="AJ108" s="39" t="s">
        <v>117</v>
      </c>
      <c r="AK108" s="39" t="s">
        <v>117</v>
      </c>
      <c r="AL108" s="39" t="s">
        <v>117</v>
      </c>
      <c r="AM108" s="39" t="s">
        <v>117</v>
      </c>
    </row>
    <row r="109" spans="1:39" ht="15.75" thickBot="1" x14ac:dyDescent="0.3">
      <c r="A109" s="110"/>
      <c r="B109" s="2">
        <v>105</v>
      </c>
      <c r="C109" s="21" t="s">
        <v>104</v>
      </c>
      <c r="D109" s="32" t="s">
        <v>116</v>
      </c>
      <c r="E109" s="32" t="s">
        <v>117</v>
      </c>
      <c r="F109" s="30" t="s">
        <v>117</v>
      </c>
      <c r="G109" s="32" t="s">
        <v>116</v>
      </c>
      <c r="H109" s="30" t="s">
        <v>117</v>
      </c>
      <c r="I109" s="30" t="s">
        <v>117</v>
      </c>
      <c r="J109" s="30" t="s">
        <v>117</v>
      </c>
      <c r="K109" s="30" t="s">
        <v>117</v>
      </c>
      <c r="L109" s="30" t="s">
        <v>117</v>
      </c>
      <c r="M109" s="30" t="s">
        <v>117</v>
      </c>
      <c r="N109" s="30" t="s">
        <v>117</v>
      </c>
      <c r="O109" s="30" t="s">
        <v>117</v>
      </c>
      <c r="P109" s="30" t="s">
        <v>117</v>
      </c>
      <c r="Q109" s="30" t="s">
        <v>117</v>
      </c>
      <c r="R109" s="30" t="s">
        <v>117</v>
      </c>
      <c r="S109" s="30" t="s">
        <v>117</v>
      </c>
      <c r="T109" s="30" t="s">
        <v>117</v>
      </c>
      <c r="U109" s="30" t="s">
        <v>117</v>
      </c>
      <c r="V109" s="30" t="s">
        <v>117</v>
      </c>
      <c r="W109" s="30" t="s">
        <v>117</v>
      </c>
      <c r="X109" s="30" t="s">
        <v>117</v>
      </c>
      <c r="Y109" s="30" t="s">
        <v>117</v>
      </c>
      <c r="Z109" s="30" t="s">
        <v>117</v>
      </c>
      <c r="AA109" s="30" t="s">
        <v>117</v>
      </c>
      <c r="AB109" s="30" t="s">
        <v>117</v>
      </c>
      <c r="AC109" s="30" t="s">
        <v>117</v>
      </c>
      <c r="AD109" s="30" t="s">
        <v>117</v>
      </c>
      <c r="AE109" s="30" t="s">
        <v>117</v>
      </c>
      <c r="AF109" s="30" t="s">
        <v>117</v>
      </c>
      <c r="AG109" s="30" t="s">
        <v>117</v>
      </c>
      <c r="AH109" s="30" t="s">
        <v>117</v>
      </c>
      <c r="AI109" s="30" t="s">
        <v>117</v>
      </c>
      <c r="AJ109" s="30" t="s">
        <v>117</v>
      </c>
      <c r="AK109" s="30" t="s">
        <v>117</v>
      </c>
      <c r="AL109" s="30" t="s">
        <v>117</v>
      </c>
      <c r="AM109" s="30" t="s">
        <v>117</v>
      </c>
    </row>
    <row r="110" spans="1:39" ht="15.75" thickBot="1" x14ac:dyDescent="0.3">
      <c r="A110" s="110"/>
      <c r="B110" s="2">
        <v>106</v>
      </c>
      <c r="C110" s="21" t="s">
        <v>105</v>
      </c>
      <c r="D110" s="32" t="s">
        <v>116</v>
      </c>
      <c r="E110" s="32" t="s">
        <v>117</v>
      </c>
      <c r="F110" s="30" t="s">
        <v>117</v>
      </c>
      <c r="G110" s="32" t="s">
        <v>116</v>
      </c>
      <c r="H110" s="30" t="s">
        <v>117</v>
      </c>
      <c r="I110" s="30" t="s">
        <v>117</v>
      </c>
      <c r="J110" s="30" t="s">
        <v>117</v>
      </c>
      <c r="K110" s="30" t="s">
        <v>117</v>
      </c>
      <c r="L110" s="30" t="s">
        <v>117</v>
      </c>
      <c r="M110" s="30" t="s">
        <v>117</v>
      </c>
      <c r="N110" s="30" t="s">
        <v>117</v>
      </c>
      <c r="O110" s="30" t="s">
        <v>117</v>
      </c>
      <c r="P110" s="30" t="s">
        <v>117</v>
      </c>
      <c r="Q110" s="30" t="s">
        <v>117</v>
      </c>
      <c r="R110" s="30" t="s">
        <v>117</v>
      </c>
      <c r="S110" s="30" t="s">
        <v>117</v>
      </c>
      <c r="T110" s="30" t="s">
        <v>117</v>
      </c>
      <c r="U110" s="30" t="s">
        <v>117</v>
      </c>
      <c r="V110" s="30" t="s">
        <v>117</v>
      </c>
      <c r="W110" s="30" t="s">
        <v>117</v>
      </c>
      <c r="X110" s="30" t="s">
        <v>117</v>
      </c>
      <c r="Y110" s="30" t="s">
        <v>117</v>
      </c>
      <c r="Z110" s="30" t="s">
        <v>117</v>
      </c>
      <c r="AA110" s="30" t="s">
        <v>117</v>
      </c>
      <c r="AB110" s="30" t="s">
        <v>117</v>
      </c>
      <c r="AC110" s="30" t="s">
        <v>117</v>
      </c>
      <c r="AD110" s="30" t="s">
        <v>117</v>
      </c>
      <c r="AE110" s="30" t="s">
        <v>117</v>
      </c>
      <c r="AF110" s="30" t="s">
        <v>117</v>
      </c>
      <c r="AG110" s="30" t="s">
        <v>136</v>
      </c>
      <c r="AH110" s="30" t="s">
        <v>117</v>
      </c>
      <c r="AI110" s="30" t="s">
        <v>117</v>
      </c>
      <c r="AJ110" s="30" t="s">
        <v>117</v>
      </c>
      <c r="AK110" s="30" t="s">
        <v>117</v>
      </c>
      <c r="AL110" s="30" t="s">
        <v>117</v>
      </c>
      <c r="AM110" s="30" t="s">
        <v>119</v>
      </c>
    </row>
    <row r="111" spans="1:39" ht="15.75" thickBot="1" x14ac:dyDescent="0.3">
      <c r="A111" s="111"/>
      <c r="B111" s="2">
        <v>107</v>
      </c>
      <c r="C111" s="26" t="s">
        <v>78</v>
      </c>
      <c r="D111" s="32" t="s">
        <v>116</v>
      </c>
      <c r="E111" s="32" t="s">
        <v>117</v>
      </c>
      <c r="F111" s="33" t="s">
        <v>117</v>
      </c>
      <c r="G111" s="32" t="s">
        <v>116</v>
      </c>
      <c r="H111" s="33" t="s">
        <v>117</v>
      </c>
      <c r="I111" s="33" t="s">
        <v>117</v>
      </c>
      <c r="J111" s="33" t="s">
        <v>117</v>
      </c>
      <c r="K111" s="33" t="s">
        <v>117</v>
      </c>
      <c r="L111" s="33" t="s">
        <v>117</v>
      </c>
      <c r="M111" s="33" t="s">
        <v>117</v>
      </c>
      <c r="N111" s="33" t="s">
        <v>117</v>
      </c>
      <c r="O111" s="33" t="s">
        <v>117</v>
      </c>
      <c r="P111" s="33" t="s">
        <v>117</v>
      </c>
      <c r="Q111" s="33" t="s">
        <v>117</v>
      </c>
      <c r="R111" s="33" t="s">
        <v>117</v>
      </c>
      <c r="S111" s="33" t="s">
        <v>117</v>
      </c>
      <c r="T111" s="33" t="s">
        <v>117</v>
      </c>
      <c r="U111" s="33" t="s">
        <v>117</v>
      </c>
      <c r="V111" s="33" t="s">
        <v>117</v>
      </c>
      <c r="W111" s="33" t="s">
        <v>117</v>
      </c>
      <c r="X111" s="33" t="s">
        <v>117</v>
      </c>
      <c r="Y111" s="33" t="s">
        <v>117</v>
      </c>
      <c r="Z111" s="33" t="s">
        <v>117</v>
      </c>
      <c r="AA111" s="33" t="s">
        <v>117</v>
      </c>
      <c r="AB111" s="33" t="s">
        <v>117</v>
      </c>
      <c r="AC111" s="33" t="s">
        <v>117</v>
      </c>
      <c r="AD111" s="33" t="s">
        <v>117</v>
      </c>
      <c r="AE111" s="33" t="s">
        <v>117</v>
      </c>
      <c r="AF111" s="33" t="s">
        <v>117</v>
      </c>
      <c r="AG111" s="33" t="s">
        <v>117</v>
      </c>
      <c r="AH111" s="33" t="s">
        <v>117</v>
      </c>
      <c r="AI111" s="33" t="s">
        <v>117</v>
      </c>
      <c r="AJ111" s="33" t="s">
        <v>117</v>
      </c>
      <c r="AK111" s="33" t="s">
        <v>117</v>
      </c>
      <c r="AL111" s="33" t="s">
        <v>117</v>
      </c>
      <c r="AM111" s="33" t="s">
        <v>117</v>
      </c>
    </row>
    <row r="112" spans="1:39" ht="15.75" thickBot="1" x14ac:dyDescent="0.3">
      <c r="A112" s="112" t="s">
        <v>106</v>
      </c>
      <c r="B112" s="2">
        <v>108</v>
      </c>
      <c r="C112" s="25" t="s">
        <v>99</v>
      </c>
      <c r="D112" s="29" t="s">
        <v>116</v>
      </c>
      <c r="E112" s="30" t="s">
        <v>117</v>
      </c>
      <c r="F112" s="29" t="s">
        <v>135</v>
      </c>
      <c r="G112" s="29" t="s">
        <v>116</v>
      </c>
      <c r="H112" s="29" t="s">
        <v>118</v>
      </c>
      <c r="I112" s="29" t="s">
        <v>117</v>
      </c>
      <c r="J112" s="29" t="s">
        <v>117</v>
      </c>
      <c r="K112" s="29" t="s">
        <v>117</v>
      </c>
      <c r="L112" s="29" t="s">
        <v>119</v>
      </c>
      <c r="M112" s="30" t="s">
        <v>117</v>
      </c>
      <c r="N112" s="40" t="s">
        <v>117</v>
      </c>
      <c r="O112" s="40" t="s">
        <v>117</v>
      </c>
      <c r="P112" s="40" t="s">
        <v>117</v>
      </c>
      <c r="Q112" s="40" t="s">
        <v>117</v>
      </c>
      <c r="R112" s="40" t="s">
        <v>117</v>
      </c>
      <c r="S112" s="40" t="s">
        <v>117</v>
      </c>
      <c r="T112" s="40" t="s">
        <v>117</v>
      </c>
      <c r="U112" s="40" t="s">
        <v>117</v>
      </c>
      <c r="V112" s="40" t="s">
        <v>117</v>
      </c>
      <c r="W112" s="40" t="s">
        <v>117</v>
      </c>
      <c r="X112" s="40" t="s">
        <v>117</v>
      </c>
      <c r="Y112" s="40" t="s">
        <v>117</v>
      </c>
      <c r="Z112" s="40" t="s">
        <v>117</v>
      </c>
      <c r="AA112" s="40" t="s">
        <v>117</v>
      </c>
      <c r="AB112" s="40" t="s">
        <v>117</v>
      </c>
      <c r="AC112" s="40" t="s">
        <v>117</v>
      </c>
      <c r="AD112" s="40" t="s">
        <v>117</v>
      </c>
      <c r="AE112" s="40" t="s">
        <v>117</v>
      </c>
      <c r="AF112" s="40" t="s">
        <v>117</v>
      </c>
      <c r="AG112" s="40" t="s">
        <v>240</v>
      </c>
      <c r="AH112" s="40" t="s">
        <v>117</v>
      </c>
      <c r="AI112" s="40" t="s">
        <v>117</v>
      </c>
      <c r="AJ112" s="40" t="s">
        <v>117</v>
      </c>
      <c r="AK112" s="40" t="s">
        <v>117</v>
      </c>
      <c r="AL112" s="40" t="s">
        <v>117</v>
      </c>
      <c r="AM112" s="40" t="s">
        <v>117</v>
      </c>
    </row>
    <row r="113" spans="1:39" ht="15.75" thickBot="1" x14ac:dyDescent="0.3">
      <c r="A113" s="110"/>
      <c r="B113" s="2">
        <v>109</v>
      </c>
      <c r="C113" s="21" t="s">
        <v>100</v>
      </c>
      <c r="D113" s="32" t="s">
        <v>116</v>
      </c>
      <c r="E113" s="32" t="s">
        <v>117</v>
      </c>
      <c r="F113" s="30" t="s">
        <v>117</v>
      </c>
      <c r="G113" s="32" t="s">
        <v>116</v>
      </c>
      <c r="H113" s="30" t="s">
        <v>117</v>
      </c>
      <c r="I113" s="30" t="s">
        <v>117</v>
      </c>
      <c r="J113" s="30" t="s">
        <v>117</v>
      </c>
      <c r="K113" s="30" t="s">
        <v>117</v>
      </c>
      <c r="L113" s="30" t="s">
        <v>117</v>
      </c>
      <c r="M113" s="30" t="s">
        <v>117</v>
      </c>
      <c r="N113" s="30" t="s">
        <v>117</v>
      </c>
      <c r="O113" s="30" t="s">
        <v>117</v>
      </c>
      <c r="P113" s="30" t="s">
        <v>117</v>
      </c>
      <c r="Q113" s="30" t="s">
        <v>117</v>
      </c>
      <c r="R113" s="30" t="s">
        <v>117</v>
      </c>
      <c r="S113" s="30" t="s">
        <v>117</v>
      </c>
      <c r="T113" s="30" t="s">
        <v>117</v>
      </c>
      <c r="U113" s="30" t="s">
        <v>117</v>
      </c>
      <c r="V113" s="30" t="s">
        <v>117</v>
      </c>
      <c r="W113" s="30" t="s">
        <v>117</v>
      </c>
      <c r="X113" s="30" t="s">
        <v>117</v>
      </c>
      <c r="Y113" s="30" t="s">
        <v>117</v>
      </c>
      <c r="Z113" s="30" t="s">
        <v>117</v>
      </c>
      <c r="AA113" s="30" t="s">
        <v>117</v>
      </c>
      <c r="AB113" s="30" t="s">
        <v>117</v>
      </c>
      <c r="AC113" s="30" t="s">
        <v>117</v>
      </c>
      <c r="AD113" s="30" t="s">
        <v>117</v>
      </c>
      <c r="AE113" s="30" t="s">
        <v>117</v>
      </c>
      <c r="AF113" s="30" t="s">
        <v>117</v>
      </c>
      <c r="AG113" s="30" t="s">
        <v>117</v>
      </c>
      <c r="AH113" s="30" t="s">
        <v>117</v>
      </c>
      <c r="AI113" s="30" t="s">
        <v>117</v>
      </c>
      <c r="AJ113" s="30" t="s">
        <v>117</v>
      </c>
      <c r="AK113" s="30" t="s">
        <v>117</v>
      </c>
      <c r="AL113" s="30" t="s">
        <v>117</v>
      </c>
      <c r="AM113" s="30" t="s">
        <v>117</v>
      </c>
    </row>
    <row r="114" spans="1:39" ht="15.75" thickBot="1" x14ac:dyDescent="0.3">
      <c r="A114" s="110"/>
      <c r="B114" s="2">
        <v>110</v>
      </c>
      <c r="C114" s="20" t="s">
        <v>42</v>
      </c>
      <c r="D114" s="32" t="s">
        <v>116</v>
      </c>
      <c r="E114" s="32" t="s">
        <v>117</v>
      </c>
      <c r="F114" s="30" t="s">
        <v>117</v>
      </c>
      <c r="G114" s="32" t="s">
        <v>116</v>
      </c>
      <c r="H114" s="30" t="s">
        <v>117</v>
      </c>
      <c r="I114" s="30" t="s">
        <v>117</v>
      </c>
      <c r="J114" s="30" t="s">
        <v>117</v>
      </c>
      <c r="K114" s="30" t="s">
        <v>117</v>
      </c>
      <c r="L114" s="30" t="s">
        <v>117</v>
      </c>
      <c r="M114" s="30" t="s">
        <v>117</v>
      </c>
      <c r="N114" s="30" t="s">
        <v>117</v>
      </c>
      <c r="O114" s="30" t="s">
        <v>117</v>
      </c>
      <c r="P114" s="30" t="s">
        <v>117</v>
      </c>
      <c r="Q114" s="30" t="s">
        <v>117</v>
      </c>
      <c r="R114" s="30" t="s">
        <v>117</v>
      </c>
      <c r="S114" s="30" t="s">
        <v>117</v>
      </c>
      <c r="T114" s="30" t="s">
        <v>117</v>
      </c>
      <c r="U114" s="30" t="s">
        <v>117</v>
      </c>
      <c r="V114" s="30" t="s">
        <v>117</v>
      </c>
      <c r="W114" s="30" t="s">
        <v>117</v>
      </c>
      <c r="X114" s="30" t="s">
        <v>117</v>
      </c>
      <c r="Y114" s="30" t="s">
        <v>117</v>
      </c>
      <c r="Z114" s="30" t="s">
        <v>117</v>
      </c>
      <c r="AA114" s="30" t="s">
        <v>117</v>
      </c>
      <c r="AB114" s="30" t="s">
        <v>117</v>
      </c>
      <c r="AC114" s="30" t="s">
        <v>117</v>
      </c>
      <c r="AD114" s="30" t="s">
        <v>117</v>
      </c>
      <c r="AE114" s="30" t="s">
        <v>117</v>
      </c>
      <c r="AF114" s="30" t="s">
        <v>117</v>
      </c>
      <c r="AG114" s="30" t="s">
        <v>117</v>
      </c>
      <c r="AH114" s="30" t="s">
        <v>117</v>
      </c>
      <c r="AI114" s="30" t="s">
        <v>117</v>
      </c>
      <c r="AJ114" s="30" t="s">
        <v>117</v>
      </c>
      <c r="AK114" s="30" t="s">
        <v>117</v>
      </c>
      <c r="AL114" s="30" t="s">
        <v>117</v>
      </c>
      <c r="AM114" s="30" t="s">
        <v>117</v>
      </c>
    </row>
    <row r="115" spans="1:39" ht="15.75" thickBot="1" x14ac:dyDescent="0.3">
      <c r="A115" s="110"/>
      <c r="B115" s="2">
        <v>111</v>
      </c>
      <c r="C115" s="21" t="s">
        <v>45</v>
      </c>
      <c r="D115" s="32" t="s">
        <v>116</v>
      </c>
      <c r="E115" s="32" t="s">
        <v>117</v>
      </c>
      <c r="F115" s="30" t="s">
        <v>117</v>
      </c>
      <c r="G115" s="32" t="s">
        <v>116</v>
      </c>
      <c r="H115" s="30" t="s">
        <v>117</v>
      </c>
      <c r="I115" s="30" t="s">
        <v>117</v>
      </c>
      <c r="J115" s="30" t="s">
        <v>117</v>
      </c>
      <c r="K115" s="30" t="s">
        <v>117</v>
      </c>
      <c r="L115" s="30" t="s">
        <v>117</v>
      </c>
      <c r="M115" s="30" t="s">
        <v>117</v>
      </c>
      <c r="N115" s="30" t="s">
        <v>117</v>
      </c>
      <c r="O115" s="30" t="s">
        <v>117</v>
      </c>
      <c r="P115" s="30" t="s">
        <v>117</v>
      </c>
      <c r="Q115" s="30" t="s">
        <v>117</v>
      </c>
      <c r="R115" s="30" t="s">
        <v>117</v>
      </c>
      <c r="S115" s="30" t="s">
        <v>117</v>
      </c>
      <c r="T115" s="30" t="s">
        <v>117</v>
      </c>
      <c r="U115" s="30" t="s">
        <v>117</v>
      </c>
      <c r="V115" s="30" t="s">
        <v>117</v>
      </c>
      <c r="W115" s="30" t="s">
        <v>117</v>
      </c>
      <c r="X115" s="30" t="s">
        <v>117</v>
      </c>
      <c r="Y115" s="30" t="s">
        <v>117</v>
      </c>
      <c r="Z115" s="30" t="s">
        <v>117</v>
      </c>
      <c r="AA115" s="30" t="s">
        <v>117</v>
      </c>
      <c r="AB115" s="30" t="s">
        <v>117</v>
      </c>
      <c r="AC115" s="30" t="s">
        <v>117</v>
      </c>
      <c r="AD115" s="30" t="s">
        <v>117</v>
      </c>
      <c r="AE115" s="30" t="s">
        <v>117</v>
      </c>
      <c r="AF115" s="30" t="s">
        <v>117</v>
      </c>
      <c r="AG115" s="30" t="s">
        <v>117</v>
      </c>
      <c r="AH115" s="30" t="s">
        <v>117</v>
      </c>
      <c r="AI115" s="30" t="s">
        <v>117</v>
      </c>
      <c r="AJ115" s="30" t="s">
        <v>117</v>
      </c>
      <c r="AK115" s="30" t="s">
        <v>117</v>
      </c>
      <c r="AL115" s="30" t="s">
        <v>117</v>
      </c>
      <c r="AM115" s="30" t="s">
        <v>117</v>
      </c>
    </row>
    <row r="116" spans="1:39" ht="15.75" thickBot="1" x14ac:dyDescent="0.3">
      <c r="A116" s="110"/>
      <c r="B116" s="2">
        <v>112</v>
      </c>
      <c r="C116" s="21" t="s">
        <v>46</v>
      </c>
      <c r="D116" s="32" t="s">
        <v>116</v>
      </c>
      <c r="E116" s="32" t="s">
        <v>117</v>
      </c>
      <c r="F116" s="30" t="s">
        <v>117</v>
      </c>
      <c r="G116" s="32" t="s">
        <v>116</v>
      </c>
      <c r="H116" s="30" t="s">
        <v>117</v>
      </c>
      <c r="I116" s="30" t="s">
        <v>117</v>
      </c>
      <c r="J116" s="30" t="s">
        <v>117</v>
      </c>
      <c r="K116" s="30" t="s">
        <v>117</v>
      </c>
      <c r="L116" s="30" t="s">
        <v>117</v>
      </c>
      <c r="M116" s="30" t="s">
        <v>130</v>
      </c>
      <c r="N116" s="30" t="s">
        <v>117</v>
      </c>
      <c r="O116" s="30" t="s">
        <v>117</v>
      </c>
      <c r="P116" s="30" t="s">
        <v>117</v>
      </c>
      <c r="Q116" s="30" t="s">
        <v>117</v>
      </c>
      <c r="R116" s="30" t="s">
        <v>117</v>
      </c>
      <c r="S116" s="30" t="s">
        <v>117</v>
      </c>
      <c r="T116" s="30" t="s">
        <v>117</v>
      </c>
      <c r="U116" s="30" t="s">
        <v>117</v>
      </c>
      <c r="V116" s="30" t="s">
        <v>117</v>
      </c>
      <c r="W116" s="30" t="s">
        <v>117</v>
      </c>
      <c r="X116" s="30" t="s">
        <v>117</v>
      </c>
      <c r="Y116" s="30" t="s">
        <v>117</v>
      </c>
      <c r="Z116" s="30" t="s">
        <v>117</v>
      </c>
      <c r="AA116" s="30" t="s">
        <v>117</v>
      </c>
      <c r="AB116" s="30" t="s">
        <v>117</v>
      </c>
      <c r="AC116" s="30" t="s">
        <v>117</v>
      </c>
      <c r="AD116" s="30" t="s">
        <v>117</v>
      </c>
      <c r="AE116" s="30" t="s">
        <v>117</v>
      </c>
      <c r="AF116" s="30" t="s">
        <v>117</v>
      </c>
      <c r="AG116" s="30" t="s">
        <v>117</v>
      </c>
      <c r="AH116" s="30" t="s">
        <v>117</v>
      </c>
      <c r="AI116" s="30" t="s">
        <v>117</v>
      </c>
      <c r="AJ116" s="30" t="s">
        <v>117</v>
      </c>
      <c r="AK116" s="30" t="s">
        <v>117</v>
      </c>
      <c r="AL116" s="30" t="s">
        <v>117</v>
      </c>
      <c r="AM116" s="30" t="s">
        <v>117</v>
      </c>
    </row>
    <row r="117" spans="1:39" ht="15.75" thickBot="1" x14ac:dyDescent="0.3">
      <c r="A117" s="110"/>
      <c r="B117" s="2">
        <v>113</v>
      </c>
      <c r="C117" s="21" t="s">
        <v>47</v>
      </c>
      <c r="D117" s="32" t="s">
        <v>116</v>
      </c>
      <c r="E117" s="32" t="s">
        <v>117</v>
      </c>
      <c r="F117" s="30" t="s">
        <v>117</v>
      </c>
      <c r="G117" s="32" t="s">
        <v>116</v>
      </c>
      <c r="H117" s="30" t="s">
        <v>117</v>
      </c>
      <c r="I117" s="30" t="s">
        <v>117</v>
      </c>
      <c r="J117" s="30" t="s">
        <v>117</v>
      </c>
      <c r="K117" s="30" t="s">
        <v>117</v>
      </c>
      <c r="L117" s="30" t="s">
        <v>117</v>
      </c>
      <c r="M117" s="30" t="s">
        <v>117</v>
      </c>
      <c r="N117" s="30" t="s">
        <v>117</v>
      </c>
      <c r="O117" s="30" t="s">
        <v>117</v>
      </c>
      <c r="P117" s="30" t="s">
        <v>117</v>
      </c>
      <c r="Q117" s="30" t="s">
        <v>117</v>
      </c>
      <c r="R117" s="30" t="s">
        <v>117</v>
      </c>
      <c r="S117" s="30" t="s">
        <v>117</v>
      </c>
      <c r="T117" s="30" t="s">
        <v>117</v>
      </c>
      <c r="U117" s="30" t="s">
        <v>117</v>
      </c>
      <c r="V117" s="30" t="s">
        <v>117</v>
      </c>
      <c r="W117" s="30" t="s">
        <v>117</v>
      </c>
      <c r="X117" s="30" t="s">
        <v>117</v>
      </c>
      <c r="Y117" s="30" t="s">
        <v>117</v>
      </c>
      <c r="Z117" s="30" t="s">
        <v>117</v>
      </c>
      <c r="AA117" s="30" t="s">
        <v>117</v>
      </c>
      <c r="AB117" s="30" t="s">
        <v>117</v>
      </c>
      <c r="AC117" s="30" t="s">
        <v>117</v>
      </c>
      <c r="AD117" s="30" t="s">
        <v>117</v>
      </c>
      <c r="AE117" s="30" t="s">
        <v>117</v>
      </c>
      <c r="AF117" s="30" t="s">
        <v>117</v>
      </c>
      <c r="AG117" s="30" t="s">
        <v>117</v>
      </c>
      <c r="AH117" s="30" t="s">
        <v>117</v>
      </c>
      <c r="AI117" s="30" t="s">
        <v>117</v>
      </c>
      <c r="AJ117" s="30" t="s">
        <v>117</v>
      </c>
      <c r="AK117" s="30" t="s">
        <v>117</v>
      </c>
      <c r="AL117" s="30" t="s">
        <v>117</v>
      </c>
      <c r="AM117" s="30" t="s">
        <v>117</v>
      </c>
    </row>
    <row r="118" spans="1:39" ht="15.75" thickBot="1" x14ac:dyDescent="0.3">
      <c r="A118" s="110"/>
      <c r="B118" s="2">
        <v>114</v>
      </c>
      <c r="C118" s="21" t="s">
        <v>49</v>
      </c>
      <c r="D118" s="32" t="s">
        <v>116</v>
      </c>
      <c r="E118" s="32" t="s">
        <v>117</v>
      </c>
      <c r="F118" s="30" t="s">
        <v>117</v>
      </c>
      <c r="G118" s="32" t="s">
        <v>116</v>
      </c>
      <c r="H118" s="30" t="s">
        <v>117</v>
      </c>
      <c r="I118" s="30" t="s">
        <v>117</v>
      </c>
      <c r="J118" s="30" t="s">
        <v>117</v>
      </c>
      <c r="K118" s="30" t="s">
        <v>117</v>
      </c>
      <c r="L118" s="30" t="s">
        <v>117</v>
      </c>
      <c r="M118" s="30" t="s">
        <v>117</v>
      </c>
      <c r="N118" s="30" t="s">
        <v>117</v>
      </c>
      <c r="O118" s="30" t="s">
        <v>117</v>
      </c>
      <c r="P118" s="30" t="s">
        <v>117</v>
      </c>
      <c r="Q118" s="30" t="s">
        <v>117</v>
      </c>
      <c r="R118" s="30" t="s">
        <v>117</v>
      </c>
      <c r="S118" s="30" t="s">
        <v>117</v>
      </c>
      <c r="T118" s="30" t="s">
        <v>117</v>
      </c>
      <c r="U118" s="30" t="s">
        <v>117</v>
      </c>
      <c r="V118" s="30" t="s">
        <v>117</v>
      </c>
      <c r="W118" s="30" t="s">
        <v>117</v>
      </c>
      <c r="X118" s="30" t="s">
        <v>117</v>
      </c>
      <c r="Y118" s="30" t="s">
        <v>117</v>
      </c>
      <c r="Z118" s="30" t="s">
        <v>117</v>
      </c>
      <c r="AA118" s="30" t="s">
        <v>117</v>
      </c>
      <c r="AB118" s="30" t="s">
        <v>117</v>
      </c>
      <c r="AC118" s="30" t="s">
        <v>117</v>
      </c>
      <c r="AD118" s="30" t="s">
        <v>117</v>
      </c>
      <c r="AE118" s="30" t="s">
        <v>117</v>
      </c>
      <c r="AF118" s="30" t="s">
        <v>117</v>
      </c>
      <c r="AG118" s="30" t="s">
        <v>117</v>
      </c>
      <c r="AH118" s="30" t="s">
        <v>117</v>
      </c>
      <c r="AI118" s="30" t="s">
        <v>117</v>
      </c>
      <c r="AJ118" s="30" t="s">
        <v>117</v>
      </c>
      <c r="AK118" s="30" t="s">
        <v>117</v>
      </c>
      <c r="AL118" s="30" t="s">
        <v>117</v>
      </c>
      <c r="AM118" s="30" t="s">
        <v>117</v>
      </c>
    </row>
    <row r="119" spans="1:39" ht="15.75" thickBot="1" x14ac:dyDescent="0.3">
      <c r="A119" s="110"/>
      <c r="B119" s="2">
        <v>115</v>
      </c>
      <c r="C119" s="21" t="s">
        <v>52</v>
      </c>
      <c r="D119" s="32" t="s">
        <v>116</v>
      </c>
      <c r="E119" s="32" t="s">
        <v>117</v>
      </c>
      <c r="F119" s="30" t="s">
        <v>117</v>
      </c>
      <c r="G119" s="32" t="s">
        <v>116</v>
      </c>
      <c r="H119" s="30" t="s">
        <v>117</v>
      </c>
      <c r="I119" s="30" t="s">
        <v>117</v>
      </c>
      <c r="J119" s="30" t="s">
        <v>117</v>
      </c>
      <c r="K119" s="30" t="s">
        <v>117</v>
      </c>
      <c r="L119" s="30" t="s">
        <v>117</v>
      </c>
      <c r="M119" s="30" t="s">
        <v>117</v>
      </c>
      <c r="N119" s="30" t="s">
        <v>117</v>
      </c>
      <c r="O119" s="30" t="s">
        <v>117</v>
      </c>
      <c r="P119" s="30" t="s">
        <v>117</v>
      </c>
      <c r="Q119" s="30" t="s">
        <v>117</v>
      </c>
      <c r="R119" s="30" t="s">
        <v>117</v>
      </c>
      <c r="S119" s="30" t="s">
        <v>117</v>
      </c>
      <c r="T119" s="30" t="s">
        <v>117</v>
      </c>
      <c r="U119" s="30" t="s">
        <v>117</v>
      </c>
      <c r="V119" s="30" t="s">
        <v>117</v>
      </c>
      <c r="W119" s="30" t="s">
        <v>117</v>
      </c>
      <c r="X119" s="30" t="s">
        <v>117</v>
      </c>
      <c r="Y119" s="30" t="s">
        <v>117</v>
      </c>
      <c r="Z119" s="30" t="s">
        <v>117</v>
      </c>
      <c r="AA119" s="30" t="s">
        <v>117</v>
      </c>
      <c r="AB119" s="30" t="s">
        <v>117</v>
      </c>
      <c r="AC119" s="30" t="s">
        <v>117</v>
      </c>
      <c r="AD119" s="30" t="s">
        <v>117</v>
      </c>
      <c r="AE119" s="30" t="s">
        <v>117</v>
      </c>
      <c r="AF119" s="30" t="s">
        <v>117</v>
      </c>
      <c r="AG119" s="30" t="s">
        <v>117</v>
      </c>
      <c r="AH119" s="30" t="s">
        <v>117</v>
      </c>
      <c r="AI119" s="30" t="s">
        <v>117</v>
      </c>
      <c r="AJ119" s="30" t="s">
        <v>117</v>
      </c>
      <c r="AK119" s="30" t="s">
        <v>117</v>
      </c>
      <c r="AL119" s="30" t="s">
        <v>117</v>
      </c>
      <c r="AM119" s="30" t="s">
        <v>117</v>
      </c>
    </row>
    <row r="120" spans="1:39" ht="15.75" thickBot="1" x14ac:dyDescent="0.3">
      <c r="A120" s="110"/>
      <c r="B120" s="2">
        <v>116</v>
      </c>
      <c r="C120" s="21" t="s">
        <v>54</v>
      </c>
      <c r="D120" s="32" t="s">
        <v>116</v>
      </c>
      <c r="E120" s="32" t="s">
        <v>117</v>
      </c>
      <c r="F120" s="32" t="s">
        <v>136</v>
      </c>
      <c r="G120" s="32" t="s">
        <v>116</v>
      </c>
      <c r="H120" s="30" t="s">
        <v>117</v>
      </c>
      <c r="I120" s="30" t="s">
        <v>117</v>
      </c>
      <c r="J120" s="30" t="s">
        <v>117</v>
      </c>
      <c r="K120" s="31" t="s">
        <v>117</v>
      </c>
      <c r="L120" s="30" t="s">
        <v>117</v>
      </c>
      <c r="M120" s="30" t="s">
        <v>117</v>
      </c>
      <c r="N120" s="30" t="s">
        <v>117</v>
      </c>
      <c r="O120" s="30" t="s">
        <v>117</v>
      </c>
      <c r="P120" s="30" t="s">
        <v>117</v>
      </c>
      <c r="Q120" s="30" t="s">
        <v>118</v>
      </c>
      <c r="R120" s="30" t="s">
        <v>117</v>
      </c>
      <c r="S120" s="39" t="s">
        <v>117</v>
      </c>
      <c r="T120" s="30" t="s">
        <v>117</v>
      </c>
      <c r="U120" s="30" t="s">
        <v>117</v>
      </c>
      <c r="V120" s="30" t="s">
        <v>117</v>
      </c>
      <c r="W120" s="30" t="s">
        <v>117</v>
      </c>
      <c r="X120" s="30" t="s">
        <v>117</v>
      </c>
      <c r="Y120" s="30" t="s">
        <v>117</v>
      </c>
      <c r="Z120" s="30" t="s">
        <v>117</v>
      </c>
      <c r="AA120" s="30" t="s">
        <v>120</v>
      </c>
      <c r="AB120" s="30" t="s">
        <v>117</v>
      </c>
      <c r="AC120" s="30" t="s">
        <v>117</v>
      </c>
      <c r="AD120" s="30" t="s">
        <v>117</v>
      </c>
      <c r="AE120" s="30" t="s">
        <v>117</v>
      </c>
      <c r="AF120" s="30" t="s">
        <v>117</v>
      </c>
      <c r="AG120" s="30" t="s">
        <v>117</v>
      </c>
      <c r="AH120" s="39" t="s">
        <v>117</v>
      </c>
      <c r="AI120" s="30" t="s">
        <v>117</v>
      </c>
      <c r="AJ120" s="30" t="s">
        <v>117</v>
      </c>
      <c r="AK120" s="30" t="s">
        <v>117</v>
      </c>
      <c r="AL120" s="30" t="s">
        <v>117</v>
      </c>
      <c r="AM120" s="30" t="s">
        <v>117</v>
      </c>
    </row>
    <row r="121" spans="1:39" ht="15.75" thickBot="1" x14ac:dyDescent="0.3">
      <c r="A121" s="110"/>
      <c r="B121" s="2">
        <v>117</v>
      </c>
      <c r="C121" s="21" t="s">
        <v>55</v>
      </c>
      <c r="D121" s="32" t="s">
        <v>116</v>
      </c>
      <c r="E121" s="32" t="s">
        <v>117</v>
      </c>
      <c r="F121" s="30" t="s">
        <v>117</v>
      </c>
      <c r="G121" s="32" t="s">
        <v>116</v>
      </c>
      <c r="H121" s="30" t="s">
        <v>117</v>
      </c>
      <c r="I121" s="30" t="s">
        <v>117</v>
      </c>
      <c r="J121" s="30" t="s">
        <v>117</v>
      </c>
      <c r="K121" s="30" t="s">
        <v>117</v>
      </c>
      <c r="L121" s="30" t="s">
        <v>117</v>
      </c>
      <c r="M121" s="30" t="s">
        <v>117</v>
      </c>
      <c r="N121" s="30" t="s">
        <v>117</v>
      </c>
      <c r="O121" s="30" t="s">
        <v>117</v>
      </c>
      <c r="P121" s="30" t="s">
        <v>117</v>
      </c>
      <c r="Q121" s="30" t="s">
        <v>117</v>
      </c>
      <c r="R121" s="30" t="s">
        <v>117</v>
      </c>
      <c r="S121" s="30" t="s">
        <v>117</v>
      </c>
      <c r="T121" s="30" t="s">
        <v>117</v>
      </c>
      <c r="U121" s="30" t="s">
        <v>117</v>
      </c>
      <c r="V121" s="30" t="s">
        <v>117</v>
      </c>
      <c r="W121" s="30" t="s">
        <v>117</v>
      </c>
      <c r="X121" s="30" t="s">
        <v>117</v>
      </c>
      <c r="Y121" s="30" t="s">
        <v>117</v>
      </c>
      <c r="Z121" s="30" t="s">
        <v>117</v>
      </c>
      <c r="AA121" s="30" t="s">
        <v>117</v>
      </c>
      <c r="AB121" s="30" t="s">
        <v>117</v>
      </c>
      <c r="AC121" s="30" t="s">
        <v>117</v>
      </c>
      <c r="AD121" s="30" t="s">
        <v>117</v>
      </c>
      <c r="AE121" s="30" t="s">
        <v>117</v>
      </c>
      <c r="AF121" s="30" t="s">
        <v>117</v>
      </c>
      <c r="AG121" s="30" t="s">
        <v>117</v>
      </c>
      <c r="AH121" s="30" t="s">
        <v>117</v>
      </c>
      <c r="AI121" s="30" t="s">
        <v>117</v>
      </c>
      <c r="AJ121" s="30" t="s">
        <v>117</v>
      </c>
      <c r="AK121" s="30" t="s">
        <v>117</v>
      </c>
      <c r="AL121" s="30" t="s">
        <v>117</v>
      </c>
      <c r="AM121" s="30" t="s">
        <v>117</v>
      </c>
    </row>
    <row r="122" spans="1:39" ht="15.75" thickBot="1" x14ac:dyDescent="0.3">
      <c r="A122" s="110"/>
      <c r="B122" s="2">
        <v>118</v>
      </c>
      <c r="C122" s="21" t="s">
        <v>57</v>
      </c>
      <c r="D122" s="32" t="s">
        <v>116</v>
      </c>
      <c r="E122" s="32" t="s">
        <v>117</v>
      </c>
      <c r="F122" s="30" t="s">
        <v>117</v>
      </c>
      <c r="G122" s="32" t="s">
        <v>116</v>
      </c>
      <c r="H122" s="30" t="s">
        <v>117</v>
      </c>
      <c r="I122" s="30" t="s">
        <v>117</v>
      </c>
      <c r="J122" s="30" t="s">
        <v>117</v>
      </c>
      <c r="K122" s="30" t="s">
        <v>117</v>
      </c>
      <c r="L122" s="30" t="s">
        <v>117</v>
      </c>
      <c r="M122" s="30" t="s">
        <v>117</v>
      </c>
      <c r="N122" s="30" t="s">
        <v>117</v>
      </c>
      <c r="O122" s="30" t="s">
        <v>117</v>
      </c>
      <c r="P122" s="30" t="s">
        <v>117</v>
      </c>
      <c r="Q122" s="30" t="s">
        <v>117</v>
      </c>
      <c r="R122" s="30" t="s">
        <v>117</v>
      </c>
      <c r="S122" s="30" t="s">
        <v>117</v>
      </c>
      <c r="T122" s="30" t="s">
        <v>117</v>
      </c>
      <c r="U122" s="30" t="s">
        <v>117</v>
      </c>
      <c r="V122" s="30" t="s">
        <v>117</v>
      </c>
      <c r="W122" s="30" t="s">
        <v>117</v>
      </c>
      <c r="X122" s="30" t="s">
        <v>117</v>
      </c>
      <c r="Y122" s="30" t="s">
        <v>117</v>
      </c>
      <c r="Z122" s="30" t="s">
        <v>117</v>
      </c>
      <c r="AA122" s="30" t="s">
        <v>117</v>
      </c>
      <c r="AB122" s="30" t="s">
        <v>117</v>
      </c>
      <c r="AC122" s="30" t="s">
        <v>117</v>
      </c>
      <c r="AD122" s="30" t="s">
        <v>117</v>
      </c>
      <c r="AE122" s="30" t="s">
        <v>117</v>
      </c>
      <c r="AF122" s="30" t="s">
        <v>117</v>
      </c>
      <c r="AG122" s="30" t="s">
        <v>117</v>
      </c>
      <c r="AH122" s="30" t="s">
        <v>117</v>
      </c>
      <c r="AI122" s="30" t="s">
        <v>117</v>
      </c>
      <c r="AJ122" s="30" t="s">
        <v>117</v>
      </c>
      <c r="AK122" s="30" t="s">
        <v>117</v>
      </c>
      <c r="AL122" s="30" t="s">
        <v>117</v>
      </c>
      <c r="AM122" s="30" t="s">
        <v>117</v>
      </c>
    </row>
    <row r="123" spans="1:39" ht="15.75" thickBot="1" x14ac:dyDescent="0.3">
      <c r="A123" s="110"/>
      <c r="B123" s="2">
        <v>119</v>
      </c>
      <c r="C123" s="21" t="s">
        <v>59</v>
      </c>
      <c r="D123" s="32" t="s">
        <v>116</v>
      </c>
      <c r="E123" s="32" t="s">
        <v>117</v>
      </c>
      <c r="F123" s="30" t="s">
        <v>117</v>
      </c>
      <c r="G123" s="32" t="s">
        <v>116</v>
      </c>
      <c r="H123" s="30" t="s">
        <v>117</v>
      </c>
      <c r="I123" s="30" t="s">
        <v>117</v>
      </c>
      <c r="J123" s="30" t="s">
        <v>117</v>
      </c>
      <c r="K123" s="30" t="s">
        <v>117</v>
      </c>
      <c r="L123" s="30" t="s">
        <v>117</v>
      </c>
      <c r="M123" s="30" t="s">
        <v>117</v>
      </c>
      <c r="N123" s="30" t="s">
        <v>117</v>
      </c>
      <c r="O123" s="30" t="s">
        <v>117</v>
      </c>
      <c r="P123" s="30" t="s">
        <v>117</v>
      </c>
      <c r="Q123" s="30" t="s">
        <v>117</v>
      </c>
      <c r="R123" s="30" t="s">
        <v>117</v>
      </c>
      <c r="S123" s="30" t="s">
        <v>117</v>
      </c>
      <c r="T123" s="30" t="s">
        <v>117</v>
      </c>
      <c r="U123" s="30" t="s">
        <v>117</v>
      </c>
      <c r="V123" s="30" t="s">
        <v>117</v>
      </c>
      <c r="W123" s="30" t="s">
        <v>117</v>
      </c>
      <c r="X123" s="30" t="s">
        <v>117</v>
      </c>
      <c r="Y123" s="30" t="s">
        <v>117</v>
      </c>
      <c r="Z123" s="30" t="s">
        <v>117</v>
      </c>
      <c r="AA123" s="30" t="s">
        <v>117</v>
      </c>
      <c r="AB123" s="30" t="s">
        <v>117</v>
      </c>
      <c r="AC123" s="30" t="s">
        <v>117</v>
      </c>
      <c r="AD123" s="30" t="s">
        <v>117</v>
      </c>
      <c r="AE123" s="30" t="s">
        <v>117</v>
      </c>
      <c r="AF123" s="30" t="s">
        <v>117</v>
      </c>
      <c r="AG123" s="30" t="s">
        <v>117</v>
      </c>
      <c r="AH123" s="30" t="s">
        <v>117</v>
      </c>
      <c r="AI123" s="30" t="s">
        <v>123</v>
      </c>
      <c r="AJ123" s="30" t="s">
        <v>117</v>
      </c>
      <c r="AK123" s="30" t="s">
        <v>117</v>
      </c>
      <c r="AL123" s="30" t="s">
        <v>117</v>
      </c>
      <c r="AM123" s="30" t="s">
        <v>117</v>
      </c>
    </row>
    <row r="124" spans="1:39" ht="15.75" thickBot="1" x14ac:dyDescent="0.3">
      <c r="A124" s="110"/>
      <c r="B124" s="2">
        <v>120</v>
      </c>
      <c r="C124" s="21" t="s">
        <v>61</v>
      </c>
      <c r="D124" s="32" t="s">
        <v>116</v>
      </c>
      <c r="E124" s="32" t="s">
        <v>117</v>
      </c>
      <c r="F124" s="30" t="s">
        <v>117</v>
      </c>
      <c r="G124" s="32" t="s">
        <v>116</v>
      </c>
      <c r="H124" s="30" t="s">
        <v>117</v>
      </c>
      <c r="I124" s="30" t="s">
        <v>117</v>
      </c>
      <c r="J124" s="30" t="s">
        <v>117</v>
      </c>
      <c r="K124" s="30" t="s">
        <v>117</v>
      </c>
      <c r="L124" s="30" t="s">
        <v>117</v>
      </c>
      <c r="M124" s="30" t="s">
        <v>117</v>
      </c>
      <c r="N124" s="30" t="s">
        <v>117</v>
      </c>
      <c r="O124" s="30" t="s">
        <v>117</v>
      </c>
      <c r="P124" s="30" t="s">
        <v>117</v>
      </c>
      <c r="Q124" s="30" t="s">
        <v>117</v>
      </c>
      <c r="R124" s="30" t="s">
        <v>117</v>
      </c>
      <c r="S124" s="30" t="s">
        <v>117</v>
      </c>
      <c r="T124" s="30" t="s">
        <v>117</v>
      </c>
      <c r="U124" s="30" t="s">
        <v>117</v>
      </c>
      <c r="V124" s="30" t="s">
        <v>117</v>
      </c>
      <c r="W124" s="30" t="s">
        <v>117</v>
      </c>
      <c r="X124" s="30" t="s">
        <v>117</v>
      </c>
      <c r="Y124" s="30" t="s">
        <v>117</v>
      </c>
      <c r="Z124" s="30" t="s">
        <v>117</v>
      </c>
      <c r="AA124" s="30" t="s">
        <v>117</v>
      </c>
      <c r="AB124" s="30" t="s">
        <v>117</v>
      </c>
      <c r="AC124" s="30" t="s">
        <v>117</v>
      </c>
      <c r="AD124" s="30" t="s">
        <v>117</v>
      </c>
      <c r="AE124" s="30" t="s">
        <v>117</v>
      </c>
      <c r="AF124" s="30" t="s">
        <v>117</v>
      </c>
      <c r="AG124" s="30" t="s">
        <v>117</v>
      </c>
      <c r="AH124" s="30" t="s">
        <v>117</v>
      </c>
      <c r="AI124" s="30" t="s">
        <v>117</v>
      </c>
      <c r="AJ124" s="30" t="s">
        <v>117</v>
      </c>
      <c r="AK124" s="30" t="s">
        <v>117</v>
      </c>
      <c r="AL124" s="30" t="s">
        <v>117</v>
      </c>
      <c r="AM124" s="30" t="s">
        <v>117</v>
      </c>
    </row>
    <row r="125" spans="1:39" ht="15.75" thickBot="1" x14ac:dyDescent="0.3">
      <c r="A125" s="110"/>
      <c r="B125" s="2">
        <v>121</v>
      </c>
      <c r="C125" s="21" t="s">
        <v>62</v>
      </c>
      <c r="D125" s="32" t="s">
        <v>116</v>
      </c>
      <c r="E125" s="32" t="s">
        <v>117</v>
      </c>
      <c r="F125" s="30" t="s">
        <v>117</v>
      </c>
      <c r="G125" s="32" t="s">
        <v>116</v>
      </c>
      <c r="H125" s="30" t="s">
        <v>117</v>
      </c>
      <c r="I125" s="30" t="s">
        <v>117</v>
      </c>
      <c r="J125" s="30" t="s">
        <v>117</v>
      </c>
      <c r="K125" s="30" t="s">
        <v>117</v>
      </c>
      <c r="L125" s="30" t="s">
        <v>117</v>
      </c>
      <c r="M125" s="30" t="s">
        <v>117</v>
      </c>
      <c r="N125" s="30" t="s">
        <v>218</v>
      </c>
      <c r="O125" s="30" t="s">
        <v>117</v>
      </c>
      <c r="P125" s="30" t="s">
        <v>117</v>
      </c>
      <c r="Q125" s="30" t="s">
        <v>117</v>
      </c>
      <c r="R125" s="30" t="s">
        <v>117</v>
      </c>
      <c r="S125" s="30" t="s">
        <v>117</v>
      </c>
      <c r="T125" s="30" t="s">
        <v>212</v>
      </c>
      <c r="U125" s="30" t="s">
        <v>117</v>
      </c>
      <c r="V125" s="30" t="s">
        <v>117</v>
      </c>
      <c r="W125" s="30" t="s">
        <v>117</v>
      </c>
      <c r="X125" s="30" t="s">
        <v>117</v>
      </c>
      <c r="Y125" s="30" t="s">
        <v>117</v>
      </c>
      <c r="Z125" s="30" t="s">
        <v>117</v>
      </c>
      <c r="AA125" s="30" t="s">
        <v>117</v>
      </c>
      <c r="AB125" s="30" t="s">
        <v>117</v>
      </c>
      <c r="AC125" s="30" t="s">
        <v>117</v>
      </c>
      <c r="AD125" s="30" t="s">
        <v>117</v>
      </c>
      <c r="AE125" s="30" t="s">
        <v>117</v>
      </c>
      <c r="AF125" s="30" t="s">
        <v>117</v>
      </c>
      <c r="AG125" s="30" t="s">
        <v>117</v>
      </c>
      <c r="AH125" s="30" t="s">
        <v>117</v>
      </c>
      <c r="AI125" s="30" t="s">
        <v>117</v>
      </c>
      <c r="AJ125" s="30" t="s">
        <v>117</v>
      </c>
      <c r="AK125" s="30" t="s">
        <v>117</v>
      </c>
      <c r="AL125" s="30" t="s">
        <v>125</v>
      </c>
      <c r="AM125" s="30" t="s">
        <v>117</v>
      </c>
    </row>
    <row r="126" spans="1:39" ht="15.75" thickBot="1" x14ac:dyDescent="0.3">
      <c r="A126" s="110"/>
      <c r="B126" s="2">
        <v>122</v>
      </c>
      <c r="C126" s="20" t="s">
        <v>101</v>
      </c>
      <c r="D126" s="32" t="s">
        <v>116</v>
      </c>
      <c r="E126" s="32" t="s">
        <v>137</v>
      </c>
      <c r="F126" s="30" t="s">
        <v>117</v>
      </c>
      <c r="G126" s="32" t="s">
        <v>116</v>
      </c>
      <c r="H126" s="30" t="s">
        <v>117</v>
      </c>
      <c r="I126" s="30" t="s">
        <v>117</v>
      </c>
      <c r="J126" s="30" t="s">
        <v>117</v>
      </c>
      <c r="K126" s="30" t="s">
        <v>117</v>
      </c>
      <c r="L126" s="30" t="s">
        <v>117</v>
      </c>
      <c r="M126" s="30" t="s">
        <v>117</v>
      </c>
      <c r="N126" s="30" t="s">
        <v>138</v>
      </c>
      <c r="O126" s="30" t="s">
        <v>129</v>
      </c>
      <c r="P126" s="30" t="s">
        <v>117</v>
      </c>
      <c r="Q126" s="30" t="s">
        <v>117</v>
      </c>
      <c r="R126" s="30" t="s">
        <v>117</v>
      </c>
      <c r="S126" s="30" t="s">
        <v>117</v>
      </c>
      <c r="T126" s="30" t="s">
        <v>117</v>
      </c>
      <c r="U126" s="39" t="s">
        <v>117</v>
      </c>
      <c r="V126" s="39" t="s">
        <v>117</v>
      </c>
      <c r="W126" s="39" t="s">
        <v>117</v>
      </c>
      <c r="X126" s="39" t="s">
        <v>117</v>
      </c>
      <c r="Y126" s="39" t="s">
        <v>117</v>
      </c>
      <c r="Z126" s="39" t="s">
        <v>117</v>
      </c>
      <c r="AA126" s="39" t="s">
        <v>129</v>
      </c>
      <c r="AB126" s="39" t="s">
        <v>117</v>
      </c>
      <c r="AC126" s="39" t="s">
        <v>117</v>
      </c>
      <c r="AD126" s="39" t="s">
        <v>117</v>
      </c>
      <c r="AE126" s="39" t="s">
        <v>117</v>
      </c>
      <c r="AF126" s="39" t="s">
        <v>117</v>
      </c>
      <c r="AG126" s="39" t="s">
        <v>117</v>
      </c>
      <c r="AH126" s="39" t="s">
        <v>117</v>
      </c>
      <c r="AI126" s="39" t="s">
        <v>117</v>
      </c>
      <c r="AJ126" s="39" t="s">
        <v>117</v>
      </c>
      <c r="AK126" s="39" t="s">
        <v>117</v>
      </c>
      <c r="AL126" s="39" t="s">
        <v>117</v>
      </c>
      <c r="AM126" s="39" t="s">
        <v>117</v>
      </c>
    </row>
    <row r="127" spans="1:39" ht="30.75" thickBot="1" x14ac:dyDescent="0.3">
      <c r="A127" s="111"/>
      <c r="B127" s="2">
        <v>123</v>
      </c>
      <c r="C127" s="22" t="s">
        <v>64</v>
      </c>
      <c r="D127" s="32" t="s">
        <v>116</v>
      </c>
      <c r="E127" s="32" t="s">
        <v>117</v>
      </c>
      <c r="F127" s="30" t="s">
        <v>117</v>
      </c>
      <c r="G127" s="32" t="s">
        <v>116</v>
      </c>
      <c r="H127" s="33" t="s">
        <v>117</v>
      </c>
      <c r="I127" s="33" t="s">
        <v>117</v>
      </c>
      <c r="J127" s="33" t="s">
        <v>117</v>
      </c>
      <c r="K127" s="33" t="s">
        <v>117</v>
      </c>
      <c r="L127" s="41" t="s">
        <v>117</v>
      </c>
      <c r="M127" s="41" t="s">
        <v>117</v>
      </c>
      <c r="N127" s="41" t="s">
        <v>117</v>
      </c>
      <c r="O127" s="41" t="s">
        <v>117</v>
      </c>
      <c r="P127" s="41" t="s">
        <v>117</v>
      </c>
      <c r="Q127" s="41" t="s">
        <v>212</v>
      </c>
      <c r="R127" s="41" t="s">
        <v>117</v>
      </c>
      <c r="S127" s="41" t="s">
        <v>212</v>
      </c>
      <c r="T127" s="30" t="s">
        <v>212</v>
      </c>
      <c r="U127" s="41" t="s">
        <v>117</v>
      </c>
      <c r="V127" s="41" t="s">
        <v>117</v>
      </c>
      <c r="W127" s="41" t="s">
        <v>117</v>
      </c>
      <c r="X127" s="41" t="s">
        <v>117</v>
      </c>
      <c r="Y127" s="41" t="s">
        <v>127</v>
      </c>
      <c r="Z127" s="41" t="s">
        <v>139</v>
      </c>
      <c r="AA127" s="41" t="s">
        <v>117</v>
      </c>
      <c r="AB127" s="41" t="s">
        <v>117</v>
      </c>
      <c r="AC127" s="41" t="s">
        <v>117</v>
      </c>
      <c r="AD127" s="41" t="s">
        <v>117</v>
      </c>
      <c r="AE127" s="41" t="s">
        <v>127</v>
      </c>
      <c r="AF127" s="41" t="s">
        <v>117</v>
      </c>
      <c r="AG127" s="41" t="s">
        <v>117</v>
      </c>
      <c r="AH127" s="41" t="s">
        <v>127</v>
      </c>
      <c r="AI127" s="41" t="s">
        <v>117</v>
      </c>
      <c r="AJ127" s="41" t="s">
        <v>117</v>
      </c>
      <c r="AK127" s="41" t="s">
        <v>117</v>
      </c>
      <c r="AL127" s="41" t="s">
        <v>117</v>
      </c>
      <c r="AM127" s="41" t="s">
        <v>117</v>
      </c>
    </row>
    <row r="128" spans="1:39" ht="15.75" thickBot="1" x14ac:dyDescent="0.3">
      <c r="A128" s="112" t="s">
        <v>107</v>
      </c>
      <c r="B128" s="2">
        <v>124</v>
      </c>
      <c r="C128" s="25" t="s">
        <v>99</v>
      </c>
      <c r="D128" s="29" t="s">
        <v>116</v>
      </c>
      <c r="E128" s="30" t="s">
        <v>117</v>
      </c>
      <c r="F128" s="30" t="s">
        <v>117</v>
      </c>
      <c r="G128" s="29" t="s">
        <v>116</v>
      </c>
      <c r="H128" s="29" t="s">
        <v>118</v>
      </c>
      <c r="I128" s="29" t="s">
        <v>117</v>
      </c>
      <c r="J128" s="29" t="s">
        <v>117</v>
      </c>
      <c r="K128" s="29" t="s">
        <v>117</v>
      </c>
      <c r="L128" s="29" t="s">
        <v>119</v>
      </c>
      <c r="M128" s="30" t="s">
        <v>117</v>
      </c>
      <c r="N128" s="29" t="s">
        <v>117</v>
      </c>
      <c r="O128" s="29" t="s">
        <v>117</v>
      </c>
      <c r="P128" s="29" t="s">
        <v>117</v>
      </c>
      <c r="Q128" s="29" t="s">
        <v>117</v>
      </c>
      <c r="R128" s="29" t="s">
        <v>117</v>
      </c>
      <c r="S128" s="29" t="s">
        <v>117</v>
      </c>
      <c r="T128" s="30" t="s">
        <v>117</v>
      </c>
      <c r="U128" s="29" t="s">
        <v>117</v>
      </c>
      <c r="V128" s="29" t="s">
        <v>117</v>
      </c>
      <c r="W128" s="29" t="s">
        <v>117</v>
      </c>
      <c r="X128" s="29" t="s">
        <v>117</v>
      </c>
      <c r="Y128" s="29" t="s">
        <v>117</v>
      </c>
      <c r="Z128" s="29" t="s">
        <v>117</v>
      </c>
      <c r="AA128" s="29" t="s">
        <v>118</v>
      </c>
      <c r="AB128" s="29" t="s">
        <v>117</v>
      </c>
      <c r="AC128" s="29" t="s">
        <v>117</v>
      </c>
      <c r="AD128" s="29" t="s">
        <v>117</v>
      </c>
      <c r="AE128" s="29" t="s">
        <v>117</v>
      </c>
      <c r="AF128" s="29" t="s">
        <v>117</v>
      </c>
      <c r="AG128" s="29" t="s">
        <v>117</v>
      </c>
      <c r="AH128" s="29" t="s">
        <v>117</v>
      </c>
      <c r="AI128" s="29" t="s">
        <v>117</v>
      </c>
      <c r="AJ128" s="29" t="s">
        <v>117</v>
      </c>
      <c r="AK128" s="29" t="s">
        <v>117</v>
      </c>
      <c r="AL128" s="29" t="s">
        <v>117</v>
      </c>
      <c r="AM128" s="29" t="s">
        <v>117</v>
      </c>
    </row>
    <row r="129" spans="1:39" ht="15.75" thickBot="1" x14ac:dyDescent="0.3">
      <c r="A129" s="110"/>
      <c r="B129" s="2">
        <v>125</v>
      </c>
      <c r="C129" s="21" t="s">
        <v>100</v>
      </c>
      <c r="D129" s="32" t="s">
        <v>116</v>
      </c>
      <c r="E129" s="32" t="s">
        <v>117</v>
      </c>
      <c r="F129" s="30" t="s">
        <v>117</v>
      </c>
      <c r="G129" s="32" t="s">
        <v>116</v>
      </c>
      <c r="H129" s="30" t="s">
        <v>117</v>
      </c>
      <c r="I129" s="30" t="s">
        <v>117</v>
      </c>
      <c r="J129" s="30" t="s">
        <v>117</v>
      </c>
      <c r="K129" s="30" t="s">
        <v>117</v>
      </c>
      <c r="L129" s="30" t="s">
        <v>117</v>
      </c>
      <c r="M129" s="30" t="s">
        <v>117</v>
      </c>
      <c r="N129" s="30" t="s">
        <v>117</v>
      </c>
      <c r="O129" s="30" t="s">
        <v>117</v>
      </c>
      <c r="P129" s="30" t="s">
        <v>117</v>
      </c>
      <c r="Q129" s="30" t="s">
        <v>117</v>
      </c>
      <c r="R129" s="30" t="s">
        <v>117</v>
      </c>
      <c r="S129" s="30" t="s">
        <v>117</v>
      </c>
      <c r="T129" s="30" t="s">
        <v>117</v>
      </c>
      <c r="U129" s="30" t="s">
        <v>117</v>
      </c>
      <c r="V129" s="30" t="s">
        <v>117</v>
      </c>
      <c r="W129" s="30" t="s">
        <v>117</v>
      </c>
      <c r="X129" s="30" t="s">
        <v>117</v>
      </c>
      <c r="Y129" s="30" t="s">
        <v>117</v>
      </c>
      <c r="Z129" s="30" t="s">
        <v>117</v>
      </c>
      <c r="AA129" s="30" t="s">
        <v>117</v>
      </c>
      <c r="AB129" s="30" t="s">
        <v>117</v>
      </c>
      <c r="AC129" s="30" t="s">
        <v>117</v>
      </c>
      <c r="AD129" s="30" t="s">
        <v>117</v>
      </c>
      <c r="AE129" s="30" t="s">
        <v>117</v>
      </c>
      <c r="AF129" s="30" t="s">
        <v>117</v>
      </c>
      <c r="AG129" s="30" t="s">
        <v>117</v>
      </c>
      <c r="AH129" s="30" t="s">
        <v>117</v>
      </c>
      <c r="AI129" s="30" t="s">
        <v>117</v>
      </c>
      <c r="AJ129" s="30" t="s">
        <v>117</v>
      </c>
      <c r="AK129" s="30" t="s">
        <v>117</v>
      </c>
      <c r="AL129" s="30" t="s">
        <v>117</v>
      </c>
      <c r="AM129" s="30" t="s">
        <v>117</v>
      </c>
    </row>
    <row r="130" spans="1:39" ht="15.75" thickBot="1" x14ac:dyDescent="0.3">
      <c r="A130" s="110"/>
      <c r="B130" s="2">
        <v>126</v>
      </c>
      <c r="C130" s="20" t="s">
        <v>42</v>
      </c>
      <c r="D130" s="32" t="s">
        <v>116</v>
      </c>
      <c r="E130" s="32" t="s">
        <v>117</v>
      </c>
      <c r="F130" s="30" t="s">
        <v>117</v>
      </c>
      <c r="G130" s="32" t="s">
        <v>116</v>
      </c>
      <c r="H130" s="30" t="s">
        <v>117</v>
      </c>
      <c r="I130" s="30" t="s">
        <v>117</v>
      </c>
      <c r="J130" s="30" t="s">
        <v>117</v>
      </c>
      <c r="K130" s="30" t="s">
        <v>117</v>
      </c>
      <c r="L130" s="30" t="s">
        <v>117</v>
      </c>
      <c r="M130" s="30" t="s">
        <v>117</v>
      </c>
      <c r="N130" s="30" t="s">
        <v>117</v>
      </c>
      <c r="O130" s="30" t="s">
        <v>117</v>
      </c>
      <c r="P130" s="30" t="s">
        <v>117</v>
      </c>
      <c r="Q130" s="30" t="s">
        <v>117</v>
      </c>
      <c r="R130" s="30" t="s">
        <v>117</v>
      </c>
      <c r="S130" s="30" t="s">
        <v>117</v>
      </c>
      <c r="T130" s="30" t="s">
        <v>117</v>
      </c>
      <c r="U130" s="30" t="s">
        <v>117</v>
      </c>
      <c r="V130" s="30" t="s">
        <v>117</v>
      </c>
      <c r="W130" s="30" t="s">
        <v>117</v>
      </c>
      <c r="X130" s="30" t="s">
        <v>117</v>
      </c>
      <c r="Y130" s="30" t="s">
        <v>117</v>
      </c>
      <c r="Z130" s="30" t="s">
        <v>117</v>
      </c>
      <c r="AA130" s="30" t="s">
        <v>117</v>
      </c>
      <c r="AB130" s="30" t="s">
        <v>117</v>
      </c>
      <c r="AC130" s="30" t="s">
        <v>117</v>
      </c>
      <c r="AD130" s="30" t="s">
        <v>117</v>
      </c>
      <c r="AE130" s="30" t="s">
        <v>117</v>
      </c>
      <c r="AF130" s="30" t="s">
        <v>117</v>
      </c>
      <c r="AG130" s="30" t="s">
        <v>117</v>
      </c>
      <c r="AH130" s="30" t="s">
        <v>117</v>
      </c>
      <c r="AI130" s="30" t="s">
        <v>117</v>
      </c>
      <c r="AJ130" s="30" t="s">
        <v>117</v>
      </c>
      <c r="AK130" s="30" t="s">
        <v>117</v>
      </c>
      <c r="AL130" s="30" t="s">
        <v>117</v>
      </c>
      <c r="AM130" s="30" t="s">
        <v>117</v>
      </c>
    </row>
    <row r="131" spans="1:39" ht="15.75" thickBot="1" x14ac:dyDescent="0.3">
      <c r="A131" s="110"/>
      <c r="B131" s="2">
        <v>127</v>
      </c>
      <c r="C131" s="21" t="s">
        <v>45</v>
      </c>
      <c r="D131" s="32" t="s">
        <v>116</v>
      </c>
      <c r="E131" s="32" t="s">
        <v>117</v>
      </c>
      <c r="F131" s="30" t="s">
        <v>117</v>
      </c>
      <c r="G131" s="32" t="s">
        <v>116</v>
      </c>
      <c r="H131" s="30" t="s">
        <v>117</v>
      </c>
      <c r="I131" s="30" t="s">
        <v>117</v>
      </c>
      <c r="J131" s="30" t="s">
        <v>117</v>
      </c>
      <c r="K131" s="30" t="s">
        <v>117</v>
      </c>
      <c r="L131" s="30" t="s">
        <v>117</v>
      </c>
      <c r="M131" s="30" t="s">
        <v>117</v>
      </c>
      <c r="N131" s="30" t="s">
        <v>117</v>
      </c>
      <c r="O131" s="30" t="s">
        <v>117</v>
      </c>
      <c r="P131" s="30" t="s">
        <v>117</v>
      </c>
      <c r="Q131" s="30" t="s">
        <v>117</v>
      </c>
      <c r="R131" s="30" t="s">
        <v>117</v>
      </c>
      <c r="S131" s="30" t="s">
        <v>117</v>
      </c>
      <c r="T131" s="30" t="s">
        <v>117</v>
      </c>
      <c r="U131" s="30" t="s">
        <v>117</v>
      </c>
      <c r="V131" s="30" t="s">
        <v>117</v>
      </c>
      <c r="W131" s="30" t="s">
        <v>117</v>
      </c>
      <c r="X131" s="30" t="s">
        <v>117</v>
      </c>
      <c r="Y131" s="30" t="s">
        <v>117</v>
      </c>
      <c r="Z131" s="30" t="s">
        <v>117</v>
      </c>
      <c r="AA131" s="30" t="s">
        <v>117</v>
      </c>
      <c r="AB131" s="30" t="s">
        <v>117</v>
      </c>
      <c r="AC131" s="30" t="s">
        <v>117</v>
      </c>
      <c r="AD131" s="30" t="s">
        <v>117</v>
      </c>
      <c r="AE131" s="30" t="s">
        <v>117</v>
      </c>
      <c r="AF131" s="30" t="s">
        <v>117</v>
      </c>
      <c r="AG131" s="30" t="s">
        <v>117</v>
      </c>
      <c r="AH131" s="30" t="s">
        <v>117</v>
      </c>
      <c r="AI131" s="30" t="s">
        <v>117</v>
      </c>
      <c r="AJ131" s="30" t="s">
        <v>117</v>
      </c>
      <c r="AK131" s="30" t="s">
        <v>117</v>
      </c>
      <c r="AL131" s="30" t="s">
        <v>117</v>
      </c>
      <c r="AM131" s="30" t="s">
        <v>117</v>
      </c>
    </row>
    <row r="132" spans="1:39" ht="15.75" thickBot="1" x14ac:dyDescent="0.3">
      <c r="A132" s="110"/>
      <c r="B132" s="2">
        <v>128</v>
      </c>
      <c r="C132" s="21" t="s">
        <v>46</v>
      </c>
      <c r="D132" s="32" t="s">
        <v>116</v>
      </c>
      <c r="E132" s="30" t="s">
        <v>117</v>
      </c>
      <c r="F132" s="30" t="s">
        <v>117</v>
      </c>
      <c r="G132" s="32" t="s">
        <v>116</v>
      </c>
      <c r="H132" s="30" t="s">
        <v>117</v>
      </c>
      <c r="I132" s="30" t="s">
        <v>117</v>
      </c>
      <c r="J132" s="30" t="s">
        <v>117</v>
      </c>
      <c r="K132" s="30" t="s">
        <v>117</v>
      </c>
      <c r="L132" s="30" t="s">
        <v>117</v>
      </c>
      <c r="M132" s="30" t="s">
        <v>130</v>
      </c>
      <c r="N132" s="30" t="s">
        <v>117</v>
      </c>
      <c r="O132" s="30" t="s">
        <v>117</v>
      </c>
      <c r="P132" s="30" t="s">
        <v>117</v>
      </c>
      <c r="Q132" s="30" t="s">
        <v>117</v>
      </c>
      <c r="R132" s="30" t="s">
        <v>117</v>
      </c>
      <c r="S132" s="30" t="s">
        <v>117</v>
      </c>
      <c r="T132" s="30" t="s">
        <v>117</v>
      </c>
      <c r="U132" s="30" t="s">
        <v>117</v>
      </c>
      <c r="V132" s="30" t="s">
        <v>117</v>
      </c>
      <c r="W132" s="30" t="s">
        <v>117</v>
      </c>
      <c r="X132" s="30" t="s">
        <v>117</v>
      </c>
      <c r="Y132" s="30" t="s">
        <v>117</v>
      </c>
      <c r="Z132" s="30" t="s">
        <v>117</v>
      </c>
      <c r="AA132" s="30" t="s">
        <v>117</v>
      </c>
      <c r="AB132" s="30" t="s">
        <v>117</v>
      </c>
      <c r="AC132" s="30" t="s">
        <v>117</v>
      </c>
      <c r="AD132" s="30" t="s">
        <v>117</v>
      </c>
      <c r="AE132" s="30" t="s">
        <v>117</v>
      </c>
      <c r="AF132" s="30" t="s">
        <v>117</v>
      </c>
      <c r="AG132" s="30" t="s">
        <v>117</v>
      </c>
      <c r="AH132" s="30" t="s">
        <v>117</v>
      </c>
      <c r="AI132" s="30" t="s">
        <v>117</v>
      </c>
      <c r="AJ132" s="30" t="s">
        <v>117</v>
      </c>
      <c r="AK132" s="30" t="s">
        <v>117</v>
      </c>
      <c r="AL132" s="30" t="s">
        <v>117</v>
      </c>
      <c r="AM132" s="30" t="s">
        <v>117</v>
      </c>
    </row>
    <row r="133" spans="1:39" ht="15.75" thickBot="1" x14ac:dyDescent="0.3">
      <c r="A133" s="110"/>
      <c r="B133" s="2">
        <v>129</v>
      </c>
      <c r="C133" s="21" t="s">
        <v>47</v>
      </c>
      <c r="D133" s="32" t="s">
        <v>116</v>
      </c>
      <c r="E133" s="32" t="s">
        <v>117</v>
      </c>
      <c r="F133" s="30" t="s">
        <v>117</v>
      </c>
      <c r="G133" s="32" t="s">
        <v>116</v>
      </c>
      <c r="H133" s="30" t="s">
        <v>117</v>
      </c>
      <c r="I133" s="30" t="s">
        <v>117</v>
      </c>
      <c r="J133" s="30" t="s">
        <v>117</v>
      </c>
      <c r="K133" s="30" t="s">
        <v>117</v>
      </c>
      <c r="L133" s="30" t="s">
        <v>117</v>
      </c>
      <c r="M133" s="30" t="s">
        <v>117</v>
      </c>
      <c r="N133" s="30" t="s">
        <v>117</v>
      </c>
      <c r="O133" s="30" t="s">
        <v>117</v>
      </c>
      <c r="P133" s="30" t="s">
        <v>117</v>
      </c>
      <c r="Q133" s="30" t="s">
        <v>117</v>
      </c>
      <c r="R133" s="30" t="s">
        <v>117</v>
      </c>
      <c r="S133" s="30" t="s">
        <v>117</v>
      </c>
      <c r="T133" s="30" t="s">
        <v>117</v>
      </c>
      <c r="U133" s="30" t="s">
        <v>117</v>
      </c>
      <c r="V133" s="30" t="s">
        <v>117</v>
      </c>
      <c r="W133" s="30" t="s">
        <v>117</v>
      </c>
      <c r="X133" s="30" t="s">
        <v>117</v>
      </c>
      <c r="Y133" s="30" t="s">
        <v>117</v>
      </c>
      <c r="Z133" s="30" t="s">
        <v>117</v>
      </c>
      <c r="AA133" s="30" t="s">
        <v>117</v>
      </c>
      <c r="AB133" s="30" t="s">
        <v>117</v>
      </c>
      <c r="AC133" s="30" t="s">
        <v>117</v>
      </c>
      <c r="AD133" s="30" t="s">
        <v>117</v>
      </c>
      <c r="AE133" s="30" t="s">
        <v>117</v>
      </c>
      <c r="AF133" s="30" t="s">
        <v>117</v>
      </c>
      <c r="AG133" s="30" t="s">
        <v>117</v>
      </c>
      <c r="AH133" s="30" t="s">
        <v>117</v>
      </c>
      <c r="AI133" s="30" t="s">
        <v>117</v>
      </c>
      <c r="AJ133" s="30" t="s">
        <v>117</v>
      </c>
      <c r="AK133" s="30" t="s">
        <v>117</v>
      </c>
      <c r="AL133" s="30" t="s">
        <v>117</v>
      </c>
      <c r="AM133" s="30" t="s">
        <v>117</v>
      </c>
    </row>
    <row r="134" spans="1:39" ht="15.75" thickBot="1" x14ac:dyDescent="0.3">
      <c r="A134" s="110"/>
      <c r="B134" s="2">
        <v>130</v>
      </c>
      <c r="C134" s="21" t="s">
        <v>49</v>
      </c>
      <c r="D134" s="32" t="s">
        <v>116</v>
      </c>
      <c r="E134" s="32" t="s">
        <v>117</v>
      </c>
      <c r="F134" s="30" t="s">
        <v>117</v>
      </c>
      <c r="G134" s="32" t="s">
        <v>116</v>
      </c>
      <c r="H134" s="30" t="s">
        <v>117</v>
      </c>
      <c r="I134" s="30" t="s">
        <v>117</v>
      </c>
      <c r="J134" s="30" t="s">
        <v>117</v>
      </c>
      <c r="K134" s="30" t="s">
        <v>117</v>
      </c>
      <c r="L134" s="30" t="s">
        <v>117</v>
      </c>
      <c r="M134" s="30" t="s">
        <v>117</v>
      </c>
      <c r="N134" s="30" t="s">
        <v>117</v>
      </c>
      <c r="O134" s="30" t="s">
        <v>117</v>
      </c>
      <c r="P134" s="30" t="s">
        <v>117</v>
      </c>
      <c r="Q134" s="30" t="s">
        <v>117</v>
      </c>
      <c r="R134" s="30" t="s">
        <v>117</v>
      </c>
      <c r="S134" s="30" t="s">
        <v>117</v>
      </c>
      <c r="T134" s="30" t="s">
        <v>117</v>
      </c>
      <c r="U134" s="30" t="s">
        <v>117</v>
      </c>
      <c r="V134" s="30" t="s">
        <v>117</v>
      </c>
      <c r="W134" s="30" t="s">
        <v>117</v>
      </c>
      <c r="X134" s="30" t="s">
        <v>117</v>
      </c>
      <c r="Y134" s="30" t="s">
        <v>117</v>
      </c>
      <c r="Z134" s="30" t="s">
        <v>117</v>
      </c>
      <c r="AA134" s="30" t="s">
        <v>117</v>
      </c>
      <c r="AB134" s="30" t="s">
        <v>117</v>
      </c>
      <c r="AC134" s="30" t="s">
        <v>117</v>
      </c>
      <c r="AD134" s="30" t="s">
        <v>117</v>
      </c>
      <c r="AE134" s="30" t="s">
        <v>117</v>
      </c>
      <c r="AF134" s="30" t="s">
        <v>117</v>
      </c>
      <c r="AG134" s="30" t="s">
        <v>117</v>
      </c>
      <c r="AH134" s="30" t="s">
        <v>117</v>
      </c>
      <c r="AI134" s="30" t="s">
        <v>117</v>
      </c>
      <c r="AJ134" s="30" t="s">
        <v>117</v>
      </c>
      <c r="AK134" s="30" t="s">
        <v>117</v>
      </c>
      <c r="AL134" s="30" t="s">
        <v>117</v>
      </c>
      <c r="AM134" s="30" t="s">
        <v>117</v>
      </c>
    </row>
    <row r="135" spans="1:39" ht="15.75" thickBot="1" x14ac:dyDescent="0.3">
      <c r="A135" s="110"/>
      <c r="B135" s="2">
        <v>131</v>
      </c>
      <c r="C135" s="21" t="s">
        <v>52</v>
      </c>
      <c r="D135" s="32" t="s">
        <v>116</v>
      </c>
      <c r="E135" s="32" t="s">
        <v>117</v>
      </c>
      <c r="F135" s="30" t="s">
        <v>117</v>
      </c>
      <c r="G135" s="32" t="s">
        <v>116</v>
      </c>
      <c r="H135" s="30" t="s">
        <v>117</v>
      </c>
      <c r="I135" s="30" t="s">
        <v>117</v>
      </c>
      <c r="J135" s="30" t="s">
        <v>117</v>
      </c>
      <c r="K135" s="30" t="s">
        <v>117</v>
      </c>
      <c r="L135" s="30" t="s">
        <v>117</v>
      </c>
      <c r="M135" s="30" t="s">
        <v>117</v>
      </c>
      <c r="N135" s="30" t="s">
        <v>117</v>
      </c>
      <c r="O135" s="30" t="s">
        <v>117</v>
      </c>
      <c r="P135" s="30" t="s">
        <v>117</v>
      </c>
      <c r="Q135" s="30" t="s">
        <v>117</v>
      </c>
      <c r="R135" s="30" t="s">
        <v>117</v>
      </c>
      <c r="S135" s="30" t="s">
        <v>117</v>
      </c>
      <c r="T135" s="30" t="s">
        <v>117</v>
      </c>
      <c r="U135" s="30" t="s">
        <v>117</v>
      </c>
      <c r="V135" s="30" t="s">
        <v>117</v>
      </c>
      <c r="W135" s="30" t="s">
        <v>117</v>
      </c>
      <c r="X135" s="30" t="s">
        <v>117</v>
      </c>
      <c r="Y135" s="30" t="s">
        <v>117</v>
      </c>
      <c r="Z135" s="30" t="s">
        <v>117</v>
      </c>
      <c r="AA135" s="30" t="s">
        <v>117</v>
      </c>
      <c r="AB135" s="30" t="s">
        <v>117</v>
      </c>
      <c r="AC135" s="30" t="s">
        <v>117</v>
      </c>
      <c r="AD135" s="30" t="s">
        <v>117</v>
      </c>
      <c r="AE135" s="30" t="s">
        <v>117</v>
      </c>
      <c r="AF135" s="30" t="s">
        <v>117</v>
      </c>
      <c r="AG135" s="30" t="s">
        <v>117</v>
      </c>
      <c r="AH135" s="30" t="s">
        <v>117</v>
      </c>
      <c r="AI135" s="30" t="s">
        <v>117</v>
      </c>
      <c r="AJ135" s="30" t="s">
        <v>117</v>
      </c>
      <c r="AK135" s="30" t="s">
        <v>117</v>
      </c>
      <c r="AL135" s="30" t="s">
        <v>117</v>
      </c>
      <c r="AM135" s="30" t="s">
        <v>117</v>
      </c>
    </row>
    <row r="136" spans="1:39" ht="15.75" thickBot="1" x14ac:dyDescent="0.3">
      <c r="A136" s="110"/>
      <c r="B136" s="2">
        <v>132</v>
      </c>
      <c r="C136" s="21" t="s">
        <v>54</v>
      </c>
      <c r="D136" s="32" t="s">
        <v>116</v>
      </c>
      <c r="E136" s="32" t="s">
        <v>117</v>
      </c>
      <c r="F136" s="32" t="s">
        <v>136</v>
      </c>
      <c r="G136" s="32" t="s">
        <v>116</v>
      </c>
      <c r="H136" s="30" t="s">
        <v>117</v>
      </c>
      <c r="I136" s="30" t="s">
        <v>117</v>
      </c>
      <c r="J136" s="30" t="s">
        <v>117</v>
      </c>
      <c r="K136" s="31" t="s">
        <v>117</v>
      </c>
      <c r="L136" s="30" t="s">
        <v>117</v>
      </c>
      <c r="M136" s="30" t="s">
        <v>117</v>
      </c>
      <c r="N136" s="30" t="s">
        <v>117</v>
      </c>
      <c r="O136" s="30" t="s">
        <v>117</v>
      </c>
      <c r="P136" s="30" t="s">
        <v>117</v>
      </c>
      <c r="Q136" s="30" t="s">
        <v>118</v>
      </c>
      <c r="R136" s="30" t="s">
        <v>117</v>
      </c>
      <c r="S136" s="39" t="s">
        <v>117</v>
      </c>
      <c r="T136" s="30" t="s">
        <v>117</v>
      </c>
      <c r="U136" s="39" t="s">
        <v>119</v>
      </c>
      <c r="V136" s="39" t="s">
        <v>117</v>
      </c>
      <c r="W136" s="39" t="s">
        <v>117</v>
      </c>
      <c r="X136" s="30" t="s">
        <v>117</v>
      </c>
      <c r="Y136" s="39" t="s">
        <v>117</v>
      </c>
      <c r="Z136" s="39" t="s">
        <v>117</v>
      </c>
      <c r="AA136" s="39" t="s">
        <v>117</v>
      </c>
      <c r="AB136" s="39" t="s">
        <v>117</v>
      </c>
      <c r="AC136" s="39" t="s">
        <v>117</v>
      </c>
      <c r="AD136" s="39" t="s">
        <v>117</v>
      </c>
      <c r="AE136" s="39" t="s">
        <v>117</v>
      </c>
      <c r="AF136" s="39" t="s">
        <v>117</v>
      </c>
      <c r="AG136" s="39" t="s">
        <v>117</v>
      </c>
      <c r="AH136" s="39" t="s">
        <v>117</v>
      </c>
      <c r="AI136" s="39" t="s">
        <v>117</v>
      </c>
      <c r="AJ136" s="39" t="s">
        <v>117</v>
      </c>
      <c r="AK136" s="39" t="s">
        <v>117</v>
      </c>
      <c r="AL136" s="39" t="s">
        <v>117</v>
      </c>
      <c r="AM136" s="39" t="s">
        <v>117</v>
      </c>
    </row>
    <row r="137" spans="1:39" ht="15.75" thickBot="1" x14ac:dyDescent="0.3">
      <c r="A137" s="110"/>
      <c r="B137" s="2">
        <v>133</v>
      </c>
      <c r="C137" s="21" t="s">
        <v>55</v>
      </c>
      <c r="D137" s="32" t="s">
        <v>116</v>
      </c>
      <c r="E137" s="32" t="s">
        <v>117</v>
      </c>
      <c r="F137" s="30" t="s">
        <v>117</v>
      </c>
      <c r="G137" s="32" t="s">
        <v>116</v>
      </c>
      <c r="H137" s="30" t="s">
        <v>117</v>
      </c>
      <c r="I137" s="30" t="s">
        <v>117</v>
      </c>
      <c r="J137" s="30" t="s">
        <v>117</v>
      </c>
      <c r="K137" s="30" t="s">
        <v>117</v>
      </c>
      <c r="L137" s="30" t="s">
        <v>117</v>
      </c>
      <c r="M137" s="30" t="s">
        <v>117</v>
      </c>
      <c r="N137" s="30" t="s">
        <v>117</v>
      </c>
      <c r="O137" s="30" t="s">
        <v>117</v>
      </c>
      <c r="P137" s="30" t="s">
        <v>117</v>
      </c>
      <c r="Q137" s="30" t="s">
        <v>117</v>
      </c>
      <c r="R137" s="30" t="s">
        <v>117</v>
      </c>
      <c r="S137" s="30" t="s">
        <v>117</v>
      </c>
      <c r="T137" s="30" t="s">
        <v>117</v>
      </c>
      <c r="U137" s="30" t="s">
        <v>117</v>
      </c>
      <c r="V137" s="30" t="s">
        <v>117</v>
      </c>
      <c r="W137" s="30" t="s">
        <v>117</v>
      </c>
      <c r="X137" s="30" t="s">
        <v>117</v>
      </c>
      <c r="Y137" s="30" t="s">
        <v>117</v>
      </c>
      <c r="Z137" s="30" t="s">
        <v>117</v>
      </c>
      <c r="AA137" s="30" t="s">
        <v>117</v>
      </c>
      <c r="AB137" s="30" t="s">
        <v>117</v>
      </c>
      <c r="AC137" s="30" t="s">
        <v>117</v>
      </c>
      <c r="AD137" s="30" t="s">
        <v>117</v>
      </c>
      <c r="AE137" s="30" t="s">
        <v>117</v>
      </c>
      <c r="AF137" s="30" t="s">
        <v>117</v>
      </c>
      <c r="AG137" s="30" t="s">
        <v>117</v>
      </c>
      <c r="AH137" s="30" t="s">
        <v>117</v>
      </c>
      <c r="AI137" s="30" t="s">
        <v>117</v>
      </c>
      <c r="AJ137" s="30" t="s">
        <v>117</v>
      </c>
      <c r="AK137" s="30" t="s">
        <v>117</v>
      </c>
      <c r="AL137" s="30" t="s">
        <v>117</v>
      </c>
      <c r="AM137" s="30" t="s">
        <v>117</v>
      </c>
    </row>
    <row r="138" spans="1:39" ht="15.75" thickBot="1" x14ac:dyDescent="0.3">
      <c r="A138" s="110"/>
      <c r="B138" s="2">
        <v>134</v>
      </c>
      <c r="C138" s="21" t="s">
        <v>57</v>
      </c>
      <c r="D138" s="32" t="s">
        <v>116</v>
      </c>
      <c r="E138" s="32" t="s">
        <v>117</v>
      </c>
      <c r="F138" s="30" t="s">
        <v>117</v>
      </c>
      <c r="G138" s="32" t="s">
        <v>116</v>
      </c>
      <c r="H138" s="30" t="s">
        <v>117</v>
      </c>
      <c r="I138" s="30" t="s">
        <v>117</v>
      </c>
      <c r="J138" s="30" t="s">
        <v>117</v>
      </c>
      <c r="K138" s="30" t="s">
        <v>117</v>
      </c>
      <c r="L138" s="30" t="s">
        <v>117</v>
      </c>
      <c r="M138" s="30" t="s">
        <v>117</v>
      </c>
      <c r="N138" s="30" t="s">
        <v>117</v>
      </c>
      <c r="O138" s="30" t="s">
        <v>117</v>
      </c>
      <c r="P138" s="30" t="s">
        <v>117</v>
      </c>
      <c r="Q138" s="30" t="s">
        <v>117</v>
      </c>
      <c r="R138" s="30" t="s">
        <v>117</v>
      </c>
      <c r="S138" s="30" t="s">
        <v>117</v>
      </c>
      <c r="T138" s="30" t="s">
        <v>117</v>
      </c>
      <c r="U138" s="30" t="s">
        <v>117</v>
      </c>
      <c r="V138" s="30" t="s">
        <v>117</v>
      </c>
      <c r="W138" s="30" t="s">
        <v>117</v>
      </c>
      <c r="X138" s="30" t="s">
        <v>117</v>
      </c>
      <c r="Y138" s="30" t="s">
        <v>117</v>
      </c>
      <c r="Z138" s="30" t="s">
        <v>117</v>
      </c>
      <c r="AA138" s="30" t="s">
        <v>117</v>
      </c>
      <c r="AB138" s="30" t="s">
        <v>117</v>
      </c>
      <c r="AC138" s="30" t="s">
        <v>117</v>
      </c>
      <c r="AD138" s="30" t="s">
        <v>117</v>
      </c>
      <c r="AE138" s="30" t="s">
        <v>117</v>
      </c>
      <c r="AF138" s="30" t="s">
        <v>117</v>
      </c>
      <c r="AG138" s="30" t="s">
        <v>117</v>
      </c>
      <c r="AH138" s="30" t="s">
        <v>117</v>
      </c>
      <c r="AI138" s="30" t="s">
        <v>117</v>
      </c>
      <c r="AJ138" s="30" t="s">
        <v>117</v>
      </c>
      <c r="AK138" s="30" t="s">
        <v>117</v>
      </c>
      <c r="AL138" s="30" t="s">
        <v>117</v>
      </c>
      <c r="AM138" s="30" t="s">
        <v>117</v>
      </c>
    </row>
    <row r="139" spans="1:39" ht="15.75" thickBot="1" x14ac:dyDescent="0.3">
      <c r="A139" s="110"/>
      <c r="B139" s="2">
        <v>135</v>
      </c>
      <c r="C139" s="21" t="s">
        <v>59</v>
      </c>
      <c r="D139" s="32" t="s">
        <v>116</v>
      </c>
      <c r="E139" s="32" t="s">
        <v>117</v>
      </c>
      <c r="F139" s="30" t="s">
        <v>117</v>
      </c>
      <c r="G139" s="32" t="s">
        <v>116</v>
      </c>
      <c r="H139" s="30" t="s">
        <v>117</v>
      </c>
      <c r="I139" s="30" t="s">
        <v>117</v>
      </c>
      <c r="J139" s="30" t="s">
        <v>117</v>
      </c>
      <c r="K139" s="30" t="s">
        <v>117</v>
      </c>
      <c r="L139" s="30" t="s">
        <v>117</v>
      </c>
      <c r="M139" s="30" t="s">
        <v>117</v>
      </c>
      <c r="N139" s="30" t="s">
        <v>117</v>
      </c>
      <c r="O139" s="30" t="s">
        <v>117</v>
      </c>
      <c r="P139" s="30" t="s">
        <v>117</v>
      </c>
      <c r="Q139" s="30" t="s">
        <v>117</v>
      </c>
      <c r="R139" s="30" t="s">
        <v>117</v>
      </c>
      <c r="S139" s="30" t="s">
        <v>117</v>
      </c>
      <c r="T139" s="30" t="s">
        <v>117</v>
      </c>
      <c r="U139" s="30" t="s">
        <v>123</v>
      </c>
      <c r="V139" s="30" t="s">
        <v>117</v>
      </c>
      <c r="W139" s="30" t="s">
        <v>117</v>
      </c>
      <c r="X139" s="30" t="s">
        <v>117</v>
      </c>
      <c r="Y139" s="30" t="s">
        <v>117</v>
      </c>
      <c r="Z139" s="30" t="s">
        <v>117</v>
      </c>
      <c r="AA139" s="30" t="s">
        <v>117</v>
      </c>
      <c r="AB139" s="30" t="s">
        <v>117</v>
      </c>
      <c r="AC139" s="30" t="s">
        <v>117</v>
      </c>
      <c r="AD139" s="30" t="s">
        <v>117</v>
      </c>
      <c r="AE139" s="30" t="s">
        <v>117</v>
      </c>
      <c r="AF139" s="30" t="s">
        <v>117</v>
      </c>
      <c r="AG139" s="30" t="s">
        <v>236</v>
      </c>
      <c r="AH139" s="30" t="s">
        <v>117</v>
      </c>
      <c r="AI139" s="30" t="s">
        <v>123</v>
      </c>
      <c r="AJ139" s="30" t="s">
        <v>117</v>
      </c>
      <c r="AK139" s="30" t="s">
        <v>117</v>
      </c>
      <c r="AL139" s="30" t="s">
        <v>117</v>
      </c>
      <c r="AM139" s="30" t="s">
        <v>117</v>
      </c>
    </row>
    <row r="140" spans="1:39" ht="15.75" thickBot="1" x14ac:dyDescent="0.3">
      <c r="A140" s="110"/>
      <c r="B140" s="2">
        <v>136</v>
      </c>
      <c r="C140" s="21" t="s">
        <v>61</v>
      </c>
      <c r="D140" s="32" t="s">
        <v>116</v>
      </c>
      <c r="E140" s="32" t="s">
        <v>117</v>
      </c>
      <c r="F140" s="30" t="s">
        <v>117</v>
      </c>
      <c r="G140" s="32" t="s">
        <v>116</v>
      </c>
      <c r="H140" s="30" t="s">
        <v>117</v>
      </c>
      <c r="I140" s="30" t="s">
        <v>117</v>
      </c>
      <c r="J140" s="30" t="s">
        <v>117</v>
      </c>
      <c r="K140" s="30" t="s">
        <v>117</v>
      </c>
      <c r="L140" s="30" t="s">
        <v>117</v>
      </c>
      <c r="M140" s="30" t="s">
        <v>117</v>
      </c>
      <c r="N140" s="30" t="s">
        <v>117</v>
      </c>
      <c r="O140" s="30" t="s">
        <v>117</v>
      </c>
      <c r="P140" s="30" t="s">
        <v>117</v>
      </c>
      <c r="Q140" s="30" t="s">
        <v>117</v>
      </c>
      <c r="R140" s="30" t="s">
        <v>117</v>
      </c>
      <c r="S140" s="30" t="s">
        <v>117</v>
      </c>
      <c r="T140" s="30" t="s">
        <v>117</v>
      </c>
      <c r="U140" s="30" t="s">
        <v>117</v>
      </c>
      <c r="V140" s="30" t="s">
        <v>117</v>
      </c>
      <c r="W140" s="30" t="s">
        <v>117</v>
      </c>
      <c r="X140" s="30" t="s">
        <v>117</v>
      </c>
      <c r="Y140" s="30" t="s">
        <v>117</v>
      </c>
      <c r="Z140" s="30" t="s">
        <v>117</v>
      </c>
      <c r="AA140" s="30" t="s">
        <v>117</v>
      </c>
      <c r="AB140" s="30" t="s">
        <v>117</v>
      </c>
      <c r="AC140" s="30" t="s">
        <v>117</v>
      </c>
      <c r="AD140" s="30" t="s">
        <v>117</v>
      </c>
      <c r="AE140" s="30" t="s">
        <v>117</v>
      </c>
      <c r="AF140" s="30" t="s">
        <v>117</v>
      </c>
      <c r="AG140" s="30" t="s">
        <v>117</v>
      </c>
      <c r="AH140" s="30" t="s">
        <v>117</v>
      </c>
      <c r="AI140" s="30" t="s">
        <v>117</v>
      </c>
      <c r="AJ140" s="30" t="s">
        <v>117</v>
      </c>
      <c r="AK140" s="30" t="s">
        <v>117</v>
      </c>
      <c r="AL140" s="30" t="s">
        <v>117</v>
      </c>
      <c r="AM140" s="30" t="s">
        <v>117</v>
      </c>
    </row>
    <row r="141" spans="1:39" ht="15.75" thickBot="1" x14ac:dyDescent="0.3">
      <c r="A141" s="110"/>
      <c r="B141" s="2">
        <v>137</v>
      </c>
      <c r="C141" s="21" t="s">
        <v>62</v>
      </c>
      <c r="D141" s="32" t="s">
        <v>140</v>
      </c>
      <c r="E141" s="32" t="s">
        <v>117</v>
      </c>
      <c r="F141" s="30" t="s">
        <v>117</v>
      </c>
      <c r="G141" s="32" t="s">
        <v>116</v>
      </c>
      <c r="H141" s="30" t="s">
        <v>117</v>
      </c>
      <c r="I141" s="30" t="s">
        <v>117</v>
      </c>
      <c r="J141" s="30" t="s">
        <v>117</v>
      </c>
      <c r="K141" s="30" t="s">
        <v>117</v>
      </c>
      <c r="L141" s="30" t="s">
        <v>117</v>
      </c>
      <c r="M141" s="30" t="s">
        <v>117</v>
      </c>
      <c r="N141" s="30" t="s">
        <v>117</v>
      </c>
      <c r="O141" s="30" t="s">
        <v>117</v>
      </c>
      <c r="P141" s="30" t="s">
        <v>117</v>
      </c>
      <c r="Q141" s="30" t="s">
        <v>117</v>
      </c>
      <c r="R141" s="30" t="s">
        <v>117</v>
      </c>
      <c r="S141" s="30" t="s">
        <v>117</v>
      </c>
      <c r="T141" s="30" t="s">
        <v>212</v>
      </c>
      <c r="U141" s="30" t="s">
        <v>117</v>
      </c>
      <c r="V141" s="30" t="s">
        <v>117</v>
      </c>
      <c r="W141" s="30" t="s">
        <v>117</v>
      </c>
      <c r="X141" s="30" t="s">
        <v>117</v>
      </c>
      <c r="Y141" s="30" t="s">
        <v>117</v>
      </c>
      <c r="Z141" s="30" t="s">
        <v>117</v>
      </c>
      <c r="AA141" s="30" t="s">
        <v>117</v>
      </c>
      <c r="AB141" s="30" t="s">
        <v>117</v>
      </c>
      <c r="AC141" s="30" t="s">
        <v>117</v>
      </c>
      <c r="AD141" s="30" t="s">
        <v>117</v>
      </c>
      <c r="AE141" s="30" t="s">
        <v>117</v>
      </c>
      <c r="AF141" s="30" t="s">
        <v>117</v>
      </c>
      <c r="AG141" s="30" t="s">
        <v>117</v>
      </c>
      <c r="AH141" s="30" t="s">
        <v>117</v>
      </c>
      <c r="AI141" s="30" t="s">
        <v>117</v>
      </c>
      <c r="AJ141" s="30" t="s">
        <v>117</v>
      </c>
      <c r="AK141" s="30" t="s">
        <v>117</v>
      </c>
      <c r="AL141" s="30" t="s">
        <v>125</v>
      </c>
      <c r="AM141" s="30" t="s">
        <v>117</v>
      </c>
    </row>
    <row r="142" spans="1:39" ht="15.75" thickBot="1" x14ac:dyDescent="0.3">
      <c r="A142" s="110"/>
      <c r="B142" s="2">
        <v>138</v>
      </c>
      <c r="C142" s="20" t="s">
        <v>101</v>
      </c>
      <c r="D142" s="32" t="s">
        <v>116</v>
      </c>
      <c r="E142" s="32" t="s">
        <v>137</v>
      </c>
      <c r="F142" s="30" t="s">
        <v>117</v>
      </c>
      <c r="G142" s="32" t="s">
        <v>116</v>
      </c>
      <c r="H142" s="30" t="s">
        <v>117</v>
      </c>
      <c r="I142" s="30" t="s">
        <v>117</v>
      </c>
      <c r="J142" s="30" t="s">
        <v>117</v>
      </c>
      <c r="K142" s="30" t="s">
        <v>117</v>
      </c>
      <c r="L142" s="30" t="s">
        <v>117</v>
      </c>
      <c r="M142" s="30" t="s">
        <v>117</v>
      </c>
      <c r="N142" s="30" t="s">
        <v>138</v>
      </c>
      <c r="O142" s="30" t="s">
        <v>117</v>
      </c>
      <c r="P142" s="30" t="s">
        <v>117</v>
      </c>
      <c r="Q142" s="30" t="s">
        <v>117</v>
      </c>
      <c r="R142" s="30" t="s">
        <v>117</v>
      </c>
      <c r="S142" s="30" t="s">
        <v>117</v>
      </c>
      <c r="T142" s="30" t="s">
        <v>117</v>
      </c>
      <c r="U142" s="39" t="s">
        <v>117</v>
      </c>
      <c r="V142" s="39" t="s">
        <v>117</v>
      </c>
      <c r="W142" s="39" t="s">
        <v>117</v>
      </c>
      <c r="X142" s="39" t="s">
        <v>117</v>
      </c>
      <c r="Y142" s="39" t="s">
        <v>117</v>
      </c>
      <c r="Z142" s="39" t="s">
        <v>117</v>
      </c>
      <c r="AA142" s="39" t="s">
        <v>118</v>
      </c>
      <c r="AB142" s="39" t="s">
        <v>117</v>
      </c>
      <c r="AC142" s="39" t="s">
        <v>117</v>
      </c>
      <c r="AD142" s="39" t="s">
        <v>117</v>
      </c>
      <c r="AE142" s="39" t="s">
        <v>117</v>
      </c>
      <c r="AF142" s="39" t="s">
        <v>117</v>
      </c>
      <c r="AG142" s="39" t="s">
        <v>117</v>
      </c>
      <c r="AH142" s="39" t="s">
        <v>117</v>
      </c>
      <c r="AI142" s="39" t="s">
        <v>117</v>
      </c>
      <c r="AJ142" s="39" t="s">
        <v>117</v>
      </c>
      <c r="AK142" s="39" t="s">
        <v>117</v>
      </c>
      <c r="AL142" s="39" t="s">
        <v>117</v>
      </c>
      <c r="AM142" s="39" t="s">
        <v>117</v>
      </c>
    </row>
    <row r="143" spans="1:39" ht="15.75" thickBot="1" x14ac:dyDescent="0.3">
      <c r="A143" s="111"/>
      <c r="B143" s="2">
        <v>139</v>
      </c>
      <c r="C143" s="22" t="s">
        <v>64</v>
      </c>
      <c r="D143" s="32" t="s">
        <v>116</v>
      </c>
      <c r="E143" s="32" t="s">
        <v>117</v>
      </c>
      <c r="F143" s="30" t="s">
        <v>117</v>
      </c>
      <c r="G143" s="32" t="s">
        <v>116</v>
      </c>
      <c r="H143" s="33" t="s">
        <v>117</v>
      </c>
      <c r="I143" s="33" t="s">
        <v>117</v>
      </c>
      <c r="J143" s="33" t="s">
        <v>117</v>
      </c>
      <c r="K143" s="33" t="s">
        <v>217</v>
      </c>
      <c r="L143" s="33" t="s">
        <v>117</v>
      </c>
      <c r="M143" s="33" t="s">
        <v>117</v>
      </c>
      <c r="N143" s="33" t="s">
        <v>117</v>
      </c>
      <c r="O143" s="41" t="s">
        <v>117</v>
      </c>
      <c r="P143" s="41" t="s">
        <v>117</v>
      </c>
      <c r="Q143" s="33" t="s">
        <v>212</v>
      </c>
      <c r="R143" s="33" t="s">
        <v>117</v>
      </c>
      <c r="S143" s="33" t="s">
        <v>212</v>
      </c>
      <c r="T143" s="30" t="s">
        <v>212</v>
      </c>
      <c r="U143" s="33" t="s">
        <v>117</v>
      </c>
      <c r="V143" s="33" t="s">
        <v>117</v>
      </c>
      <c r="W143" s="33" t="s">
        <v>117</v>
      </c>
      <c r="X143" s="33" t="s">
        <v>117</v>
      </c>
      <c r="Y143" s="33" t="s">
        <v>127</v>
      </c>
      <c r="Z143" s="33" t="s">
        <v>117</v>
      </c>
      <c r="AA143" s="33" t="s">
        <v>117</v>
      </c>
      <c r="AB143" s="33" t="s">
        <v>117</v>
      </c>
      <c r="AC143" s="33" t="s">
        <v>117</v>
      </c>
      <c r="AD143" s="33" t="s">
        <v>117</v>
      </c>
      <c r="AE143" s="33" t="s">
        <v>127</v>
      </c>
      <c r="AF143" s="33" t="s">
        <v>117</v>
      </c>
      <c r="AG143" s="33" t="s">
        <v>117</v>
      </c>
      <c r="AH143" s="33" t="s">
        <v>127</v>
      </c>
      <c r="AI143" s="33" t="s">
        <v>117</v>
      </c>
      <c r="AJ143" s="33" t="s">
        <v>117</v>
      </c>
      <c r="AK143" s="33" t="s">
        <v>117</v>
      </c>
      <c r="AL143" s="33" t="s">
        <v>117</v>
      </c>
      <c r="AM143" s="33" t="s">
        <v>117</v>
      </c>
    </row>
    <row r="144" spans="1:39" ht="15.75" thickBot="1" x14ac:dyDescent="0.3">
      <c r="A144" s="112" t="s">
        <v>108</v>
      </c>
      <c r="B144" s="2">
        <v>140</v>
      </c>
      <c r="C144" s="25" t="s">
        <v>86</v>
      </c>
      <c r="D144" s="29" t="s">
        <v>116</v>
      </c>
      <c r="E144" s="29" t="s">
        <v>117</v>
      </c>
      <c r="F144" s="29" t="s">
        <v>117</v>
      </c>
      <c r="G144" s="29" t="s">
        <v>116</v>
      </c>
      <c r="H144" s="29" t="s">
        <v>117</v>
      </c>
      <c r="I144" s="29" t="s">
        <v>117</v>
      </c>
      <c r="J144" s="29" t="s">
        <v>117</v>
      </c>
      <c r="K144" s="29" t="s">
        <v>117</v>
      </c>
      <c r="L144" s="29" t="s">
        <v>117</v>
      </c>
      <c r="M144" s="29" t="s">
        <v>117</v>
      </c>
      <c r="N144" s="29" t="s">
        <v>117</v>
      </c>
      <c r="O144" s="29" t="s">
        <v>117</v>
      </c>
      <c r="P144" s="29" t="s">
        <v>117</v>
      </c>
      <c r="Q144" s="29" t="s">
        <v>117</v>
      </c>
      <c r="R144" s="29" t="s">
        <v>117</v>
      </c>
      <c r="S144" s="29" t="s">
        <v>117</v>
      </c>
      <c r="T144" s="29" t="s">
        <v>117</v>
      </c>
      <c r="U144" s="29" t="s">
        <v>117</v>
      </c>
      <c r="V144" s="29" t="s">
        <v>117</v>
      </c>
      <c r="W144" s="29" t="s">
        <v>117</v>
      </c>
      <c r="X144" s="29" t="s">
        <v>117</v>
      </c>
      <c r="Y144" s="29" t="s">
        <v>117</v>
      </c>
      <c r="Z144" s="29" t="s">
        <v>117</v>
      </c>
      <c r="AA144" s="29" t="s">
        <v>117</v>
      </c>
      <c r="AB144" s="29" t="s">
        <v>117</v>
      </c>
      <c r="AC144" s="29" t="s">
        <v>117</v>
      </c>
      <c r="AD144" s="29" t="s">
        <v>117</v>
      </c>
      <c r="AE144" s="29" t="s">
        <v>117</v>
      </c>
      <c r="AF144" s="29" t="s">
        <v>117</v>
      </c>
      <c r="AG144" s="29" t="s">
        <v>117</v>
      </c>
      <c r="AH144" s="29" t="s">
        <v>117</v>
      </c>
      <c r="AI144" s="29" t="s">
        <v>117</v>
      </c>
      <c r="AJ144" s="29" t="s">
        <v>117</v>
      </c>
      <c r="AK144" s="29" t="s">
        <v>117</v>
      </c>
      <c r="AL144" s="29" t="s">
        <v>117</v>
      </c>
      <c r="AM144" s="29" t="s">
        <v>117</v>
      </c>
    </row>
    <row r="145" spans="1:39" ht="15.75" thickBot="1" x14ac:dyDescent="0.3">
      <c r="A145" s="110"/>
      <c r="B145" s="2">
        <v>141</v>
      </c>
      <c r="C145" s="21" t="s">
        <v>87</v>
      </c>
      <c r="D145" s="32" t="s">
        <v>116</v>
      </c>
      <c r="E145" s="32" t="s">
        <v>117</v>
      </c>
      <c r="F145" s="30" t="s">
        <v>117</v>
      </c>
      <c r="G145" s="32" t="s">
        <v>116</v>
      </c>
      <c r="H145" s="30" t="s">
        <v>117</v>
      </c>
      <c r="I145" s="30" t="s">
        <v>117</v>
      </c>
      <c r="J145" s="30" t="s">
        <v>117</v>
      </c>
      <c r="K145" s="30" t="s">
        <v>117</v>
      </c>
      <c r="L145" s="30" t="s">
        <v>117</v>
      </c>
      <c r="M145" s="30" t="s">
        <v>117</v>
      </c>
      <c r="N145" s="30" t="s">
        <v>117</v>
      </c>
      <c r="O145" s="30" t="s">
        <v>117</v>
      </c>
      <c r="P145" s="30" t="s">
        <v>117</v>
      </c>
      <c r="Q145" s="30" t="s">
        <v>117</v>
      </c>
      <c r="R145" s="30" t="s">
        <v>117</v>
      </c>
      <c r="S145" s="30" t="s">
        <v>117</v>
      </c>
      <c r="T145" s="30" t="s">
        <v>117</v>
      </c>
      <c r="U145" s="30" t="s">
        <v>117</v>
      </c>
      <c r="V145" s="30" t="s">
        <v>117</v>
      </c>
      <c r="W145" s="30" t="s">
        <v>117</v>
      </c>
      <c r="X145" s="30" t="s">
        <v>117</v>
      </c>
      <c r="Y145" s="30" t="s">
        <v>117</v>
      </c>
      <c r="Z145" s="30" t="s">
        <v>117</v>
      </c>
      <c r="AA145" s="30" t="s">
        <v>117</v>
      </c>
      <c r="AB145" s="30" t="s">
        <v>117</v>
      </c>
      <c r="AC145" s="30" t="s">
        <v>117</v>
      </c>
      <c r="AD145" s="30" t="s">
        <v>117</v>
      </c>
      <c r="AE145" s="30" t="s">
        <v>117</v>
      </c>
      <c r="AF145" s="30" t="s">
        <v>117</v>
      </c>
      <c r="AG145" s="30" t="s">
        <v>117</v>
      </c>
      <c r="AH145" s="30" t="s">
        <v>117</v>
      </c>
      <c r="AI145" s="30" t="s">
        <v>117</v>
      </c>
      <c r="AJ145" s="30" t="s">
        <v>117</v>
      </c>
      <c r="AK145" s="30" t="s">
        <v>117</v>
      </c>
      <c r="AL145" s="30" t="s">
        <v>117</v>
      </c>
      <c r="AM145" s="30" t="s">
        <v>117</v>
      </c>
    </row>
    <row r="146" spans="1:39" ht="15.75" thickBot="1" x14ac:dyDescent="0.3">
      <c r="A146" s="110"/>
      <c r="B146" s="2">
        <v>142</v>
      </c>
      <c r="C146" s="21" t="s">
        <v>88</v>
      </c>
      <c r="D146" s="32" t="s">
        <v>116</v>
      </c>
      <c r="E146" s="32" t="s">
        <v>117</v>
      </c>
      <c r="F146" s="30" t="s">
        <v>117</v>
      </c>
      <c r="G146" s="32" t="s">
        <v>116</v>
      </c>
      <c r="H146" s="30" t="s">
        <v>117</v>
      </c>
      <c r="I146" s="30" t="s">
        <v>117</v>
      </c>
      <c r="J146" s="30" t="s">
        <v>117</v>
      </c>
      <c r="K146" s="30" t="s">
        <v>117</v>
      </c>
      <c r="L146" s="30" t="s">
        <v>117</v>
      </c>
      <c r="M146" s="30" t="s">
        <v>117</v>
      </c>
      <c r="N146" s="30" t="s">
        <v>117</v>
      </c>
      <c r="O146" s="30" t="s">
        <v>117</v>
      </c>
      <c r="P146" s="30" t="s">
        <v>117</v>
      </c>
      <c r="Q146" s="30" t="s">
        <v>117</v>
      </c>
      <c r="R146" s="30" t="s">
        <v>117</v>
      </c>
      <c r="S146" s="30" t="s">
        <v>117</v>
      </c>
      <c r="T146" s="30" t="s">
        <v>117</v>
      </c>
      <c r="U146" s="30" t="s">
        <v>117</v>
      </c>
      <c r="V146" s="30" t="s">
        <v>117</v>
      </c>
      <c r="W146" s="30" t="s">
        <v>117</v>
      </c>
      <c r="X146" s="30" t="s">
        <v>117</v>
      </c>
      <c r="Y146" s="30" t="s">
        <v>117</v>
      </c>
      <c r="Z146" s="30" t="s">
        <v>117</v>
      </c>
      <c r="AA146" s="30" t="s">
        <v>117</v>
      </c>
      <c r="AB146" s="30" t="s">
        <v>117</v>
      </c>
      <c r="AC146" s="30" t="s">
        <v>117</v>
      </c>
      <c r="AD146" s="30" t="s">
        <v>117</v>
      </c>
      <c r="AE146" s="30" t="s">
        <v>117</v>
      </c>
      <c r="AF146" s="30" t="s">
        <v>117</v>
      </c>
      <c r="AG146" s="30" t="s">
        <v>117</v>
      </c>
      <c r="AH146" s="30" t="s">
        <v>117</v>
      </c>
      <c r="AI146" s="30" t="s">
        <v>117</v>
      </c>
      <c r="AJ146" s="30" t="s">
        <v>117</v>
      </c>
      <c r="AK146" s="30" t="s">
        <v>117</v>
      </c>
      <c r="AL146" s="30" t="s">
        <v>117</v>
      </c>
      <c r="AM146" s="30" t="s">
        <v>117</v>
      </c>
    </row>
    <row r="147" spans="1:39" ht="15.75" thickBot="1" x14ac:dyDescent="0.3">
      <c r="A147" s="110"/>
      <c r="B147" s="2">
        <v>143</v>
      </c>
      <c r="C147" s="21" t="s">
        <v>89</v>
      </c>
      <c r="D147" s="32" t="s">
        <v>116</v>
      </c>
      <c r="E147" s="32" t="s">
        <v>117</v>
      </c>
      <c r="F147" s="30" t="s">
        <v>117</v>
      </c>
      <c r="G147" s="32" t="s">
        <v>116</v>
      </c>
      <c r="H147" s="30" t="s">
        <v>117</v>
      </c>
      <c r="I147" s="30" t="s">
        <v>117</v>
      </c>
      <c r="J147" s="30" t="s">
        <v>117</v>
      </c>
      <c r="K147" s="30" t="s">
        <v>117</v>
      </c>
      <c r="L147" s="30" t="s">
        <v>117</v>
      </c>
      <c r="M147" s="30" t="s">
        <v>117</v>
      </c>
      <c r="N147" s="30" t="s">
        <v>117</v>
      </c>
      <c r="O147" s="30" t="s">
        <v>117</v>
      </c>
      <c r="P147" s="30" t="s">
        <v>117</v>
      </c>
      <c r="Q147" s="30" t="s">
        <v>117</v>
      </c>
      <c r="R147" s="30" t="s">
        <v>117</v>
      </c>
      <c r="S147" s="30" t="s">
        <v>117</v>
      </c>
      <c r="T147" s="30" t="s">
        <v>117</v>
      </c>
      <c r="U147" s="30" t="s">
        <v>117</v>
      </c>
      <c r="V147" s="30" t="s">
        <v>117</v>
      </c>
      <c r="W147" s="30" t="s">
        <v>117</v>
      </c>
      <c r="X147" s="30" t="s">
        <v>117</v>
      </c>
      <c r="Y147" s="30" t="s">
        <v>117</v>
      </c>
      <c r="Z147" s="30" t="s">
        <v>117</v>
      </c>
      <c r="AA147" s="30" t="s">
        <v>117</v>
      </c>
      <c r="AB147" s="30" t="s">
        <v>117</v>
      </c>
      <c r="AC147" s="30" t="s">
        <v>117</v>
      </c>
      <c r="AD147" s="30" t="s">
        <v>117</v>
      </c>
      <c r="AE147" s="30" t="s">
        <v>117</v>
      </c>
      <c r="AF147" s="30" t="s">
        <v>117</v>
      </c>
      <c r="AG147" s="30" t="s">
        <v>117</v>
      </c>
      <c r="AH147" s="30" t="s">
        <v>117</v>
      </c>
      <c r="AI147" s="30" t="s">
        <v>117</v>
      </c>
      <c r="AJ147" s="30" t="s">
        <v>117</v>
      </c>
      <c r="AK147" s="30" t="s">
        <v>117</v>
      </c>
      <c r="AL147" s="30" t="s">
        <v>117</v>
      </c>
      <c r="AM147" s="30" t="s">
        <v>117</v>
      </c>
    </row>
    <row r="148" spans="1:39" ht="15.75" thickBot="1" x14ac:dyDescent="0.3">
      <c r="A148" s="110"/>
      <c r="B148" s="2">
        <v>144</v>
      </c>
      <c r="C148" s="21" t="s">
        <v>76</v>
      </c>
      <c r="D148" s="32" t="s">
        <v>116</v>
      </c>
      <c r="E148" s="32" t="s">
        <v>117</v>
      </c>
      <c r="F148" s="30" t="s">
        <v>117</v>
      </c>
      <c r="G148" s="32" t="s">
        <v>116</v>
      </c>
      <c r="H148" s="30" t="s">
        <v>117</v>
      </c>
      <c r="I148" s="30" t="s">
        <v>117</v>
      </c>
      <c r="J148" s="30" t="s">
        <v>117</v>
      </c>
      <c r="K148" s="30" t="s">
        <v>117</v>
      </c>
      <c r="L148" s="30" t="s">
        <v>117</v>
      </c>
      <c r="M148" s="30" t="s">
        <v>117</v>
      </c>
      <c r="N148" s="30" t="s">
        <v>117</v>
      </c>
      <c r="O148" s="30" t="s">
        <v>117</v>
      </c>
      <c r="P148" s="30" t="s">
        <v>117</v>
      </c>
      <c r="Q148" s="30" t="s">
        <v>117</v>
      </c>
      <c r="R148" s="30" t="s">
        <v>117</v>
      </c>
      <c r="S148" s="30" t="s">
        <v>117</v>
      </c>
      <c r="T148" s="30" t="s">
        <v>117</v>
      </c>
      <c r="U148" s="39" t="s">
        <v>117</v>
      </c>
      <c r="V148" s="39" t="s">
        <v>117</v>
      </c>
      <c r="W148" s="39" t="s">
        <v>117</v>
      </c>
      <c r="X148" s="39" t="s">
        <v>117</v>
      </c>
      <c r="Y148" s="39" t="s">
        <v>117</v>
      </c>
      <c r="Z148" s="39" t="s">
        <v>117</v>
      </c>
      <c r="AA148" s="39" t="s">
        <v>117</v>
      </c>
      <c r="AB148" s="39" t="s">
        <v>117</v>
      </c>
      <c r="AC148" s="39" t="s">
        <v>117</v>
      </c>
      <c r="AD148" s="39" t="s">
        <v>117</v>
      </c>
      <c r="AE148" s="39" t="s">
        <v>117</v>
      </c>
      <c r="AF148" s="39" t="s">
        <v>117</v>
      </c>
      <c r="AG148" s="39" t="s">
        <v>117</v>
      </c>
      <c r="AH148" s="39" t="s">
        <v>117</v>
      </c>
      <c r="AI148" s="39" t="s">
        <v>117</v>
      </c>
      <c r="AJ148" s="39" t="s">
        <v>117</v>
      </c>
      <c r="AK148" s="39" t="s">
        <v>117</v>
      </c>
      <c r="AL148" s="39" t="s">
        <v>117</v>
      </c>
      <c r="AM148" s="39" t="s">
        <v>117</v>
      </c>
    </row>
    <row r="149" spans="1:39" ht="15.75" thickBot="1" x14ac:dyDescent="0.3">
      <c r="A149" s="110"/>
      <c r="B149" s="2">
        <v>145</v>
      </c>
      <c r="C149" s="21" t="s">
        <v>77</v>
      </c>
      <c r="D149" s="32" t="s">
        <v>116</v>
      </c>
      <c r="E149" s="32" t="s">
        <v>117</v>
      </c>
      <c r="F149" s="30" t="s">
        <v>117</v>
      </c>
      <c r="G149" s="32" t="s">
        <v>116</v>
      </c>
      <c r="H149" s="30" t="s">
        <v>117</v>
      </c>
      <c r="I149" s="30" t="s">
        <v>117</v>
      </c>
      <c r="J149" s="30" t="s">
        <v>117</v>
      </c>
      <c r="K149" s="30" t="s">
        <v>117</v>
      </c>
      <c r="L149" s="30" t="s">
        <v>117</v>
      </c>
      <c r="M149" s="30" t="s">
        <v>117</v>
      </c>
      <c r="N149" s="30" t="s">
        <v>117</v>
      </c>
      <c r="O149" s="41" t="s">
        <v>117</v>
      </c>
      <c r="P149" s="41" t="s">
        <v>117</v>
      </c>
      <c r="Q149" s="30" t="s">
        <v>117</v>
      </c>
      <c r="R149" s="30" t="s">
        <v>117</v>
      </c>
      <c r="S149" s="30" t="s">
        <v>117</v>
      </c>
      <c r="T149" s="30" t="s">
        <v>117</v>
      </c>
      <c r="U149" s="30" t="s">
        <v>126</v>
      </c>
      <c r="V149" s="30" t="s">
        <v>117</v>
      </c>
      <c r="W149" s="30" t="s">
        <v>117</v>
      </c>
      <c r="X149" s="30" t="s">
        <v>117</v>
      </c>
      <c r="Y149" s="30" t="s">
        <v>117</v>
      </c>
      <c r="Z149" s="30" t="s">
        <v>127</v>
      </c>
      <c r="AA149" s="30" t="s">
        <v>117</v>
      </c>
      <c r="AB149" s="30" t="s">
        <v>117</v>
      </c>
      <c r="AC149" s="30" t="s">
        <v>117</v>
      </c>
      <c r="AD149" s="30" t="s">
        <v>117</v>
      </c>
      <c r="AE149" s="30" t="s">
        <v>127</v>
      </c>
      <c r="AF149" s="30" t="s">
        <v>117</v>
      </c>
      <c r="AG149" s="30" t="s">
        <v>117</v>
      </c>
      <c r="AH149" s="30" t="s">
        <v>117</v>
      </c>
      <c r="AI149" s="30" t="s">
        <v>127</v>
      </c>
      <c r="AJ149" s="30" t="s">
        <v>117</v>
      </c>
      <c r="AK149" s="30" t="s">
        <v>117</v>
      </c>
      <c r="AL149" s="30" t="s">
        <v>117</v>
      </c>
      <c r="AM149" s="30" t="s">
        <v>117</v>
      </c>
    </row>
    <row r="150" spans="1:39" ht="15.75" thickBot="1" x14ac:dyDescent="0.3">
      <c r="A150" s="110"/>
      <c r="B150" s="2">
        <v>146</v>
      </c>
      <c r="C150" s="21" t="s">
        <v>59</v>
      </c>
      <c r="D150" s="32" t="s">
        <v>116</v>
      </c>
      <c r="E150" s="32" t="s">
        <v>117</v>
      </c>
      <c r="F150" s="30" t="s">
        <v>117</v>
      </c>
      <c r="G150" s="32" t="s">
        <v>116</v>
      </c>
      <c r="H150" s="30" t="s">
        <v>117</v>
      </c>
      <c r="I150" s="30" t="s">
        <v>117</v>
      </c>
      <c r="J150" s="30" t="s">
        <v>117</v>
      </c>
      <c r="K150" s="30" t="s">
        <v>117</v>
      </c>
      <c r="L150" s="30" t="s">
        <v>117</v>
      </c>
      <c r="M150" s="30" t="s">
        <v>117</v>
      </c>
      <c r="N150" s="30" t="s">
        <v>117</v>
      </c>
      <c r="O150" s="30" t="s">
        <v>117</v>
      </c>
      <c r="P150" s="30" t="s">
        <v>117</v>
      </c>
      <c r="Q150" s="30" t="s">
        <v>117</v>
      </c>
      <c r="R150" s="30" t="s">
        <v>117</v>
      </c>
      <c r="S150" s="30" t="s">
        <v>225</v>
      </c>
      <c r="T150" s="30" t="s">
        <v>117</v>
      </c>
      <c r="U150" s="30" t="s">
        <v>117</v>
      </c>
      <c r="V150" s="30" t="s">
        <v>117</v>
      </c>
      <c r="W150" s="30" t="s">
        <v>117</v>
      </c>
      <c r="X150" s="30" t="s">
        <v>117</v>
      </c>
      <c r="Y150" s="30" t="s">
        <v>117</v>
      </c>
      <c r="Z150" s="30" t="s">
        <v>117</v>
      </c>
      <c r="AA150" s="30" t="s">
        <v>123</v>
      </c>
      <c r="AB150" s="30" t="s">
        <v>117</v>
      </c>
      <c r="AC150" s="30" t="s">
        <v>117</v>
      </c>
      <c r="AD150" s="30" t="s">
        <v>117</v>
      </c>
      <c r="AE150" s="30" t="s">
        <v>117</v>
      </c>
      <c r="AF150" s="30" t="s">
        <v>117</v>
      </c>
      <c r="AG150" s="30" t="s">
        <v>117</v>
      </c>
      <c r="AH150" s="30" t="s">
        <v>117</v>
      </c>
      <c r="AI150" s="30" t="s">
        <v>117</v>
      </c>
      <c r="AJ150" s="30" t="s">
        <v>117</v>
      </c>
      <c r="AK150" s="30" t="s">
        <v>117</v>
      </c>
      <c r="AL150" s="30" t="s">
        <v>117</v>
      </c>
      <c r="AM150" s="30" t="s">
        <v>123</v>
      </c>
    </row>
    <row r="151" spans="1:39" ht="15.75" thickBot="1" x14ac:dyDescent="0.3">
      <c r="A151" s="110"/>
      <c r="B151" s="2">
        <v>147</v>
      </c>
      <c r="C151" s="21" t="s">
        <v>61</v>
      </c>
      <c r="D151" s="32" t="s">
        <v>116</v>
      </c>
      <c r="E151" s="32" t="s">
        <v>117</v>
      </c>
      <c r="F151" s="30" t="s">
        <v>117</v>
      </c>
      <c r="G151" s="32" t="s">
        <v>116</v>
      </c>
      <c r="H151" s="30" t="s">
        <v>117</v>
      </c>
      <c r="I151" s="30" t="s">
        <v>117</v>
      </c>
      <c r="J151" s="30" t="s">
        <v>117</v>
      </c>
      <c r="K151" s="30" t="s">
        <v>117</v>
      </c>
      <c r="L151" s="30" t="s">
        <v>117</v>
      </c>
      <c r="M151" s="30" t="s">
        <v>117</v>
      </c>
      <c r="N151" s="30" t="s">
        <v>117</v>
      </c>
      <c r="O151" s="30" t="s">
        <v>117</v>
      </c>
      <c r="P151" s="30" t="s">
        <v>117</v>
      </c>
      <c r="Q151" s="30" t="s">
        <v>117</v>
      </c>
      <c r="R151" s="30" t="s">
        <v>117</v>
      </c>
      <c r="S151" s="30" t="s">
        <v>117</v>
      </c>
      <c r="T151" s="30" t="s">
        <v>117</v>
      </c>
      <c r="U151" s="30" t="s">
        <v>130</v>
      </c>
      <c r="V151" s="30" t="s">
        <v>117</v>
      </c>
      <c r="W151" s="30" t="s">
        <v>117</v>
      </c>
      <c r="X151" s="30" t="s">
        <v>117</v>
      </c>
      <c r="Y151" s="30" t="s">
        <v>117</v>
      </c>
      <c r="Z151" s="30" t="s">
        <v>117</v>
      </c>
      <c r="AA151" s="30" t="s">
        <v>117</v>
      </c>
      <c r="AB151" s="30" t="s">
        <v>117</v>
      </c>
      <c r="AC151" s="30" t="s">
        <v>117</v>
      </c>
      <c r="AD151" s="30" t="s">
        <v>117</v>
      </c>
      <c r="AE151" s="30" t="s">
        <v>117</v>
      </c>
      <c r="AF151" s="30" t="s">
        <v>117</v>
      </c>
      <c r="AG151" s="30" t="s">
        <v>117</v>
      </c>
      <c r="AH151" s="30" t="s">
        <v>117</v>
      </c>
      <c r="AI151" s="30" t="s">
        <v>117</v>
      </c>
      <c r="AJ151" s="30" t="s">
        <v>117</v>
      </c>
      <c r="AK151" s="30" t="s">
        <v>117</v>
      </c>
      <c r="AL151" s="30" t="s">
        <v>117</v>
      </c>
      <c r="AM151" s="30" t="s">
        <v>117</v>
      </c>
    </row>
    <row r="152" spans="1:39" ht="15.75" thickBot="1" x14ac:dyDescent="0.3">
      <c r="A152" s="110"/>
      <c r="B152" s="2">
        <v>148</v>
      </c>
      <c r="C152" s="21" t="s">
        <v>62</v>
      </c>
      <c r="D152" s="32" t="s">
        <v>116</v>
      </c>
      <c r="E152" s="32" t="s">
        <v>117</v>
      </c>
      <c r="F152" s="30" t="s">
        <v>117</v>
      </c>
      <c r="G152" s="32" t="s">
        <v>116</v>
      </c>
      <c r="H152" s="30" t="s">
        <v>117</v>
      </c>
      <c r="I152" s="30" t="s">
        <v>117</v>
      </c>
      <c r="J152" s="30" t="s">
        <v>117</v>
      </c>
      <c r="K152" s="30" t="s">
        <v>117</v>
      </c>
      <c r="L152" s="30" t="s">
        <v>117</v>
      </c>
      <c r="M152" s="30" t="s">
        <v>117</v>
      </c>
      <c r="N152" s="30" t="s">
        <v>117</v>
      </c>
      <c r="O152" s="30" t="s">
        <v>117</v>
      </c>
      <c r="P152" s="30" t="s">
        <v>117</v>
      </c>
      <c r="Q152" s="30" t="s">
        <v>117</v>
      </c>
      <c r="R152" s="30" t="s">
        <v>117</v>
      </c>
      <c r="S152" s="30" t="s">
        <v>117</v>
      </c>
      <c r="T152" s="30" t="s">
        <v>212</v>
      </c>
      <c r="U152" s="30" t="s">
        <v>117</v>
      </c>
      <c r="V152" s="30" t="s">
        <v>117</v>
      </c>
      <c r="W152" s="30" t="s">
        <v>117</v>
      </c>
      <c r="X152" s="30" t="s">
        <v>117</v>
      </c>
      <c r="Y152" s="30" t="s">
        <v>117</v>
      </c>
      <c r="Z152" s="30" t="s">
        <v>117</v>
      </c>
      <c r="AA152" s="30" t="s">
        <v>117</v>
      </c>
      <c r="AB152" s="30" t="s">
        <v>117</v>
      </c>
      <c r="AC152" s="30" t="s">
        <v>117</v>
      </c>
      <c r="AD152" s="30" t="s">
        <v>117</v>
      </c>
      <c r="AE152" s="30" t="s">
        <v>117</v>
      </c>
      <c r="AF152" s="30" t="s">
        <v>117</v>
      </c>
      <c r="AG152" s="30" t="s">
        <v>117</v>
      </c>
      <c r="AH152" s="30" t="s">
        <v>117</v>
      </c>
      <c r="AI152" s="30" t="s">
        <v>117</v>
      </c>
      <c r="AJ152" s="30" t="s">
        <v>117</v>
      </c>
      <c r="AK152" s="30" t="s">
        <v>117</v>
      </c>
      <c r="AL152" s="30" t="s">
        <v>117</v>
      </c>
      <c r="AM152" s="30" t="s">
        <v>117</v>
      </c>
    </row>
    <row r="153" spans="1:39" ht="15.75" thickBot="1" x14ac:dyDescent="0.3">
      <c r="A153" s="110"/>
      <c r="B153" s="2">
        <v>149</v>
      </c>
      <c r="C153" s="21" t="s">
        <v>103</v>
      </c>
      <c r="D153" s="32" t="s">
        <v>116</v>
      </c>
      <c r="E153" s="32" t="s">
        <v>117</v>
      </c>
      <c r="F153" s="30" t="s">
        <v>117</v>
      </c>
      <c r="G153" s="32" t="s">
        <v>116</v>
      </c>
      <c r="H153" s="30" t="s">
        <v>117</v>
      </c>
      <c r="I153" s="30" t="s">
        <v>117</v>
      </c>
      <c r="J153" s="30" t="s">
        <v>117</v>
      </c>
      <c r="K153" s="30" t="s">
        <v>117</v>
      </c>
      <c r="L153" s="30" t="s">
        <v>117</v>
      </c>
      <c r="M153" s="30" t="s">
        <v>117</v>
      </c>
      <c r="N153" s="30" t="s">
        <v>117</v>
      </c>
      <c r="O153" s="30" t="s">
        <v>117</v>
      </c>
      <c r="P153" s="30" t="s">
        <v>117</v>
      </c>
      <c r="Q153" s="30" t="s">
        <v>117</v>
      </c>
      <c r="R153" s="30" t="s">
        <v>117</v>
      </c>
      <c r="S153" s="30" t="s">
        <v>117</v>
      </c>
      <c r="T153" s="30" t="s">
        <v>117</v>
      </c>
      <c r="U153" s="30" t="s">
        <v>117</v>
      </c>
      <c r="V153" s="30" t="s">
        <v>117</v>
      </c>
      <c r="W153" s="30" t="s">
        <v>117</v>
      </c>
      <c r="X153" s="30" t="s">
        <v>117</v>
      </c>
      <c r="Y153" s="30" t="s">
        <v>117</v>
      </c>
      <c r="Z153" s="30" t="s">
        <v>117</v>
      </c>
      <c r="AA153" s="30" t="s">
        <v>117</v>
      </c>
      <c r="AB153" s="30" t="s">
        <v>117</v>
      </c>
      <c r="AC153" s="30" t="s">
        <v>117</v>
      </c>
      <c r="AD153" s="30" t="s">
        <v>117</v>
      </c>
      <c r="AE153" s="30" t="s">
        <v>117</v>
      </c>
      <c r="AF153" s="30" t="s">
        <v>117</v>
      </c>
      <c r="AG153" s="30" t="s">
        <v>117</v>
      </c>
      <c r="AH153" s="30" t="s">
        <v>117</v>
      </c>
      <c r="AI153" s="30" t="s">
        <v>117</v>
      </c>
      <c r="AJ153" s="30" t="s">
        <v>117</v>
      </c>
      <c r="AK153" s="30" t="s">
        <v>117</v>
      </c>
      <c r="AL153" s="30" t="s">
        <v>117</v>
      </c>
      <c r="AM153" s="30" t="s">
        <v>117</v>
      </c>
    </row>
    <row r="154" spans="1:39" ht="15.75" thickBot="1" x14ac:dyDescent="0.3">
      <c r="A154" s="110"/>
      <c r="B154" s="2">
        <v>150</v>
      </c>
      <c r="C154" s="21" t="s">
        <v>104</v>
      </c>
      <c r="D154" s="32" t="s">
        <v>116</v>
      </c>
      <c r="E154" s="32" t="s">
        <v>117</v>
      </c>
      <c r="F154" s="30" t="s">
        <v>117</v>
      </c>
      <c r="G154" s="32" t="s">
        <v>116</v>
      </c>
      <c r="H154" s="30" t="s">
        <v>117</v>
      </c>
      <c r="I154" s="30" t="s">
        <v>117</v>
      </c>
      <c r="J154" s="30" t="s">
        <v>117</v>
      </c>
      <c r="K154" s="30" t="s">
        <v>117</v>
      </c>
      <c r="L154" s="30" t="s">
        <v>117</v>
      </c>
      <c r="M154" s="30" t="s">
        <v>117</v>
      </c>
      <c r="N154" s="30" t="s">
        <v>117</v>
      </c>
      <c r="O154" s="30" t="s">
        <v>117</v>
      </c>
      <c r="P154" s="30" t="s">
        <v>117</v>
      </c>
      <c r="Q154" s="30" t="s">
        <v>117</v>
      </c>
      <c r="R154" s="30" t="s">
        <v>117</v>
      </c>
      <c r="S154" s="30" t="s">
        <v>117</v>
      </c>
      <c r="T154" s="30" t="s">
        <v>117</v>
      </c>
      <c r="U154" s="30" t="s">
        <v>117</v>
      </c>
      <c r="V154" s="30" t="s">
        <v>117</v>
      </c>
      <c r="W154" s="30" t="s">
        <v>117</v>
      </c>
      <c r="X154" s="30" t="s">
        <v>117</v>
      </c>
      <c r="Y154" s="30" t="s">
        <v>117</v>
      </c>
      <c r="Z154" s="30" t="s">
        <v>117</v>
      </c>
      <c r="AA154" s="30" t="s">
        <v>117</v>
      </c>
      <c r="AB154" s="30" t="s">
        <v>117</v>
      </c>
      <c r="AC154" s="30" t="s">
        <v>117</v>
      </c>
      <c r="AD154" s="30" t="s">
        <v>117</v>
      </c>
      <c r="AE154" s="30" t="s">
        <v>117</v>
      </c>
      <c r="AF154" s="30" t="s">
        <v>117</v>
      </c>
      <c r="AG154" s="30" t="s">
        <v>117</v>
      </c>
      <c r="AH154" s="30" t="s">
        <v>117</v>
      </c>
      <c r="AI154" s="30" t="s">
        <v>117</v>
      </c>
      <c r="AJ154" s="30" t="s">
        <v>117</v>
      </c>
      <c r="AK154" s="30" t="s">
        <v>117</v>
      </c>
      <c r="AL154" s="30" t="s">
        <v>117</v>
      </c>
      <c r="AM154" s="30" t="s">
        <v>117</v>
      </c>
    </row>
    <row r="155" spans="1:39" ht="15.75" thickBot="1" x14ac:dyDescent="0.3">
      <c r="A155" s="110"/>
      <c r="B155" s="2">
        <v>151</v>
      </c>
      <c r="C155" s="21" t="s">
        <v>105</v>
      </c>
      <c r="D155" s="32" t="s">
        <v>116</v>
      </c>
      <c r="E155" s="32" t="s">
        <v>117</v>
      </c>
      <c r="F155" s="30" t="s">
        <v>117</v>
      </c>
      <c r="G155" s="32" t="s">
        <v>116</v>
      </c>
      <c r="H155" s="30" t="s">
        <v>117</v>
      </c>
      <c r="I155" s="30" t="s">
        <v>117</v>
      </c>
      <c r="J155" s="30" t="s">
        <v>117</v>
      </c>
      <c r="K155" s="30" t="s">
        <v>117</v>
      </c>
      <c r="L155" s="30" t="s">
        <v>117</v>
      </c>
      <c r="M155" s="30" t="s">
        <v>117</v>
      </c>
      <c r="N155" s="30" t="s">
        <v>117</v>
      </c>
      <c r="O155" s="41" t="s">
        <v>117</v>
      </c>
      <c r="P155" s="41" t="s">
        <v>117</v>
      </c>
      <c r="Q155" s="30" t="s">
        <v>117</v>
      </c>
      <c r="R155" s="30" t="s">
        <v>117</v>
      </c>
      <c r="S155" s="30" t="s">
        <v>117</v>
      </c>
      <c r="T155" s="30" t="s">
        <v>117</v>
      </c>
      <c r="U155" s="30" t="s">
        <v>117</v>
      </c>
      <c r="V155" s="30" t="s">
        <v>117</v>
      </c>
      <c r="W155" s="30" t="s">
        <v>117</v>
      </c>
      <c r="X155" s="30" t="s">
        <v>117</v>
      </c>
      <c r="Y155" s="30" t="s">
        <v>117</v>
      </c>
      <c r="Z155" s="30" t="s">
        <v>117</v>
      </c>
      <c r="AA155" s="30" t="s">
        <v>120</v>
      </c>
      <c r="AB155" s="30" t="s">
        <v>117</v>
      </c>
      <c r="AC155" s="30" t="s">
        <v>117</v>
      </c>
      <c r="AD155" s="30" t="s">
        <v>117</v>
      </c>
      <c r="AE155" s="30" t="s">
        <v>117</v>
      </c>
      <c r="AF155" s="30" t="s">
        <v>117</v>
      </c>
      <c r="AG155" s="30" t="s">
        <v>117</v>
      </c>
      <c r="AH155" s="30" t="s">
        <v>117</v>
      </c>
      <c r="AI155" s="30" t="s">
        <v>117</v>
      </c>
      <c r="AJ155" s="30" t="s">
        <v>117</v>
      </c>
      <c r="AK155" s="30" t="s">
        <v>117</v>
      </c>
      <c r="AL155" s="30" t="s">
        <v>117</v>
      </c>
      <c r="AM155" s="30" t="s">
        <v>117</v>
      </c>
    </row>
    <row r="156" spans="1:39" ht="15.75" thickBot="1" x14ac:dyDescent="0.3">
      <c r="A156" s="111"/>
      <c r="B156" s="2">
        <v>152</v>
      </c>
      <c r="C156" s="26" t="s">
        <v>78</v>
      </c>
      <c r="D156" s="33" t="s">
        <v>116</v>
      </c>
      <c r="E156" s="33" t="s">
        <v>117</v>
      </c>
      <c r="F156" s="33" t="s">
        <v>117</v>
      </c>
      <c r="G156" s="33" t="s">
        <v>116</v>
      </c>
      <c r="H156" s="33" t="s">
        <v>117</v>
      </c>
      <c r="I156" s="33" t="s">
        <v>117</v>
      </c>
      <c r="J156" s="33" t="s">
        <v>117</v>
      </c>
      <c r="K156" s="33" t="s">
        <v>117</v>
      </c>
      <c r="L156" s="33" t="s">
        <v>117</v>
      </c>
      <c r="M156" s="33" t="s">
        <v>117</v>
      </c>
      <c r="N156" s="33" t="s">
        <v>117</v>
      </c>
      <c r="O156" s="33" t="s">
        <v>220</v>
      </c>
      <c r="P156" s="33" t="s">
        <v>117</v>
      </c>
      <c r="Q156" s="33" t="s">
        <v>117</v>
      </c>
      <c r="R156" s="33" t="s">
        <v>117</v>
      </c>
      <c r="S156" s="33" t="s">
        <v>117</v>
      </c>
      <c r="T156" s="33" t="s">
        <v>117</v>
      </c>
      <c r="U156" s="33" t="s">
        <v>117</v>
      </c>
      <c r="V156" s="33" t="s">
        <v>117</v>
      </c>
      <c r="W156" s="33" t="s">
        <v>117</v>
      </c>
      <c r="X156" s="33" t="s">
        <v>117</v>
      </c>
      <c r="Y156" s="33" t="s">
        <v>117</v>
      </c>
      <c r="Z156" s="33" t="s">
        <v>117</v>
      </c>
      <c r="AA156" s="33" t="s">
        <v>117</v>
      </c>
      <c r="AB156" s="33" t="s">
        <v>117</v>
      </c>
      <c r="AC156" s="33" t="s">
        <v>117</v>
      </c>
      <c r="AD156" s="33" t="s">
        <v>117</v>
      </c>
      <c r="AE156" s="33" t="s">
        <v>117</v>
      </c>
      <c r="AF156" s="33" t="s">
        <v>117</v>
      </c>
      <c r="AG156" s="33" t="s">
        <v>117</v>
      </c>
      <c r="AH156" s="33" t="s">
        <v>117</v>
      </c>
      <c r="AI156" s="33" t="s">
        <v>117</v>
      </c>
      <c r="AJ156" s="33" t="s">
        <v>117</v>
      </c>
      <c r="AK156" s="33" t="s">
        <v>117</v>
      </c>
      <c r="AL156" s="33" t="s">
        <v>117</v>
      </c>
      <c r="AM156" s="33" t="s">
        <v>117</v>
      </c>
    </row>
    <row r="157" spans="1:39" ht="15.75" thickBot="1" x14ac:dyDescent="0.3">
      <c r="A157" s="112" t="s">
        <v>109</v>
      </c>
      <c r="B157" s="2">
        <v>153</v>
      </c>
      <c r="C157" s="25" t="s">
        <v>110</v>
      </c>
      <c r="D157" s="31" t="s">
        <v>116</v>
      </c>
      <c r="E157" s="31" t="s">
        <v>117</v>
      </c>
      <c r="F157" s="29" t="s">
        <v>117</v>
      </c>
      <c r="G157" s="31" t="s">
        <v>116</v>
      </c>
      <c r="H157" s="29" t="s">
        <v>117</v>
      </c>
      <c r="I157" s="29" t="s">
        <v>117</v>
      </c>
      <c r="J157" s="29" t="s">
        <v>117</v>
      </c>
      <c r="K157" s="29" t="s">
        <v>117</v>
      </c>
      <c r="L157" s="29" t="s">
        <v>117</v>
      </c>
      <c r="M157" s="29" t="s">
        <v>117</v>
      </c>
      <c r="N157" s="29" t="s">
        <v>117</v>
      </c>
      <c r="O157" s="29" t="s">
        <v>117</v>
      </c>
      <c r="P157" s="29" t="s">
        <v>117</v>
      </c>
      <c r="Q157" s="29" t="s">
        <v>118</v>
      </c>
      <c r="R157" s="29" t="s">
        <v>117</v>
      </c>
      <c r="S157" s="29" t="s">
        <v>117</v>
      </c>
      <c r="T157" s="29" t="s">
        <v>117</v>
      </c>
      <c r="U157" s="29" t="s">
        <v>117</v>
      </c>
      <c r="V157" s="29" t="s">
        <v>117</v>
      </c>
      <c r="W157" s="29" t="s">
        <v>117</v>
      </c>
      <c r="X157" s="29" t="s">
        <v>117</v>
      </c>
      <c r="Y157" s="29" t="s">
        <v>117</v>
      </c>
      <c r="Z157" s="29" t="s">
        <v>117</v>
      </c>
      <c r="AA157" s="29" t="s">
        <v>117</v>
      </c>
      <c r="AB157" s="29" t="s">
        <v>117</v>
      </c>
      <c r="AC157" s="29" t="s">
        <v>117</v>
      </c>
      <c r="AD157" s="29" t="s">
        <v>117</v>
      </c>
      <c r="AE157" s="29" t="s">
        <v>117</v>
      </c>
      <c r="AF157" s="29" t="s">
        <v>117</v>
      </c>
      <c r="AG157" s="29" t="s">
        <v>117</v>
      </c>
      <c r="AH157" s="29" t="s">
        <v>117</v>
      </c>
      <c r="AI157" s="29" t="s">
        <v>117</v>
      </c>
      <c r="AJ157" s="29" t="s">
        <v>117</v>
      </c>
      <c r="AK157" s="29" t="s">
        <v>117</v>
      </c>
      <c r="AL157" s="29" t="s">
        <v>117</v>
      </c>
      <c r="AM157" s="29" t="s">
        <v>117</v>
      </c>
    </row>
    <row r="158" spans="1:39" ht="15.75" thickBot="1" x14ac:dyDescent="0.3">
      <c r="A158" s="110"/>
      <c r="B158" s="2">
        <v>154</v>
      </c>
      <c r="C158" s="20" t="s">
        <v>91</v>
      </c>
      <c r="D158" s="32" t="s">
        <v>116</v>
      </c>
      <c r="E158" s="32" t="s">
        <v>117</v>
      </c>
      <c r="F158" s="30" t="s">
        <v>117</v>
      </c>
      <c r="G158" s="32" t="s">
        <v>116</v>
      </c>
      <c r="H158" s="30" t="s">
        <v>117</v>
      </c>
      <c r="I158" s="30" t="s">
        <v>117</v>
      </c>
      <c r="J158" s="30" t="s">
        <v>117</v>
      </c>
      <c r="K158" s="30" t="s">
        <v>117</v>
      </c>
      <c r="L158" s="30" t="s">
        <v>117</v>
      </c>
      <c r="M158" s="30" t="s">
        <v>117</v>
      </c>
      <c r="N158" s="30" t="s">
        <v>117</v>
      </c>
      <c r="O158" s="30" t="s">
        <v>117</v>
      </c>
      <c r="P158" s="30" t="s">
        <v>117</v>
      </c>
      <c r="Q158" s="30" t="s">
        <v>117</v>
      </c>
      <c r="R158" s="30" t="s">
        <v>117</v>
      </c>
      <c r="S158" s="30" t="s">
        <v>117</v>
      </c>
      <c r="T158" s="30" t="s">
        <v>117</v>
      </c>
      <c r="U158" s="39" t="s">
        <v>117</v>
      </c>
      <c r="V158" s="39" t="s">
        <v>117</v>
      </c>
      <c r="W158" s="39" t="s">
        <v>117</v>
      </c>
      <c r="X158" s="39" t="s">
        <v>117</v>
      </c>
      <c r="Y158" s="39" t="s">
        <v>117</v>
      </c>
      <c r="Z158" s="39" t="s">
        <v>117</v>
      </c>
      <c r="AA158" s="39" t="s">
        <v>117</v>
      </c>
      <c r="AB158" s="39" t="s">
        <v>117</v>
      </c>
      <c r="AC158" s="39" t="s">
        <v>117</v>
      </c>
      <c r="AD158" s="39" t="s">
        <v>117</v>
      </c>
      <c r="AE158" s="39" t="s">
        <v>117</v>
      </c>
      <c r="AF158" s="39" t="s">
        <v>117</v>
      </c>
      <c r="AG158" s="39" t="s">
        <v>117</v>
      </c>
      <c r="AH158" s="39" t="s">
        <v>117</v>
      </c>
      <c r="AI158" s="39" t="s">
        <v>117</v>
      </c>
      <c r="AJ158" s="39" t="s">
        <v>117</v>
      </c>
      <c r="AK158" s="39" t="s">
        <v>117</v>
      </c>
      <c r="AL158" s="39" t="s">
        <v>117</v>
      </c>
      <c r="AM158" s="39" t="s">
        <v>117</v>
      </c>
    </row>
    <row r="159" spans="1:39" ht="15.75" thickBot="1" x14ac:dyDescent="0.3">
      <c r="A159" s="110"/>
      <c r="B159" s="2">
        <v>155</v>
      </c>
      <c r="C159" s="21" t="s">
        <v>45</v>
      </c>
      <c r="D159" s="32" t="s">
        <v>116</v>
      </c>
      <c r="E159" s="32" t="s">
        <v>117</v>
      </c>
      <c r="F159" s="30" t="s">
        <v>117</v>
      </c>
      <c r="G159" s="32" t="s">
        <v>116</v>
      </c>
      <c r="H159" s="30" t="s">
        <v>117</v>
      </c>
      <c r="I159" s="30" t="s">
        <v>117</v>
      </c>
      <c r="J159" s="30" t="s">
        <v>117</v>
      </c>
      <c r="K159" s="30" t="s">
        <v>117</v>
      </c>
      <c r="L159" s="30" t="s">
        <v>117</v>
      </c>
      <c r="M159" s="30" t="s">
        <v>117</v>
      </c>
      <c r="N159" s="30" t="s">
        <v>117</v>
      </c>
      <c r="O159" s="30" t="s">
        <v>117</v>
      </c>
      <c r="P159" s="30" t="s">
        <v>117</v>
      </c>
      <c r="Q159" s="30" t="s">
        <v>117</v>
      </c>
      <c r="R159" s="30" t="s">
        <v>117</v>
      </c>
      <c r="S159" s="30" t="s">
        <v>117</v>
      </c>
      <c r="T159" s="30" t="s">
        <v>117</v>
      </c>
      <c r="U159" s="30" t="s">
        <v>117</v>
      </c>
      <c r="V159" s="30" t="s">
        <v>117</v>
      </c>
      <c r="W159" s="30" t="s">
        <v>117</v>
      </c>
      <c r="X159" s="30" t="s">
        <v>117</v>
      </c>
      <c r="Y159" s="30" t="s">
        <v>117</v>
      </c>
      <c r="Z159" s="30" t="s">
        <v>117</v>
      </c>
      <c r="AA159" s="30" t="s">
        <v>117</v>
      </c>
      <c r="AB159" s="30" t="s">
        <v>117</v>
      </c>
      <c r="AC159" s="30" t="s">
        <v>117</v>
      </c>
      <c r="AD159" s="30" t="s">
        <v>117</v>
      </c>
      <c r="AE159" s="30" t="s">
        <v>117</v>
      </c>
      <c r="AF159" s="30" t="s">
        <v>117</v>
      </c>
      <c r="AG159" s="30" t="s">
        <v>117</v>
      </c>
      <c r="AH159" s="30" t="s">
        <v>117</v>
      </c>
      <c r="AI159" s="30" t="s">
        <v>117</v>
      </c>
      <c r="AJ159" s="30" t="s">
        <v>117</v>
      </c>
      <c r="AK159" s="30" t="s">
        <v>117</v>
      </c>
      <c r="AL159" s="30" t="s">
        <v>117</v>
      </c>
      <c r="AM159" s="30" t="s">
        <v>117</v>
      </c>
    </row>
    <row r="160" spans="1:39" ht="15.75" thickBot="1" x14ac:dyDescent="0.3">
      <c r="A160" s="110"/>
      <c r="B160" s="2">
        <v>156</v>
      </c>
      <c r="C160" s="21" t="s">
        <v>46</v>
      </c>
      <c r="D160" s="32" t="s">
        <v>116</v>
      </c>
      <c r="E160" s="32" t="s">
        <v>117</v>
      </c>
      <c r="F160" s="30" t="s">
        <v>117</v>
      </c>
      <c r="G160" s="32" t="s">
        <v>116</v>
      </c>
      <c r="H160" s="30" t="s">
        <v>117</v>
      </c>
      <c r="I160" s="30" t="s">
        <v>117</v>
      </c>
      <c r="J160" s="30" t="s">
        <v>117</v>
      </c>
      <c r="K160" s="30" t="s">
        <v>117</v>
      </c>
      <c r="L160" s="30" t="s">
        <v>117</v>
      </c>
      <c r="M160" s="30" t="s">
        <v>117</v>
      </c>
      <c r="N160" s="30" t="s">
        <v>117</v>
      </c>
      <c r="O160" s="30" t="s">
        <v>117</v>
      </c>
      <c r="P160" s="30" t="s">
        <v>117</v>
      </c>
      <c r="Q160" s="30" t="s">
        <v>117</v>
      </c>
      <c r="R160" s="30" t="s">
        <v>117</v>
      </c>
      <c r="S160" s="30" t="s">
        <v>117</v>
      </c>
      <c r="T160" s="30" t="s">
        <v>117</v>
      </c>
      <c r="U160" s="30" t="s">
        <v>117</v>
      </c>
      <c r="V160" s="30" t="s">
        <v>117</v>
      </c>
      <c r="W160" s="30" t="s">
        <v>117</v>
      </c>
      <c r="X160" s="30" t="s">
        <v>117</v>
      </c>
      <c r="Y160" s="30" t="s">
        <v>117</v>
      </c>
      <c r="Z160" s="30" t="s">
        <v>117</v>
      </c>
      <c r="AA160" s="30" t="s">
        <v>117</v>
      </c>
      <c r="AB160" s="30" t="s">
        <v>117</v>
      </c>
      <c r="AC160" s="30" t="s">
        <v>117</v>
      </c>
      <c r="AD160" s="30" t="s">
        <v>117</v>
      </c>
      <c r="AE160" s="30" t="s">
        <v>117</v>
      </c>
      <c r="AF160" s="30" t="s">
        <v>117</v>
      </c>
      <c r="AG160" s="30" t="s">
        <v>117</v>
      </c>
      <c r="AH160" s="30" t="s">
        <v>117</v>
      </c>
      <c r="AI160" s="30" t="s">
        <v>117</v>
      </c>
      <c r="AJ160" s="30" t="s">
        <v>117</v>
      </c>
      <c r="AK160" s="30" t="s">
        <v>117</v>
      </c>
      <c r="AL160" s="30" t="s">
        <v>117</v>
      </c>
      <c r="AM160" s="30" t="s">
        <v>117</v>
      </c>
    </row>
    <row r="161" spans="1:39" ht="15.75" thickBot="1" x14ac:dyDescent="0.3">
      <c r="A161" s="110"/>
      <c r="B161" s="2">
        <v>157</v>
      </c>
      <c r="C161" s="21" t="s">
        <v>47</v>
      </c>
      <c r="D161" s="32" t="s">
        <v>116</v>
      </c>
      <c r="E161" s="32" t="s">
        <v>117</v>
      </c>
      <c r="F161" s="30" t="s">
        <v>117</v>
      </c>
      <c r="G161" s="32" t="s">
        <v>116</v>
      </c>
      <c r="H161" s="30" t="s">
        <v>117</v>
      </c>
      <c r="I161" s="30" t="s">
        <v>117</v>
      </c>
      <c r="J161" s="30" t="s">
        <v>117</v>
      </c>
      <c r="K161" s="30" t="s">
        <v>117</v>
      </c>
      <c r="L161" s="30" t="s">
        <v>117</v>
      </c>
      <c r="M161" s="30" t="s">
        <v>117</v>
      </c>
      <c r="N161" s="30" t="s">
        <v>117</v>
      </c>
      <c r="O161" s="30" t="s">
        <v>117</v>
      </c>
      <c r="P161" s="30" t="s">
        <v>117</v>
      </c>
      <c r="Q161" s="30" t="s">
        <v>117</v>
      </c>
      <c r="R161" s="30" t="s">
        <v>117</v>
      </c>
      <c r="S161" s="30" t="s">
        <v>117</v>
      </c>
      <c r="T161" s="30" t="s">
        <v>117</v>
      </c>
      <c r="U161" s="30" t="s">
        <v>117</v>
      </c>
      <c r="V161" s="30" t="s">
        <v>117</v>
      </c>
      <c r="W161" s="30" t="s">
        <v>117</v>
      </c>
      <c r="X161" s="30" t="s">
        <v>117</v>
      </c>
      <c r="Y161" s="30" t="s">
        <v>117</v>
      </c>
      <c r="Z161" s="30" t="s">
        <v>117</v>
      </c>
      <c r="AA161" s="30" t="s">
        <v>117</v>
      </c>
      <c r="AB161" s="30" t="s">
        <v>117</v>
      </c>
      <c r="AC161" s="30" t="s">
        <v>117</v>
      </c>
      <c r="AD161" s="30" t="s">
        <v>117</v>
      </c>
      <c r="AE161" s="30" t="s">
        <v>117</v>
      </c>
      <c r="AF161" s="30" t="s">
        <v>117</v>
      </c>
      <c r="AG161" s="30" t="s">
        <v>117</v>
      </c>
      <c r="AH161" s="30" t="s">
        <v>117</v>
      </c>
      <c r="AI161" s="30" t="s">
        <v>117</v>
      </c>
      <c r="AJ161" s="30" t="s">
        <v>117</v>
      </c>
      <c r="AK161" s="30" t="s">
        <v>117</v>
      </c>
      <c r="AL161" s="30" t="s">
        <v>117</v>
      </c>
      <c r="AM161" s="30" t="s">
        <v>117</v>
      </c>
    </row>
    <row r="162" spans="1:39" ht="15.75" thickBot="1" x14ac:dyDescent="0.3">
      <c r="A162" s="110"/>
      <c r="B162" s="2">
        <v>158</v>
      </c>
      <c r="C162" s="21" t="s">
        <v>51</v>
      </c>
      <c r="D162" s="32" t="s">
        <v>116</v>
      </c>
      <c r="E162" s="32" t="s">
        <v>117</v>
      </c>
      <c r="F162" s="30" t="s">
        <v>117</v>
      </c>
      <c r="G162" s="32" t="s">
        <v>116</v>
      </c>
      <c r="H162" s="30" t="s">
        <v>117</v>
      </c>
      <c r="I162" s="30" t="s">
        <v>117</v>
      </c>
      <c r="J162" s="30" t="s">
        <v>117</v>
      </c>
      <c r="K162" s="30" t="s">
        <v>117</v>
      </c>
      <c r="L162" s="30" t="s">
        <v>117</v>
      </c>
      <c r="M162" s="30" t="s">
        <v>117</v>
      </c>
      <c r="N162" s="30" t="s">
        <v>117</v>
      </c>
      <c r="O162" s="30" t="s">
        <v>117</v>
      </c>
      <c r="P162" s="30" t="s">
        <v>117</v>
      </c>
      <c r="Q162" s="30" t="s">
        <v>117</v>
      </c>
      <c r="R162" s="30" t="s">
        <v>117</v>
      </c>
      <c r="S162" s="30" t="s">
        <v>117</v>
      </c>
      <c r="T162" s="30" t="s">
        <v>117</v>
      </c>
      <c r="U162" s="30" t="s">
        <v>117</v>
      </c>
      <c r="V162" s="30" t="s">
        <v>117</v>
      </c>
      <c r="W162" s="30" t="s">
        <v>117</v>
      </c>
      <c r="X162" s="30" t="s">
        <v>117</v>
      </c>
      <c r="Y162" s="30" t="s">
        <v>117</v>
      </c>
      <c r="Z162" s="30" t="s">
        <v>117</v>
      </c>
      <c r="AA162" s="30" t="s">
        <v>117</v>
      </c>
      <c r="AB162" s="30" t="s">
        <v>117</v>
      </c>
      <c r="AC162" s="30" t="s">
        <v>117</v>
      </c>
      <c r="AD162" s="30" t="s">
        <v>117</v>
      </c>
      <c r="AE162" s="30" t="s">
        <v>117</v>
      </c>
      <c r="AF162" s="30" t="s">
        <v>117</v>
      </c>
      <c r="AG162" s="30" t="s">
        <v>117</v>
      </c>
      <c r="AH162" s="30" t="s">
        <v>117</v>
      </c>
      <c r="AI162" s="30" t="s">
        <v>117</v>
      </c>
      <c r="AJ162" s="30" t="s">
        <v>117</v>
      </c>
      <c r="AK162" s="30" t="s">
        <v>117</v>
      </c>
      <c r="AL162" s="30" t="s">
        <v>117</v>
      </c>
      <c r="AM162" s="30" t="s">
        <v>117</v>
      </c>
    </row>
    <row r="163" spans="1:39" ht="15.75" thickBot="1" x14ac:dyDescent="0.3">
      <c r="A163" s="110"/>
      <c r="B163" s="2">
        <v>159</v>
      </c>
      <c r="C163" s="21" t="s">
        <v>59</v>
      </c>
      <c r="D163" s="32" t="s">
        <v>116</v>
      </c>
      <c r="E163" s="32" t="s">
        <v>117</v>
      </c>
      <c r="F163" s="30" t="s">
        <v>117</v>
      </c>
      <c r="G163" s="32" t="s">
        <v>116</v>
      </c>
      <c r="H163" s="30" t="s">
        <v>117</v>
      </c>
      <c r="I163" s="30" t="s">
        <v>117</v>
      </c>
      <c r="J163" s="30" t="s">
        <v>117</v>
      </c>
      <c r="K163" s="31" t="s">
        <v>117</v>
      </c>
      <c r="L163" s="30" t="s">
        <v>123</v>
      </c>
      <c r="M163" s="30" t="s">
        <v>117</v>
      </c>
      <c r="N163" s="30" t="s">
        <v>117</v>
      </c>
      <c r="O163" s="30" t="s">
        <v>219</v>
      </c>
      <c r="P163" s="30" t="s">
        <v>117</v>
      </c>
      <c r="Q163" s="30" t="s">
        <v>117</v>
      </c>
      <c r="R163" s="30" t="s">
        <v>117</v>
      </c>
      <c r="S163" s="30" t="s">
        <v>117</v>
      </c>
      <c r="T163" s="30" t="s">
        <v>117</v>
      </c>
      <c r="U163" s="30" t="s">
        <v>117</v>
      </c>
      <c r="V163" s="30" t="s">
        <v>117</v>
      </c>
      <c r="W163" s="30" t="s">
        <v>117</v>
      </c>
      <c r="X163" s="30" t="s">
        <v>117</v>
      </c>
      <c r="Y163" s="30" t="s">
        <v>117</v>
      </c>
      <c r="Z163" s="30" t="s">
        <v>117</v>
      </c>
      <c r="AA163" s="30" t="s">
        <v>117</v>
      </c>
      <c r="AB163" s="30" t="s">
        <v>117</v>
      </c>
      <c r="AC163" s="30" t="s">
        <v>117</v>
      </c>
      <c r="AD163" s="30" t="s">
        <v>117</v>
      </c>
      <c r="AE163" s="30" t="s">
        <v>117</v>
      </c>
      <c r="AF163" s="30" t="s">
        <v>117</v>
      </c>
      <c r="AG163" s="30" t="s">
        <v>117</v>
      </c>
      <c r="AH163" s="30" t="s">
        <v>117</v>
      </c>
      <c r="AI163" s="30" t="s">
        <v>117</v>
      </c>
      <c r="AJ163" s="30" t="s">
        <v>117</v>
      </c>
      <c r="AK163" s="30" t="s">
        <v>117</v>
      </c>
      <c r="AL163" s="30" t="s">
        <v>117</v>
      </c>
      <c r="AM163" s="30" t="s">
        <v>117</v>
      </c>
    </row>
    <row r="164" spans="1:39" ht="15.75" thickBot="1" x14ac:dyDescent="0.3">
      <c r="A164" s="110"/>
      <c r="B164" s="2">
        <v>160</v>
      </c>
      <c r="C164" s="21" t="s">
        <v>61</v>
      </c>
      <c r="D164" s="32" t="s">
        <v>116</v>
      </c>
      <c r="E164" s="32" t="s">
        <v>117</v>
      </c>
      <c r="F164" s="30" t="s">
        <v>117</v>
      </c>
      <c r="G164" s="32" t="s">
        <v>116</v>
      </c>
      <c r="H164" s="30" t="s">
        <v>117</v>
      </c>
      <c r="I164" s="30" t="s">
        <v>117</v>
      </c>
      <c r="J164" s="30" t="s">
        <v>117</v>
      </c>
      <c r="K164" s="30" t="s">
        <v>117</v>
      </c>
      <c r="L164" s="30" t="s">
        <v>117</v>
      </c>
      <c r="M164" s="30" t="s">
        <v>117</v>
      </c>
      <c r="N164" s="30" t="s">
        <v>117</v>
      </c>
      <c r="O164" s="30" t="s">
        <v>117</v>
      </c>
      <c r="P164" s="30" t="s">
        <v>117</v>
      </c>
      <c r="Q164" s="30" t="s">
        <v>117</v>
      </c>
      <c r="R164" s="30" t="s">
        <v>117</v>
      </c>
      <c r="S164" s="30" t="s">
        <v>117</v>
      </c>
      <c r="T164" s="30" t="s">
        <v>117</v>
      </c>
      <c r="U164" s="30" t="s">
        <v>117</v>
      </c>
      <c r="V164" s="30" t="s">
        <v>117</v>
      </c>
      <c r="W164" s="30" t="s">
        <v>117</v>
      </c>
      <c r="X164" s="30" t="s">
        <v>117</v>
      </c>
      <c r="Y164" s="30" t="s">
        <v>117</v>
      </c>
      <c r="Z164" s="30" t="s">
        <v>117</v>
      </c>
      <c r="AA164" s="30" t="s">
        <v>117</v>
      </c>
      <c r="AB164" s="30" t="s">
        <v>117</v>
      </c>
      <c r="AC164" s="30" t="s">
        <v>117</v>
      </c>
      <c r="AD164" s="30" t="s">
        <v>117</v>
      </c>
      <c r="AE164" s="30" t="s">
        <v>117</v>
      </c>
      <c r="AF164" s="133" t="s">
        <v>117</v>
      </c>
      <c r="AG164" s="30" t="s">
        <v>117</v>
      </c>
      <c r="AH164" s="30" t="s">
        <v>117</v>
      </c>
      <c r="AI164" s="30" t="s">
        <v>117</v>
      </c>
      <c r="AJ164" s="30" t="s">
        <v>117</v>
      </c>
      <c r="AK164" s="30" t="s">
        <v>117</v>
      </c>
      <c r="AL164" s="30" t="s">
        <v>117</v>
      </c>
      <c r="AM164" s="30" t="s">
        <v>117</v>
      </c>
    </row>
    <row r="165" spans="1:39" ht="15.75" thickBot="1" x14ac:dyDescent="0.3">
      <c r="A165" s="110"/>
      <c r="B165" s="2">
        <v>161</v>
      </c>
      <c r="C165" s="21" t="s">
        <v>62</v>
      </c>
      <c r="D165" s="32" t="s">
        <v>116</v>
      </c>
      <c r="E165" s="32" t="s">
        <v>117</v>
      </c>
      <c r="F165" s="30" t="s">
        <v>117</v>
      </c>
      <c r="G165" s="102" t="s">
        <v>125</v>
      </c>
      <c r="H165" s="30" t="s">
        <v>117</v>
      </c>
      <c r="I165" s="30" t="s">
        <v>117</v>
      </c>
      <c r="J165" s="30" t="s">
        <v>117</v>
      </c>
      <c r="K165" s="30" t="s">
        <v>117</v>
      </c>
      <c r="L165" s="30" t="s">
        <v>117</v>
      </c>
      <c r="M165" s="30" t="s">
        <v>117</v>
      </c>
      <c r="N165" s="30" t="s">
        <v>117</v>
      </c>
      <c r="O165" s="30" t="s">
        <v>117</v>
      </c>
      <c r="P165" s="30" t="s">
        <v>117</v>
      </c>
      <c r="Q165" s="30" t="s">
        <v>117</v>
      </c>
      <c r="R165" s="30" t="s">
        <v>117</v>
      </c>
      <c r="S165" s="30" t="s">
        <v>117</v>
      </c>
      <c r="T165" s="30" t="s">
        <v>212</v>
      </c>
      <c r="U165" s="30" t="s">
        <v>117</v>
      </c>
      <c r="V165" s="30" t="s">
        <v>117</v>
      </c>
      <c r="W165" s="30" t="s">
        <v>117</v>
      </c>
      <c r="X165" s="30" t="s">
        <v>117</v>
      </c>
      <c r="Y165" s="30" t="s">
        <v>117</v>
      </c>
      <c r="Z165" s="30" t="s">
        <v>117</v>
      </c>
      <c r="AA165" s="30" t="s">
        <v>117</v>
      </c>
      <c r="AB165" s="30" t="s">
        <v>117</v>
      </c>
      <c r="AC165" s="30" t="s">
        <v>117</v>
      </c>
      <c r="AD165" s="30" t="s">
        <v>117</v>
      </c>
      <c r="AE165" s="30" t="s">
        <v>117</v>
      </c>
      <c r="AF165" s="30" t="s">
        <v>117</v>
      </c>
      <c r="AG165" s="30" t="s">
        <v>117</v>
      </c>
      <c r="AH165" s="30" t="s">
        <v>117</v>
      </c>
      <c r="AI165" s="30" t="s">
        <v>117</v>
      </c>
      <c r="AJ165" s="30" t="s">
        <v>117</v>
      </c>
      <c r="AK165" s="30" t="s">
        <v>117</v>
      </c>
      <c r="AL165" s="30" t="s">
        <v>117</v>
      </c>
      <c r="AM165" s="30" t="s">
        <v>117</v>
      </c>
    </row>
    <row r="166" spans="1:39" ht="30.75" thickBot="1" x14ac:dyDescent="0.3">
      <c r="A166" s="111"/>
      <c r="B166" s="2">
        <v>162</v>
      </c>
      <c r="C166" s="22" t="s">
        <v>64</v>
      </c>
      <c r="D166" s="33" t="s">
        <v>116</v>
      </c>
      <c r="E166" s="33" t="s">
        <v>117</v>
      </c>
      <c r="F166" s="33" t="s">
        <v>117</v>
      </c>
      <c r="G166" s="33" t="s">
        <v>116</v>
      </c>
      <c r="H166" s="33" t="s">
        <v>117</v>
      </c>
      <c r="I166" s="33" t="s">
        <v>117</v>
      </c>
      <c r="J166" s="33" t="s">
        <v>117</v>
      </c>
      <c r="K166" s="33" t="s">
        <v>117</v>
      </c>
      <c r="L166" s="33" t="s">
        <v>117</v>
      </c>
      <c r="M166" s="33" t="s">
        <v>117</v>
      </c>
      <c r="N166" s="33" t="s">
        <v>117</v>
      </c>
      <c r="O166" s="33" t="s">
        <v>130</v>
      </c>
      <c r="P166" s="30" t="s">
        <v>117</v>
      </c>
      <c r="Q166" s="33" t="s">
        <v>117</v>
      </c>
      <c r="R166" s="33" t="s">
        <v>117</v>
      </c>
      <c r="S166" s="41" t="s">
        <v>212</v>
      </c>
      <c r="T166" s="30" t="s">
        <v>212</v>
      </c>
      <c r="U166" s="41" t="s">
        <v>126</v>
      </c>
      <c r="V166" s="41" t="s">
        <v>117</v>
      </c>
      <c r="W166" s="41" t="s">
        <v>117</v>
      </c>
      <c r="X166" s="41" t="s">
        <v>117</v>
      </c>
      <c r="Y166" s="41" t="s">
        <v>127</v>
      </c>
      <c r="Z166" s="41" t="s">
        <v>117</v>
      </c>
      <c r="AA166" s="41" t="s">
        <v>117</v>
      </c>
      <c r="AB166" s="41" t="s">
        <v>117</v>
      </c>
      <c r="AC166" s="41" t="s">
        <v>117</v>
      </c>
      <c r="AD166" s="41" t="s">
        <v>127</v>
      </c>
      <c r="AE166" s="41" t="s">
        <v>127</v>
      </c>
      <c r="AF166" s="41" t="s">
        <v>117</v>
      </c>
      <c r="AG166" s="41" t="s">
        <v>117</v>
      </c>
      <c r="AH166" s="41" t="s">
        <v>117</v>
      </c>
      <c r="AI166" s="41" t="s">
        <v>127</v>
      </c>
      <c r="AJ166" s="41" t="s">
        <v>117</v>
      </c>
      <c r="AK166" s="41" t="s">
        <v>117</v>
      </c>
      <c r="AL166" s="41" t="s">
        <v>117</v>
      </c>
      <c r="AM166" s="41" t="s">
        <v>117</v>
      </c>
    </row>
    <row r="167" spans="1:39" ht="15.75" thickBot="1" x14ac:dyDescent="0.3">
      <c r="A167" s="112" t="s">
        <v>111</v>
      </c>
      <c r="B167" s="2">
        <v>163</v>
      </c>
      <c r="C167" s="25" t="s">
        <v>99</v>
      </c>
      <c r="D167" s="31" t="s">
        <v>116</v>
      </c>
      <c r="E167" s="31" t="s">
        <v>117</v>
      </c>
      <c r="F167" s="29" t="s">
        <v>117</v>
      </c>
      <c r="G167" s="31" t="s">
        <v>116</v>
      </c>
      <c r="H167" s="29" t="s">
        <v>117</v>
      </c>
      <c r="I167" s="29" t="s">
        <v>117</v>
      </c>
      <c r="J167" s="29" t="s">
        <v>117</v>
      </c>
      <c r="K167" s="29" t="s">
        <v>117</v>
      </c>
      <c r="L167" s="29" t="s">
        <v>117</v>
      </c>
      <c r="M167" s="29" t="s">
        <v>117</v>
      </c>
      <c r="N167" s="29" t="s">
        <v>117</v>
      </c>
      <c r="O167" s="29" t="s">
        <v>117</v>
      </c>
      <c r="P167" s="29" t="s">
        <v>117</v>
      </c>
      <c r="Q167" s="29" t="s">
        <v>117</v>
      </c>
      <c r="R167" s="29" t="s">
        <v>117</v>
      </c>
      <c r="S167" s="29" t="s">
        <v>117</v>
      </c>
      <c r="T167" s="29" t="s">
        <v>117</v>
      </c>
      <c r="U167" s="29" t="s">
        <v>117</v>
      </c>
      <c r="V167" s="29" t="s">
        <v>117</v>
      </c>
      <c r="W167" s="29" t="s">
        <v>117</v>
      </c>
      <c r="X167" s="29" t="s">
        <v>117</v>
      </c>
      <c r="Y167" s="29" t="s">
        <v>117</v>
      </c>
      <c r="Z167" s="29" t="s">
        <v>117</v>
      </c>
      <c r="AA167" s="29" t="s">
        <v>117</v>
      </c>
      <c r="AB167" s="29" t="s">
        <v>117</v>
      </c>
      <c r="AC167" s="29" t="s">
        <v>117</v>
      </c>
      <c r="AD167" s="29" t="s">
        <v>117</v>
      </c>
      <c r="AE167" s="29" t="s">
        <v>117</v>
      </c>
      <c r="AF167" s="29" t="s">
        <v>117</v>
      </c>
      <c r="AG167" s="29" t="s">
        <v>117</v>
      </c>
      <c r="AH167" s="29" t="s">
        <v>117</v>
      </c>
      <c r="AI167" s="29" t="s">
        <v>117</v>
      </c>
      <c r="AJ167" s="29" t="s">
        <v>117</v>
      </c>
      <c r="AK167" s="29" t="s">
        <v>117</v>
      </c>
      <c r="AL167" s="29" t="s">
        <v>117</v>
      </c>
      <c r="AM167" s="29" t="s">
        <v>117</v>
      </c>
    </row>
    <row r="168" spans="1:39" ht="15.75" thickBot="1" x14ac:dyDescent="0.3">
      <c r="A168" s="110"/>
      <c r="B168" s="2">
        <v>164</v>
      </c>
      <c r="C168" s="21" t="s">
        <v>100</v>
      </c>
      <c r="D168" s="32" t="s">
        <v>116</v>
      </c>
      <c r="E168" s="32" t="s">
        <v>117</v>
      </c>
      <c r="F168" s="30" t="s">
        <v>117</v>
      </c>
      <c r="G168" s="32" t="s">
        <v>116</v>
      </c>
      <c r="H168" s="30" t="s">
        <v>117</v>
      </c>
      <c r="I168" s="30" t="s">
        <v>117</v>
      </c>
      <c r="J168" s="30" t="s">
        <v>117</v>
      </c>
      <c r="K168" s="30" t="s">
        <v>117</v>
      </c>
      <c r="L168" s="30" t="s">
        <v>117</v>
      </c>
      <c r="M168" s="30" t="s">
        <v>117</v>
      </c>
      <c r="N168" s="30" t="s">
        <v>117</v>
      </c>
      <c r="O168" s="30" t="s">
        <v>117</v>
      </c>
      <c r="P168" s="30" t="s">
        <v>117</v>
      </c>
      <c r="Q168" s="30" t="s">
        <v>117</v>
      </c>
      <c r="R168" s="30" t="s">
        <v>117</v>
      </c>
      <c r="S168" s="30" t="s">
        <v>117</v>
      </c>
      <c r="T168" s="30" t="s">
        <v>117</v>
      </c>
      <c r="U168" s="30" t="s">
        <v>117</v>
      </c>
      <c r="V168" s="30" t="s">
        <v>117</v>
      </c>
      <c r="W168" s="30" t="s">
        <v>117</v>
      </c>
      <c r="X168" s="30" t="s">
        <v>117</v>
      </c>
      <c r="Y168" s="30" t="s">
        <v>117</v>
      </c>
      <c r="Z168" s="30" t="s">
        <v>117</v>
      </c>
      <c r="AA168" s="30" t="s">
        <v>117</v>
      </c>
      <c r="AB168" s="30" t="s">
        <v>117</v>
      </c>
      <c r="AC168" s="30" t="s">
        <v>117</v>
      </c>
      <c r="AD168" s="30" t="s">
        <v>117</v>
      </c>
      <c r="AE168" s="30" t="s">
        <v>117</v>
      </c>
      <c r="AF168" s="30" t="s">
        <v>117</v>
      </c>
      <c r="AG168" s="30" t="s">
        <v>117</v>
      </c>
      <c r="AH168" s="30" t="s">
        <v>117</v>
      </c>
      <c r="AI168" s="30" t="s">
        <v>117</v>
      </c>
      <c r="AJ168" s="30" t="s">
        <v>117</v>
      </c>
      <c r="AK168" s="30" t="s">
        <v>117</v>
      </c>
      <c r="AL168" s="30" t="s">
        <v>117</v>
      </c>
      <c r="AM168" s="30" t="s">
        <v>117</v>
      </c>
    </row>
    <row r="169" spans="1:39" ht="15.75" thickBot="1" x14ac:dyDescent="0.3">
      <c r="A169" s="110"/>
      <c r="B169" s="2">
        <v>165</v>
      </c>
      <c r="C169" s="20" t="s">
        <v>42</v>
      </c>
      <c r="D169" s="32" t="s">
        <v>116</v>
      </c>
      <c r="E169" s="32" t="s">
        <v>117</v>
      </c>
      <c r="F169" s="30" t="s">
        <v>117</v>
      </c>
      <c r="G169" s="32" t="s">
        <v>116</v>
      </c>
      <c r="H169" s="30" t="s">
        <v>117</v>
      </c>
      <c r="I169" s="30" t="s">
        <v>117</v>
      </c>
      <c r="J169" s="30" t="s">
        <v>117</v>
      </c>
      <c r="K169" s="30" t="s">
        <v>117</v>
      </c>
      <c r="L169" s="30" t="s">
        <v>117</v>
      </c>
      <c r="M169" s="30" t="s">
        <v>117</v>
      </c>
      <c r="N169" s="30" t="s">
        <v>117</v>
      </c>
      <c r="O169" s="30" t="s">
        <v>117</v>
      </c>
      <c r="P169" s="30" t="s">
        <v>117</v>
      </c>
      <c r="Q169" s="30" t="s">
        <v>117</v>
      </c>
      <c r="R169" s="30" t="s">
        <v>117</v>
      </c>
      <c r="S169" s="30" t="s">
        <v>117</v>
      </c>
      <c r="T169" s="30" t="s">
        <v>117</v>
      </c>
      <c r="U169" s="30" t="s">
        <v>117</v>
      </c>
      <c r="V169" s="30" t="s">
        <v>117</v>
      </c>
      <c r="W169" s="30" t="s">
        <v>117</v>
      </c>
      <c r="X169" s="30" t="s">
        <v>117</v>
      </c>
      <c r="Y169" s="30" t="s">
        <v>117</v>
      </c>
      <c r="Z169" s="30" t="s">
        <v>117</v>
      </c>
      <c r="AA169" s="30" t="s">
        <v>117</v>
      </c>
      <c r="AB169" s="30" t="s">
        <v>117</v>
      </c>
      <c r="AC169" s="30" t="s">
        <v>117</v>
      </c>
      <c r="AD169" s="30" t="s">
        <v>117</v>
      </c>
      <c r="AE169" s="30" t="s">
        <v>117</v>
      </c>
      <c r="AF169" s="30" t="s">
        <v>117</v>
      </c>
      <c r="AG169" s="30" t="s">
        <v>117</v>
      </c>
      <c r="AH169" s="30" t="s">
        <v>117</v>
      </c>
      <c r="AI169" s="30" t="s">
        <v>117</v>
      </c>
      <c r="AJ169" s="30" t="s">
        <v>117</v>
      </c>
      <c r="AK169" s="30" t="s">
        <v>117</v>
      </c>
      <c r="AL169" s="30" t="s">
        <v>117</v>
      </c>
      <c r="AM169" s="30" t="s">
        <v>117</v>
      </c>
    </row>
    <row r="170" spans="1:39" ht="15.75" thickBot="1" x14ac:dyDescent="0.3">
      <c r="A170" s="110"/>
      <c r="B170" s="2">
        <v>166</v>
      </c>
      <c r="C170" s="21" t="s">
        <v>45</v>
      </c>
      <c r="D170" s="32" t="s">
        <v>116</v>
      </c>
      <c r="E170" s="32" t="s">
        <v>117</v>
      </c>
      <c r="F170" s="30" t="s">
        <v>117</v>
      </c>
      <c r="G170" s="32" t="s">
        <v>116</v>
      </c>
      <c r="H170" s="30" t="s">
        <v>117</v>
      </c>
      <c r="I170" s="30" t="s">
        <v>117</v>
      </c>
      <c r="J170" s="30" t="s">
        <v>117</v>
      </c>
      <c r="K170" s="30" t="s">
        <v>117</v>
      </c>
      <c r="L170" s="30" t="s">
        <v>117</v>
      </c>
      <c r="M170" s="30" t="s">
        <v>117</v>
      </c>
      <c r="N170" s="30" t="s">
        <v>117</v>
      </c>
      <c r="O170" s="30" t="s">
        <v>117</v>
      </c>
      <c r="P170" s="30" t="s">
        <v>117</v>
      </c>
      <c r="Q170" s="30" t="s">
        <v>117</v>
      </c>
      <c r="R170" s="30" t="s">
        <v>117</v>
      </c>
      <c r="S170" s="30" t="s">
        <v>117</v>
      </c>
      <c r="T170" s="30" t="s">
        <v>117</v>
      </c>
      <c r="U170" s="30" t="s">
        <v>117</v>
      </c>
      <c r="V170" s="30" t="s">
        <v>117</v>
      </c>
      <c r="W170" s="30" t="s">
        <v>117</v>
      </c>
      <c r="X170" s="30" t="s">
        <v>117</v>
      </c>
      <c r="Y170" s="30" t="s">
        <v>117</v>
      </c>
      <c r="Z170" s="30" t="s">
        <v>117</v>
      </c>
      <c r="AA170" s="30" t="s">
        <v>117</v>
      </c>
      <c r="AB170" s="30" t="s">
        <v>117</v>
      </c>
      <c r="AC170" s="30" t="s">
        <v>117</v>
      </c>
      <c r="AD170" s="30" t="s">
        <v>117</v>
      </c>
      <c r="AE170" s="30" t="s">
        <v>117</v>
      </c>
      <c r="AF170" s="30" t="s">
        <v>117</v>
      </c>
      <c r="AG170" s="30" t="s">
        <v>117</v>
      </c>
      <c r="AH170" s="30" t="s">
        <v>117</v>
      </c>
      <c r="AI170" s="30" t="s">
        <v>117</v>
      </c>
      <c r="AJ170" s="30" t="s">
        <v>117</v>
      </c>
      <c r="AK170" s="30" t="s">
        <v>117</v>
      </c>
      <c r="AL170" s="30" t="s">
        <v>117</v>
      </c>
      <c r="AM170" s="30" t="s">
        <v>117</v>
      </c>
    </row>
    <row r="171" spans="1:39" ht="15.75" thickBot="1" x14ac:dyDescent="0.3">
      <c r="A171" s="110"/>
      <c r="B171" s="2">
        <v>167</v>
      </c>
      <c r="C171" s="21" t="s">
        <v>46</v>
      </c>
      <c r="D171" s="32" t="s">
        <v>116</v>
      </c>
      <c r="E171" s="32" t="s">
        <v>117</v>
      </c>
      <c r="F171" s="30" t="s">
        <v>117</v>
      </c>
      <c r="G171" s="32" t="s">
        <v>116</v>
      </c>
      <c r="H171" s="30" t="s">
        <v>117</v>
      </c>
      <c r="I171" s="30" t="s">
        <v>117</v>
      </c>
      <c r="J171" s="30" t="s">
        <v>117</v>
      </c>
      <c r="K171" s="30" t="s">
        <v>117</v>
      </c>
      <c r="L171" s="30" t="s">
        <v>117</v>
      </c>
      <c r="M171" s="30" t="s">
        <v>117</v>
      </c>
      <c r="N171" s="30" t="s">
        <v>117</v>
      </c>
      <c r="O171" s="30" t="s">
        <v>117</v>
      </c>
      <c r="P171" s="30" t="s">
        <v>117</v>
      </c>
      <c r="Q171" s="30" t="s">
        <v>117</v>
      </c>
      <c r="R171" s="30" t="s">
        <v>117</v>
      </c>
      <c r="S171" s="30" t="s">
        <v>117</v>
      </c>
      <c r="T171" s="30" t="s">
        <v>117</v>
      </c>
      <c r="U171" s="30" t="s">
        <v>117</v>
      </c>
      <c r="V171" s="30" t="s">
        <v>117</v>
      </c>
      <c r="W171" s="30" t="s">
        <v>117</v>
      </c>
      <c r="X171" s="30" t="s">
        <v>117</v>
      </c>
      <c r="Y171" s="30" t="s">
        <v>117</v>
      </c>
      <c r="Z171" s="30" t="s">
        <v>117</v>
      </c>
      <c r="AA171" s="30" t="s">
        <v>117</v>
      </c>
      <c r="AB171" s="30" t="s">
        <v>117</v>
      </c>
      <c r="AC171" s="30" t="s">
        <v>117</v>
      </c>
      <c r="AD171" s="30" t="s">
        <v>117</v>
      </c>
      <c r="AE171" s="30" t="s">
        <v>117</v>
      </c>
      <c r="AF171" s="30" t="s">
        <v>117</v>
      </c>
      <c r="AG171" s="30" t="s">
        <v>117</v>
      </c>
      <c r="AH171" s="30" t="s">
        <v>117</v>
      </c>
      <c r="AI171" s="30" t="s">
        <v>117</v>
      </c>
      <c r="AJ171" s="30" t="s">
        <v>117</v>
      </c>
      <c r="AK171" s="30" t="s">
        <v>117</v>
      </c>
      <c r="AL171" s="30" t="s">
        <v>117</v>
      </c>
      <c r="AM171" s="30" t="s">
        <v>117</v>
      </c>
    </row>
    <row r="172" spans="1:39" ht="15.75" thickBot="1" x14ac:dyDescent="0.3">
      <c r="A172" s="110"/>
      <c r="B172" s="2">
        <v>168</v>
      </c>
      <c r="C172" s="21" t="s">
        <v>59</v>
      </c>
      <c r="D172" s="32" t="s">
        <v>116</v>
      </c>
      <c r="E172" s="32" t="s">
        <v>117</v>
      </c>
      <c r="F172" s="30" t="s">
        <v>117</v>
      </c>
      <c r="G172" s="32" t="s">
        <v>116</v>
      </c>
      <c r="H172" s="30" t="s">
        <v>117</v>
      </c>
      <c r="I172" s="30" t="s">
        <v>117</v>
      </c>
      <c r="J172" s="30" t="s">
        <v>117</v>
      </c>
      <c r="K172" s="30" t="s">
        <v>117</v>
      </c>
      <c r="L172" s="30" t="s">
        <v>117</v>
      </c>
      <c r="M172" s="30" t="s">
        <v>117</v>
      </c>
      <c r="N172" s="30" t="s">
        <v>117</v>
      </c>
      <c r="O172" s="30" t="s">
        <v>117</v>
      </c>
      <c r="P172" s="30" t="s">
        <v>117</v>
      </c>
      <c r="Q172" s="30" t="s">
        <v>117</v>
      </c>
      <c r="R172" s="30" t="s">
        <v>117</v>
      </c>
      <c r="S172" s="30" t="s">
        <v>117</v>
      </c>
      <c r="T172" s="30" t="s">
        <v>117</v>
      </c>
      <c r="U172" s="30" t="s">
        <v>117</v>
      </c>
      <c r="V172" s="30" t="s">
        <v>117</v>
      </c>
      <c r="W172" s="30" t="s">
        <v>117</v>
      </c>
      <c r="X172" s="30" t="s">
        <v>117</v>
      </c>
      <c r="Y172" s="30" t="s">
        <v>117</v>
      </c>
      <c r="Z172" s="30" t="s">
        <v>117</v>
      </c>
      <c r="AA172" s="30" t="s">
        <v>117</v>
      </c>
      <c r="AB172" s="30" t="s">
        <v>117</v>
      </c>
      <c r="AC172" s="30" t="s">
        <v>117</v>
      </c>
      <c r="AD172" s="30" t="s">
        <v>117</v>
      </c>
      <c r="AE172" s="30" t="s">
        <v>117</v>
      </c>
      <c r="AF172" s="30" t="s">
        <v>117</v>
      </c>
      <c r="AG172" s="30" t="s">
        <v>241</v>
      </c>
      <c r="AH172" s="30" t="s">
        <v>117</v>
      </c>
      <c r="AI172" s="30" t="s">
        <v>117</v>
      </c>
      <c r="AJ172" s="30" t="s">
        <v>117</v>
      </c>
      <c r="AK172" s="30" t="s">
        <v>117</v>
      </c>
      <c r="AL172" s="30" t="s">
        <v>117</v>
      </c>
      <c r="AM172" s="30" t="s">
        <v>117</v>
      </c>
    </row>
    <row r="173" spans="1:39" ht="15.75" thickBot="1" x14ac:dyDescent="0.3">
      <c r="A173" s="110"/>
      <c r="B173" s="2">
        <v>169</v>
      </c>
      <c r="C173" s="21" t="s">
        <v>61</v>
      </c>
      <c r="D173" s="32" t="s">
        <v>116</v>
      </c>
      <c r="E173" s="32" t="s">
        <v>117</v>
      </c>
      <c r="F173" s="30" t="s">
        <v>117</v>
      </c>
      <c r="G173" s="32" t="s">
        <v>116</v>
      </c>
      <c r="H173" s="30" t="s">
        <v>117</v>
      </c>
      <c r="I173" s="30" t="s">
        <v>117</v>
      </c>
      <c r="J173" s="30" t="s">
        <v>117</v>
      </c>
      <c r="K173" s="30" t="s">
        <v>117</v>
      </c>
      <c r="L173" s="30" t="s">
        <v>117</v>
      </c>
      <c r="M173" s="30" t="s">
        <v>117</v>
      </c>
      <c r="N173" s="30" t="s">
        <v>117</v>
      </c>
      <c r="O173" s="30" t="s">
        <v>117</v>
      </c>
      <c r="P173" s="30" t="s">
        <v>117</v>
      </c>
      <c r="Q173" s="30" t="s">
        <v>117</v>
      </c>
      <c r="R173" s="30" t="s">
        <v>117</v>
      </c>
      <c r="S173" s="30" t="s">
        <v>117</v>
      </c>
      <c r="T173" s="30" t="s">
        <v>117</v>
      </c>
      <c r="U173" s="30" t="s">
        <v>117</v>
      </c>
      <c r="V173" s="30" t="s">
        <v>117</v>
      </c>
      <c r="W173" s="30" t="s">
        <v>117</v>
      </c>
      <c r="X173" s="30" t="s">
        <v>117</v>
      </c>
      <c r="Y173" s="30" t="s">
        <v>117</v>
      </c>
      <c r="Z173" s="30" t="s">
        <v>117</v>
      </c>
      <c r="AA173" s="30" t="s">
        <v>117</v>
      </c>
      <c r="AB173" s="30" t="s">
        <v>117</v>
      </c>
      <c r="AC173" s="30" t="s">
        <v>117</v>
      </c>
      <c r="AD173" s="30" t="s">
        <v>117</v>
      </c>
      <c r="AE173" s="30" t="s">
        <v>117</v>
      </c>
      <c r="AF173" s="30" t="s">
        <v>117</v>
      </c>
      <c r="AG173" s="30" t="s">
        <v>117</v>
      </c>
      <c r="AH173" s="30" t="s">
        <v>117</v>
      </c>
      <c r="AI173" s="30" t="s">
        <v>117</v>
      </c>
      <c r="AJ173" s="30" t="s">
        <v>117</v>
      </c>
      <c r="AK173" s="30" t="s">
        <v>117</v>
      </c>
      <c r="AL173" s="30" t="s">
        <v>117</v>
      </c>
      <c r="AM173" s="30" t="s">
        <v>117</v>
      </c>
    </row>
    <row r="174" spans="1:39" ht="15.75" thickBot="1" x14ac:dyDescent="0.3">
      <c r="A174" s="110"/>
      <c r="B174" s="2">
        <v>170</v>
      </c>
      <c r="C174" s="21" t="s">
        <v>62</v>
      </c>
      <c r="D174" s="32" t="s">
        <v>116</v>
      </c>
      <c r="E174" s="32" t="s">
        <v>117</v>
      </c>
      <c r="F174" s="30" t="s">
        <v>117</v>
      </c>
      <c r="G174" s="32" t="s">
        <v>116</v>
      </c>
      <c r="H174" s="30" t="s">
        <v>117</v>
      </c>
      <c r="I174" s="30" t="s">
        <v>117</v>
      </c>
      <c r="J174" s="30" t="s">
        <v>117</v>
      </c>
      <c r="K174" s="30" t="s">
        <v>117</v>
      </c>
      <c r="L174" s="30" t="s">
        <v>117</v>
      </c>
      <c r="M174" s="30" t="s">
        <v>117</v>
      </c>
      <c r="N174" s="30" t="s">
        <v>117</v>
      </c>
      <c r="O174" s="30" t="s">
        <v>117</v>
      </c>
      <c r="P174" s="30" t="s">
        <v>117</v>
      </c>
      <c r="Q174" s="30" t="s">
        <v>117</v>
      </c>
      <c r="R174" s="30" t="s">
        <v>117</v>
      </c>
      <c r="S174" s="30" t="s">
        <v>117</v>
      </c>
      <c r="T174" s="30" t="s">
        <v>212</v>
      </c>
      <c r="U174" s="30" t="s">
        <v>117</v>
      </c>
      <c r="V174" s="30" t="s">
        <v>117</v>
      </c>
      <c r="W174" s="30" t="s">
        <v>117</v>
      </c>
      <c r="X174" s="30" t="s">
        <v>117</v>
      </c>
      <c r="Y174" s="30" t="s">
        <v>117</v>
      </c>
      <c r="Z174" s="30" t="s">
        <v>117</v>
      </c>
      <c r="AA174" s="30" t="s">
        <v>117</v>
      </c>
      <c r="AB174" s="30" t="s">
        <v>117</v>
      </c>
      <c r="AC174" s="30" t="s">
        <v>117</v>
      </c>
      <c r="AD174" s="30" t="s">
        <v>117</v>
      </c>
      <c r="AE174" s="30" t="s">
        <v>117</v>
      </c>
      <c r="AF174" s="30" t="s">
        <v>117</v>
      </c>
      <c r="AG174" s="30" t="s">
        <v>117</v>
      </c>
      <c r="AH174" s="30" t="s">
        <v>117</v>
      </c>
      <c r="AI174" s="30" t="s">
        <v>117</v>
      </c>
      <c r="AJ174" s="30" t="s">
        <v>117</v>
      </c>
      <c r="AK174" s="30" t="s">
        <v>117</v>
      </c>
      <c r="AL174" s="30" t="s">
        <v>117</v>
      </c>
      <c r="AM174" s="30" t="s">
        <v>117</v>
      </c>
    </row>
    <row r="175" spans="1:39" ht="15.75" thickBot="1" x14ac:dyDescent="0.3">
      <c r="A175" s="111"/>
      <c r="B175" s="2">
        <v>171</v>
      </c>
      <c r="C175" s="22" t="s">
        <v>64</v>
      </c>
      <c r="D175" s="33" t="s">
        <v>116</v>
      </c>
      <c r="E175" s="33" t="s">
        <v>117</v>
      </c>
      <c r="F175" s="33" t="s">
        <v>117</v>
      </c>
      <c r="G175" s="33" t="s">
        <v>116</v>
      </c>
      <c r="H175" s="33" t="s">
        <v>117</v>
      </c>
      <c r="I175" s="33" t="s">
        <v>117</v>
      </c>
      <c r="J175" s="33" t="s">
        <v>117</v>
      </c>
      <c r="K175" s="33" t="s">
        <v>117</v>
      </c>
      <c r="L175" s="33" t="s">
        <v>117</v>
      </c>
      <c r="M175" s="33" t="s">
        <v>117</v>
      </c>
      <c r="N175" s="33" t="s">
        <v>117</v>
      </c>
      <c r="O175" s="33" t="s">
        <v>117</v>
      </c>
      <c r="P175" s="33" t="s">
        <v>117</v>
      </c>
      <c r="Q175" s="33" t="s">
        <v>117</v>
      </c>
      <c r="R175" s="33" t="s">
        <v>117</v>
      </c>
      <c r="S175" s="33" t="s">
        <v>212</v>
      </c>
      <c r="T175" s="33" t="s">
        <v>212</v>
      </c>
      <c r="U175" s="33" t="s">
        <v>117</v>
      </c>
      <c r="V175" s="33" t="s">
        <v>117</v>
      </c>
      <c r="W175" s="33" t="s">
        <v>117</v>
      </c>
      <c r="X175" s="33" t="s">
        <v>117</v>
      </c>
      <c r="Y175" s="33" t="s">
        <v>127</v>
      </c>
      <c r="Z175" s="33" t="s">
        <v>117</v>
      </c>
      <c r="AA175" s="33" t="s">
        <v>117</v>
      </c>
      <c r="AB175" s="33" t="s">
        <v>117</v>
      </c>
      <c r="AC175" s="33" t="s">
        <v>117</v>
      </c>
      <c r="AD175" s="33" t="s">
        <v>127</v>
      </c>
      <c r="AE175" s="33" t="s">
        <v>117</v>
      </c>
      <c r="AF175" s="33" t="s">
        <v>117</v>
      </c>
      <c r="AG175" s="33" t="s">
        <v>117</v>
      </c>
      <c r="AH175" s="33" t="s">
        <v>117</v>
      </c>
      <c r="AI175" s="33" t="s">
        <v>117</v>
      </c>
      <c r="AJ175" s="33" t="s">
        <v>117</v>
      </c>
      <c r="AK175" s="33" t="s">
        <v>117</v>
      </c>
      <c r="AL175" s="33" t="s">
        <v>117</v>
      </c>
      <c r="AM175" s="33" t="s">
        <v>117</v>
      </c>
    </row>
  </sheetData>
  <autoFilter ref="A4:AH4" xr:uid="{421D1F43-CD7A-493C-B869-64DD049B244A}"/>
  <mergeCells count="13">
    <mergeCell ref="A157:A166"/>
    <mergeCell ref="A167:A175"/>
    <mergeCell ref="A49:A66"/>
    <mergeCell ref="A67:A75"/>
    <mergeCell ref="A76:A81"/>
    <mergeCell ref="A82:A98"/>
    <mergeCell ref="A99:A111"/>
    <mergeCell ref="A112:A127"/>
    <mergeCell ref="A5:A23"/>
    <mergeCell ref="A24:A38"/>
    <mergeCell ref="A39:A48"/>
    <mergeCell ref="A128:A143"/>
    <mergeCell ref="A144:A156"/>
  </mergeCells>
  <phoneticPr fontId="3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CA8F-0FC1-4D42-B647-293E081CEEDC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6999-2511-4854-8470-1AA1C182ABB0}">
  <dimension ref="A1:C2"/>
  <sheetViews>
    <sheetView workbookViewId="0">
      <selection activeCell="I3" sqref="I3"/>
    </sheetView>
  </sheetViews>
  <sheetFormatPr baseColWidth="10" defaultColWidth="11.42578125" defaultRowHeight="15" x14ac:dyDescent="0.25"/>
  <cols>
    <col min="1" max="1" width="30.140625" customWidth="1"/>
    <col min="2" max="2" width="27.7109375" customWidth="1"/>
  </cols>
  <sheetData>
    <row r="1" spans="1:3" ht="15.75" thickBot="1" x14ac:dyDescent="0.3">
      <c r="A1" s="37" t="s">
        <v>1</v>
      </c>
    </row>
    <row r="2" spans="1:3" ht="135.75" thickBot="1" x14ac:dyDescent="0.3">
      <c r="A2" s="43" t="s">
        <v>141</v>
      </c>
      <c r="B2" s="43" t="s">
        <v>142</v>
      </c>
      <c r="C2" s="40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4493-9EC7-412F-9CA1-BC969C42BF4A}">
  <dimension ref="A1:AW181"/>
  <sheetViews>
    <sheetView tabSelected="1" zoomScale="40" zoomScaleNormal="40" workbookViewId="0">
      <pane xSplit="3" ySplit="4" topLeftCell="AI109" activePane="bottomRight" state="frozen"/>
      <selection pane="topRight"/>
      <selection pane="bottomLeft"/>
      <selection pane="bottomRight" activeCell="X37" activeCellId="15" sqref="T23 S23 S34 T34 S44 T44 O49 T49 T62 S63 X62 Y62 X44 X47 Y44 X37"/>
    </sheetView>
  </sheetViews>
  <sheetFormatPr baseColWidth="10" defaultColWidth="11.42578125" defaultRowHeight="51" customHeight="1" x14ac:dyDescent="0.25"/>
  <cols>
    <col min="1" max="2" width="6.28515625" bestFit="1" customWidth="1"/>
    <col min="3" max="3" width="36.140625" bestFit="1" customWidth="1"/>
    <col min="4" max="4" width="41.28515625" customWidth="1"/>
    <col min="5" max="42" width="50.85546875" customWidth="1"/>
    <col min="43" max="43" width="41.42578125" customWidth="1"/>
    <col min="44" max="44" width="49.85546875" bestFit="1" customWidth="1"/>
    <col min="45" max="45" width="55.42578125" bestFit="1" customWidth="1"/>
    <col min="46" max="46" width="29.7109375" customWidth="1"/>
    <col min="47" max="47" width="34.5703125" customWidth="1"/>
    <col min="48" max="48" width="46.85546875" bestFit="1" customWidth="1"/>
    <col min="49" max="49" width="41.28515625" bestFit="1" customWidth="1"/>
    <col min="50" max="50" width="31.28515625" customWidth="1"/>
  </cols>
  <sheetData>
    <row r="1" spans="1:48" ht="51" hidden="1" customHeight="1" x14ac:dyDescent="0.25"/>
    <row r="2" spans="1:48" ht="51" hidden="1" customHeight="1" x14ac:dyDescent="0.25">
      <c r="R2" t="s">
        <v>144</v>
      </c>
    </row>
    <row r="3" spans="1:48" ht="51" hidden="1" customHeight="1" x14ac:dyDescent="0.25">
      <c r="AN3" s="130" t="s">
        <v>145</v>
      </c>
      <c r="AO3" s="131"/>
      <c r="AP3" s="131"/>
      <c r="AQ3" s="128" t="s">
        <v>146</v>
      </c>
      <c r="AR3" s="129"/>
      <c r="AS3" s="129"/>
      <c r="AT3" s="125" t="s">
        <v>147</v>
      </c>
      <c r="AU3" s="126"/>
      <c r="AV3" s="127"/>
    </row>
    <row r="4" spans="1:48" ht="51" customHeight="1" thickBot="1" x14ac:dyDescent="0.3">
      <c r="A4" s="10"/>
      <c r="B4" s="11" t="s">
        <v>3</v>
      </c>
      <c r="C4" s="36" t="s">
        <v>4</v>
      </c>
      <c r="D4" s="46" t="s">
        <v>6</v>
      </c>
      <c r="E4" s="46" t="s">
        <v>7</v>
      </c>
      <c r="F4" s="46" t="s">
        <v>115</v>
      </c>
      <c r="G4" s="46" t="s">
        <v>9</v>
      </c>
      <c r="H4" s="46" t="s">
        <v>10</v>
      </c>
      <c r="I4" s="46" t="s">
        <v>11</v>
      </c>
      <c r="J4" s="46" t="s">
        <v>12</v>
      </c>
      <c r="K4" s="46" t="s">
        <v>13</v>
      </c>
      <c r="L4" s="46" t="s">
        <v>14</v>
      </c>
      <c r="M4" s="46" t="s">
        <v>15</v>
      </c>
      <c r="N4" s="46" t="s">
        <v>16</v>
      </c>
      <c r="O4" s="46" t="s">
        <v>17</v>
      </c>
      <c r="P4" s="46" t="s">
        <v>210</v>
      </c>
      <c r="Q4" s="46" t="s">
        <v>18</v>
      </c>
      <c r="R4" s="46" t="s">
        <v>19</v>
      </c>
      <c r="S4" s="46" t="s">
        <v>20</v>
      </c>
      <c r="T4" s="46" t="s">
        <v>21</v>
      </c>
      <c r="U4" s="46" t="s">
        <v>22</v>
      </c>
      <c r="V4" s="46" t="s">
        <v>23</v>
      </c>
      <c r="W4" s="46" t="s">
        <v>24</v>
      </c>
      <c r="X4" s="46" t="s">
        <v>211</v>
      </c>
      <c r="Y4" s="46" t="s">
        <v>25</v>
      </c>
      <c r="Z4" s="46" t="s">
        <v>26</v>
      </c>
      <c r="AA4" s="46" t="s">
        <v>27</v>
      </c>
      <c r="AB4" s="46" t="s">
        <v>28</v>
      </c>
      <c r="AC4" s="46" t="s">
        <v>29</v>
      </c>
      <c r="AD4" s="46" t="s">
        <v>163</v>
      </c>
      <c r="AE4" s="46" t="s">
        <v>30</v>
      </c>
      <c r="AF4" s="46" t="s">
        <v>31</v>
      </c>
      <c r="AG4" s="46" t="s">
        <v>230</v>
      </c>
      <c r="AH4" s="46" t="s">
        <v>32</v>
      </c>
      <c r="AI4" s="46" t="s">
        <v>33</v>
      </c>
      <c r="AJ4" s="46" t="s">
        <v>34</v>
      </c>
      <c r="AK4" s="46" t="s">
        <v>35</v>
      </c>
      <c r="AL4" s="46" t="s">
        <v>36</v>
      </c>
      <c r="AM4" s="46" t="s">
        <v>37</v>
      </c>
      <c r="AN4" s="49" t="s">
        <v>148</v>
      </c>
      <c r="AO4" s="49" t="s">
        <v>149</v>
      </c>
      <c r="AP4" s="50" t="s">
        <v>150</v>
      </c>
      <c r="AQ4" s="49" t="s">
        <v>148</v>
      </c>
      <c r="AR4" s="49" t="s">
        <v>149</v>
      </c>
      <c r="AS4" s="50" t="s">
        <v>150</v>
      </c>
      <c r="AT4" s="74" t="s">
        <v>148</v>
      </c>
      <c r="AU4" s="74" t="s">
        <v>149</v>
      </c>
      <c r="AV4" s="75" t="s">
        <v>150</v>
      </c>
    </row>
    <row r="5" spans="1:48" ht="51" customHeight="1" thickBot="1" x14ac:dyDescent="0.3">
      <c r="A5" s="112" t="s">
        <v>38</v>
      </c>
      <c r="B5" s="2">
        <v>1</v>
      </c>
      <c r="C5" s="12" t="s">
        <v>39</v>
      </c>
      <c r="D5" s="51" t="str">
        <f>+IF(GENERAL!E6=GENERAL!$AI$2,GENERAL!$AI$2,CONCATENATE(OBSERVACIONES!D5,"
ESTADO DE POSTVENTAS:  ",GENERAL!E6))</f>
        <v>NO ENTREGADO
ESTADO DE POSTVENTAS:  TIENE POSTVENTA</v>
      </c>
      <c r="E5" s="70" t="str">
        <f>+IF(GENERAL!F6=GENERAL!$AI$2,GENERAL!$AI$2,CONCATENATE(OBSERVACIONES!E5,"
ESTADO DE POSTVENTAS:  ",GENERAL!F6))</f>
        <v>OK
ESTADO DE POSTVENTAS:  POSTVENTA CORREGIDA</v>
      </c>
      <c r="F5" s="51" t="str">
        <f>+IF(GENERAL!G6=GENERAL!$AI$2,GENERAL!$AI$2,CONCATENATE(OBSERVACIONES!F5,"
ESTADO DE POSTVENTAS:  ",GENERAL!G6))</f>
        <v>OK
ESTADO DE POSTVENTAS:  POSTVENTA CORREGIDA</v>
      </c>
      <c r="G5" s="51" t="str">
        <f>+IF(GENERAL!H6=GENERAL!$AI$2,GENERAL!$AI$2,CONCATENATE(OBSERVACIONES!G5,"
ESTADO DE POSTVENTAS:  ",GENERAL!H6))</f>
        <v>NO ENTREGADO
ESTADO DE POSTVENTAS:  TIENE POSTVENTA</v>
      </c>
      <c r="H5" s="51" t="str">
        <f>+IF(GENERAL!I6=GENERAL!$AI$2,GENERAL!$AI$2,CONCATENATE(OBSERVACIONES!H5,"
ESTADO DE POSTVENTAS:  ",GENERAL!I6))</f>
        <v>OK
ESTADO DE POSTVENTAS:  POSTVENTA CORREGIDA</v>
      </c>
      <c r="I5" s="51" t="str">
        <f>+IF(GENERAL!J6=GENERAL!$AI$2,GENERAL!$AI$2,CONCATENATE(OBSERVACIONES!I5,"
ESTADO DE POSTVENTAS:  ",GENERAL!J6))</f>
        <v>OK
ESTADO DE POSTVENTAS:  POSTVENTA CORREGIDA</v>
      </c>
      <c r="J5" s="51" t="str">
        <f>+IF(GENERAL!K6=GENERAL!$AI$2,GENERAL!$AI$2,CONCATENATE(OBSERVACIONES!J5,"
ESTADO DE POSTVENTAS:  ",GENERAL!K6))</f>
        <v>OK
ESTADO DE POSTVENTAS:  POSTVENTA CORREGIDA</v>
      </c>
      <c r="K5" s="51" t="str">
        <f>+IF(GENERAL!L6=GENERAL!$AI$2,GENERAL!$AI$2,CONCATENATE(OBSERVACIONES!K5,"
ESTADO DE POSTVENTAS:  ",GENERAL!L6))</f>
        <v>OK
ESTADO DE POSTVENTAS:  POSTVENTA CORREGIDA</v>
      </c>
      <c r="L5" s="51" t="str">
        <f>+IF(GENERAL!M6=GENERAL!$AI$2,GENERAL!$AI$2,CONCATENATE(OBSERVACIONES!L5,"
ESTADO DE POSTVENTAS:  ",GENERAL!M6))</f>
        <v>OK
ESTADO DE POSTVENTAS:  POSTVENTA CORREGIDA</v>
      </c>
      <c r="M5" s="70" t="str">
        <f>+IF(GENERAL!N6=GENERAL!$AI$2,GENERAL!$AI$2,CONCATENATE(OBSERVACIONES!M5,"
ESTADO DE POSTVENTAS:  ",GENERAL!N6))</f>
        <v>DETALLE CAMBIO
ESTADO DE POSTVENTAS:  TIENE POSTVENTA</v>
      </c>
      <c r="N5" s="51" t="str">
        <f>+IF(GENERAL!O6=GENERAL!$AI$2,GENERAL!$AI$2,CONCATENATE(OBSERVACIONES!N5,"
ESTADO DE POSTVENTAS:  ",GENERAL!O6))</f>
        <v>OK
ESTADO DE POSTVENTAS:  POSTVENTA CORREGIDA</v>
      </c>
      <c r="O5" s="70" t="str">
        <f>+IF(GENERAL!P6=GENERAL!$AI$2,GENERAL!$AI$2,CONCATENATE(OBSERVACIONES!O5,"
ESTADO DE POSTVENTAS:  ",GENERAL!P6))</f>
        <v>OK
ESTADO DE POSTVENTAS:  POSTVENTA CORREGIDA</v>
      </c>
      <c r="P5" s="70" t="str">
        <f>+IF(GENERAL!Q6=GENERAL!$AI$2,GENERAL!$AI$2,CONCATENATE(OBSERVACIONES!P5,"
ESTADO DE POSTVENTAS:  ",GENERAL!Q6))</f>
        <v>DETALLE FIJADO
ESTADO DE POSTVENTAS:  TIENE POSTVENTA</v>
      </c>
      <c r="Q5" s="70" t="str">
        <f>+IF(GENERAL!R6=GENERAL!$AI$2,GENERAL!$AI$2,CONCATENATE(OBSERVACIONES!Q5,"
ESTADO DE POSTVENTAS:  ",GENERAL!R6))</f>
        <v>DETALLE CAMBIO
ESTADO DE POSTVENTAS:  TIENE POSTVENTA</v>
      </c>
      <c r="R5" s="85" t="str">
        <f>+IF(GENERAL!S6=GENERAL!$AI$2,GENERAL!$AI$2,CONCATENATE(OBSERVACIONES!R5,"
ESTADO DE POSTVENTAS:  ",GENERAL!S6))</f>
        <v>OK
ESTADO DE POSTVENTAS:  POSTVENTA CORREGIDA</v>
      </c>
      <c r="S5" s="51" t="str">
        <f>+IF(GENERAL!T6=GENERAL!$AI$2,GENERAL!$AI$2,CONCATENATE(OBSERVACIONES!S5,"
ESTADO DE POSTVENTAS:  ",GENERAL!T6))</f>
        <v>OK
ESTADO DE POSTVENTAS:  POSTVENTA CORREGIDA</v>
      </c>
      <c r="T5" s="51" t="str">
        <f>+IF(GENERAL!U6=GENERAL!$AI$2,GENERAL!$AI$2,CONCATENATE(OBSERVACIONES!T5,"
ESTADO DE POSTVENTAS:  ",GENERAL!U6))</f>
        <v>OK
ESTADO DE POSTVENTAS:  POSTVENTA CORREGIDA</v>
      </c>
      <c r="U5" s="51" t="str">
        <f>+IF(GENERAL!V6=GENERAL!$AI$2,GENERAL!$AI$2,CONCATENATE(OBSERVACIONES!U5,"
ESTADO DE POSTVENTAS:  ",GENERAL!V6))</f>
        <v>OK
ESTADO DE POSTVENTAS:  POSTVENTA CORREGIDA</v>
      </c>
      <c r="V5" s="51" t="str">
        <f>+IF(GENERAL!W6=GENERAL!$AI$2,GENERAL!$AI$2,CONCATENATE(OBSERVACIONES!V5,"
ESTADO DE POSTVENTAS:  ",GENERAL!W6))</f>
        <v>OK
ESTADO DE POSTVENTAS:  POSTVENTA CORREGIDA</v>
      </c>
      <c r="W5" s="51" t="str">
        <f>+IF(GENERAL!V6=GENERAL!$AI$2,GENERAL!$AI$2,CONCATENATE(OBSERVACIONES!W5,"
ESTADO DE POSTVENTAS:  ",GENERAL!V6))</f>
        <v>OK
ESTADO DE POSTVENTAS:  POSTVENTA CORREGIDA</v>
      </c>
      <c r="X5" s="51" t="str">
        <f>+IF(GENERAL!W6=GENERAL!$AI$2,GENERAL!$AI$2,CONCATENATE(OBSERVACIONES!X5,"
ESTADO DE POSTVENTAS:  ",GENERAL!W6))</f>
        <v>OK
ESTADO DE POSTVENTAS:  POSTVENTA CORREGIDA</v>
      </c>
      <c r="Y5" s="51" t="str">
        <f>+IF(GENERAL!Z6=GENERAL!$AI$2,GENERAL!$AI$2,CONCATENATE(OBSERVACIONES!Y5,"
ESTADO DE POSTVENTAS:  ",GENERAL!Z6))</f>
        <v>OK
ESTADO DE POSTVENTAS:  POSTVENTA CORREGIDA</v>
      </c>
      <c r="Z5" s="51" t="str">
        <f>+IF(GENERAL!AA6=GENERAL!$AI$2,GENERAL!$AI$2,CONCATENATE(OBSERVACIONES!Z5,"
ESTADO DE POSTVENTAS:  ",GENERAL!AA6))</f>
        <v>OK
ESTADO DE POSTVENTAS:  POSTVENTA CORREGIDA</v>
      </c>
      <c r="AA5" s="70" t="str">
        <f>+IF(GENERAL!AB6=GENERAL!$AI$2,GENERAL!$AI$2,CONCATENATE(OBSERVACIONES!AA5,"
ESTADO DE POSTVENTAS:  ",GENERAL!AB6))</f>
        <v>OK
ESTADO DE POSTVENTAS:  POSTVENTA CORREGIDA</v>
      </c>
      <c r="AB5" s="51" t="str">
        <f>+IF(GENERAL!AC6=GENERAL!$AI$2,GENERAL!$AI$2,CONCATENATE(OBSERVACIONES!AB5,"
ESTADO DE POSTVENTAS:  ",GENERAL!AC6))</f>
        <v>OK
ESTADO DE POSTVENTAS:  POSTVENTA CORREGIDA</v>
      </c>
      <c r="AC5" s="51" t="str">
        <f>+IF(GENERAL!AD6=GENERAL!$AI$2,GENERAL!$AI$2,CONCATENATE(OBSERVACIONES!AC5,"
ESTADO DE POSTVENTAS:  ",GENERAL!AD6))</f>
        <v>OK
ESTADO DE POSTVENTAS:  POSTVENTA CORREGIDA</v>
      </c>
      <c r="AD5" s="51" t="str">
        <f>+IF(GENERAL!AE6=GENERAL!$AI$2,GENERAL!$AI$2,CONCATENATE(OBSERVACIONES!AD5,"
ESTADO DE POSTVENTAS:  ",GENERAL!AE6))</f>
        <v>DETALLE FIJADO
ESTADO DE POSTVENTAS:  TIENE POSTVENTA</v>
      </c>
      <c r="AE5" s="51" t="str">
        <f>+IF(GENERAL!AF6=GENERAL!$AI$2,GENERAL!$AI$2,CONCATENATE(OBSERVACIONES!AE5,"
ESTADO DE POSTVENTAS:  ",GENERAL!AF6))</f>
        <v>OK
ESTADO DE POSTVENTAS:  POSTVENTA CORREGIDA</v>
      </c>
      <c r="AF5" s="51" t="str">
        <f>+IF(GENERAL!AG6=GENERAL!$AI$2,GENERAL!$AI$2,CONCATENATE(OBSERVACIONES!AF5,"
ESTADO DE POSTVENTAS:  ",GENERAL!AG6))</f>
        <v>OK
ESTADO DE POSTVENTAS:  POSTVENTA CORREGIDA</v>
      </c>
      <c r="AG5" s="51" t="str">
        <f>+IF(GENERAL!AH6=GENERAL!$AI$2,GENERAL!$AI$2,CONCATENATE(OBSERVACIONES!AG5,"
ESTADO DE POSTVENTAS:  ",GENERAL!AH6))</f>
        <v>DETALLAR PUERTA
ESTADO DE POSTVENTAS:  TIENE POSTVENTA</v>
      </c>
      <c r="AH5" s="51" t="str">
        <f>+IF(GENERAL!AI6=GENERAL!$AI$2,GENERAL!$AI$2,CONCATENATE(OBSERVACIONES!AH5,"
ESTADO DE POSTVENTAS:  ",GENERAL!AI6))</f>
        <v>OK
ESTADO DE POSTVENTAS:  POSTVENTA CORREGIDA</v>
      </c>
      <c r="AI5" s="51" t="str">
        <f>+IF(GENERAL!AG6=GENERAL!$AI$2,GENERAL!$AI$2,CONCATENATE(OBSERVACIONES!AF5,"
ESTADO DE POSTVENTAS:  ",GENERAL!AG6))</f>
        <v>OK
ESTADO DE POSTVENTAS:  POSTVENTA CORREGIDA</v>
      </c>
      <c r="AJ5" s="51" t="str">
        <f>+IF(GENERAL!AI6=GENERAL!$AI$2,GENERAL!$AI$2,CONCATENATE(OBSERVACIONES!AH5,"
ESTADO DE POSTVENTAS:  ",GENERAL!AI6))</f>
        <v>OK
ESTADO DE POSTVENTAS:  POSTVENTA CORREGIDA</v>
      </c>
      <c r="AK5" s="51" t="str">
        <f>+IF(GENERAL!AJ6=GENERAL!$AI$2,GENERAL!$AI$2,CONCATENATE(OBSERVACIONES!AI5,"
ESTADO DE POSTVENTAS:  ",GENERAL!AJ6))</f>
        <v>OK
ESTADO DE POSTVENTAS:  POSTVENTA CORREGIDA</v>
      </c>
      <c r="AL5" s="51" t="str">
        <f>+IF(GENERAL!AK6=GENERAL!$AI$2,GENERAL!$AI$2,CONCATENATE(OBSERVACIONES!AJ5,"
ESTADO DE POSTVENTAS:  ",GENERAL!AK6))</f>
        <v>OK
ESTADO DE POSTVENTAS:  POSTVENTA CORREGIDA</v>
      </c>
      <c r="AM5" s="70" t="str">
        <f>+IF(GENERAL!AN6=GENERAL!$AI$2,GENERAL!$AI$2,CONCATENATE(OBSERVACIONES!AM5,"
ESTADO DE POSTVENTAS:  ",GENERAL!AN6))</f>
        <v>DETALLE CAMBIO
ESTADO DE POSTVENTAS:  TIENE POSTVENTA</v>
      </c>
      <c r="AN5" s="37">
        <v>5</v>
      </c>
      <c r="AO5" s="37">
        <v>6</v>
      </c>
      <c r="AP5" s="37">
        <v>3</v>
      </c>
      <c r="AQ5" s="37">
        <v>3</v>
      </c>
      <c r="AR5" s="43">
        <v>12</v>
      </c>
      <c r="AS5" s="40">
        <v>11</v>
      </c>
      <c r="AT5" s="37">
        <f>COUNTIFS($D$5:$AM$5,"&lt;&gt;"&amp;CODICIONALES!$A$1,$D$5:$AM$5,"&lt;&gt;"&amp;CODICIONALES!$A$2,$D$5:$AM$5,"&lt;&gt;"&amp;CODICIONALES!$B$2,$D$5:$AM$5,"&lt;&gt;"&amp;CODICIONALES!$C$2)</f>
        <v>6</v>
      </c>
      <c r="AU5" s="43">
        <f>COUNTIFS(D5:AM5,CODICIONALES!$A$2)</f>
        <v>28</v>
      </c>
      <c r="AV5" s="40">
        <f>COUNTA(D5:AM5)-SUM(AT5:AU5)</f>
        <v>2</v>
      </c>
    </row>
    <row r="6" spans="1:48" ht="51" customHeight="1" thickBot="1" x14ac:dyDescent="0.3">
      <c r="A6" s="110"/>
      <c r="B6" s="2">
        <v>2</v>
      </c>
      <c r="C6" s="13" t="s">
        <v>41</v>
      </c>
      <c r="D6" s="51" t="str">
        <f>+IF(GENERAL!E7=GENERAL!$AI$2,GENERAL!$AI$2,CONCATENATE(OBSERVACIONES!D6,"
ESTADO DE POSTVENTAS:  ",GENERAL!E7))</f>
        <v>NO ENTREGADO
ESTADO DE POSTVENTAS:  TIENE POSTVENTA</v>
      </c>
      <c r="E6" s="70" t="str">
        <f>+IF(GENERAL!F7=GENERAL!$AI$2,GENERAL!$AI$2,CONCATENATE(OBSERVACIONES!E6,"
ESTADO DE POSTVENTAS:  ",GENERAL!F7))</f>
        <v>OK
ESTADO DE POSTVENTAS:  POSTVENTA CORREGIDA</v>
      </c>
      <c r="F6" s="51" t="str">
        <f>+IF(GENERAL!G7=GENERAL!$AI$2,GENERAL!$AI$2,CONCATENATE(OBSERVACIONES!F6,"
ESTADO DE POSTVENTAS:  ",GENERAL!G7))</f>
        <v>OK
ESTADO DE POSTVENTAS:  POSTVENTA CORREGIDA</v>
      </c>
      <c r="G6" s="51" t="str">
        <f>+IF(GENERAL!H7=GENERAL!$AI$2,GENERAL!$AI$2,CONCATENATE(OBSERVACIONES!G6,"
ESTADO DE POSTVENTAS:  ",GENERAL!H7))</f>
        <v>NO ENTREGADO
ESTADO DE POSTVENTAS:  TIENE POSTVENTA</v>
      </c>
      <c r="H6" s="51" t="str">
        <f>+IF(GENERAL!I7=GENERAL!$AI$2,GENERAL!$AI$2,CONCATENATE(OBSERVACIONES!H6,"
ESTADO DE POSTVENTAS:  ",GENERAL!I7))</f>
        <v>OK
ESTADO DE POSTVENTAS:  POSTVENTA CORREGIDA</v>
      </c>
      <c r="I6" s="51" t="str">
        <f>+IF(GENERAL!J7=GENERAL!$AI$2,GENERAL!$AI$2,CONCATENATE(OBSERVACIONES!I6,"
ESTADO DE POSTVENTAS:  ",GENERAL!J7))</f>
        <v>OK
ESTADO DE POSTVENTAS:  POSTVENTA CORREGIDA</v>
      </c>
      <c r="J6" s="51" t="str">
        <f>+IF(GENERAL!K7=GENERAL!$AI$2,GENERAL!$AI$2,CONCATENATE(OBSERVACIONES!J6,"
ESTADO DE POSTVENTAS:  ",GENERAL!K7))</f>
        <v>OK
ESTADO DE POSTVENTAS:  POSTVENTA CORREGIDA</v>
      </c>
      <c r="K6" s="51" t="str">
        <f>+IF(GENERAL!L7=GENERAL!$AI$2,GENERAL!$AI$2,CONCATENATE(OBSERVACIONES!K6,"
ESTADO DE POSTVENTAS:  ",GENERAL!L7))</f>
        <v>OK
ESTADO DE POSTVENTAS:  POSTVENTA CORREGIDA</v>
      </c>
      <c r="L6" s="51" t="str">
        <f>+IF(GENERAL!M7=GENERAL!$AI$2,GENERAL!$AI$2,CONCATENATE(OBSERVACIONES!L6,"
ESTADO DE POSTVENTAS:  ",GENERAL!M7))</f>
        <v>OK
ESTADO DE POSTVENTAS:  POSTVENTA CORREGIDA</v>
      </c>
      <c r="M6" s="70" t="str">
        <f>+IF(GENERAL!N7=GENERAL!$AI$2,GENERAL!$AI$2,CONCATENATE(OBSERVACIONES!M6,"
ESTADO DE POSTVENTAS:  ",GENERAL!N7))</f>
        <v>OK
ESTADO DE POSTVENTAS:  POSTVENTA CORREGIDA</v>
      </c>
      <c r="N6" s="51" t="str">
        <f>+IF(GENERAL!O7=GENERAL!$AI$2,GENERAL!$AI$2,CONCATENATE(OBSERVACIONES!N6,"
ESTADO DE POSTVENTAS:  ",GENERAL!O7))</f>
        <v>OK
ESTADO DE POSTVENTAS:  POSTVENTA CORREGIDA</v>
      </c>
      <c r="O6" s="51" t="str">
        <f>+IF(GENERAL!P7=GENERAL!$AI$2,GENERAL!$AI$2,CONCATENATE(OBSERVACIONES!O6,"
ESTADO DE POSTVENTAS:  ",GENERAL!P7))</f>
        <v>OK
ESTADO DE POSTVENTAS:  POSTVENTA CORREGIDA</v>
      </c>
      <c r="P6" s="70" t="str">
        <f>+IF(GENERAL!Q7=GENERAL!$AI$2,GENERAL!$AI$2,CONCATENATE(OBSERVACIONES!P6,"
ESTADO DE POSTVENTAS:  ",GENERAL!Q7))</f>
        <v>OK
ESTADO DE POSTVENTAS:  POSTVENTA CORREGIDA</v>
      </c>
      <c r="Q6" s="70" t="str">
        <f>+IF(GENERAL!R7=GENERAL!$AI$2,GENERAL!$AI$2,CONCATENATE(OBSERVACIONES!Q6,"
ESTADO DE POSTVENTAS:  ",GENERAL!R7))</f>
        <v>OK
ESTADO DE POSTVENTAS:  POSTVENTA CORREGIDA</v>
      </c>
      <c r="R6" s="51" t="str">
        <f>+IF(GENERAL!S7=GENERAL!$AI$2,GENERAL!$AI$2,CONCATENATE(OBSERVACIONES!R6,"
ESTADO DE POSTVENTAS:  ",GENERAL!S7))</f>
        <v>OK
ESTADO DE POSTVENTAS:  POSTVENTA CORREGIDA</v>
      </c>
      <c r="S6" s="51" t="str">
        <f>+IF(GENERAL!T7=GENERAL!$AI$2,GENERAL!$AI$2,CONCATENATE(OBSERVACIONES!S6,"
ESTADO DE POSTVENTAS:  ",GENERAL!T7))</f>
        <v>OK
ESTADO DE POSTVENTAS:  POSTVENTA CORREGIDA</v>
      </c>
      <c r="T6" s="51" t="str">
        <f>+IF(GENERAL!U7=GENERAL!$AI$2,GENERAL!$AI$2,CONCATENATE(OBSERVACIONES!T6,"
ESTADO DE POSTVENTAS:  ",GENERAL!U7))</f>
        <v>OK
ESTADO DE POSTVENTAS:  POSTVENTA CORREGIDA</v>
      </c>
      <c r="U6" s="51" t="str">
        <f>+IF(GENERAL!V7=GENERAL!$AI$2,GENERAL!$AI$2,CONCATENATE(OBSERVACIONES!U6,"
ESTADO DE POSTVENTAS:  ",GENERAL!V7))</f>
        <v>OK
ESTADO DE POSTVENTAS:  POSTVENTA CORREGIDA</v>
      </c>
      <c r="V6" s="51" t="str">
        <f>+IF(GENERAL!W7=GENERAL!$AI$2,GENERAL!$AI$2,CONCATENATE(OBSERVACIONES!V6,"
ESTADO DE POSTVENTAS:  ",GENERAL!W7))</f>
        <v>OK
ESTADO DE POSTVENTAS:  POSTVENTA CORREGIDA</v>
      </c>
      <c r="W6" s="51" t="str">
        <f>+IF(GENERAL!V7=GENERAL!$AI$2,GENERAL!$AI$2,CONCATENATE(OBSERVACIONES!W6,"
ESTADO DE POSTVENTAS:  ",GENERAL!V7))</f>
        <v>OK
ESTADO DE POSTVENTAS:  POSTVENTA CORREGIDA</v>
      </c>
      <c r="X6" s="51" t="str">
        <f>+IF(GENERAL!W7=GENERAL!$AI$2,GENERAL!$AI$2,CONCATENATE(OBSERVACIONES!X6,"
ESTADO DE POSTVENTAS:  ",GENERAL!W7))</f>
        <v>OK
ESTADO DE POSTVENTAS:  POSTVENTA CORREGIDA</v>
      </c>
      <c r="Y6" s="51" t="str">
        <f>+IF(GENERAL!Z7=GENERAL!$AI$2,GENERAL!$AI$2,CONCATENATE(OBSERVACIONES!Y6,"
ESTADO DE POSTVENTAS:  ",GENERAL!Z7))</f>
        <v>OK
ESTADO DE POSTVENTAS:  POSTVENTA CORREGIDA</v>
      </c>
      <c r="Z6" s="51" t="str">
        <f>+IF(GENERAL!AA7=GENERAL!$AI$2,GENERAL!$AI$2,CONCATENATE(OBSERVACIONES!Z6,"
ESTADO DE POSTVENTAS:  ",GENERAL!AA7))</f>
        <v>OK
ESTADO DE POSTVENTAS:  POSTVENTA CORREGIDA</v>
      </c>
      <c r="AA6" s="51" t="str">
        <f>+IF(GENERAL!AB7=GENERAL!$AI$2,GENERAL!$AI$2,CONCATENATE(OBSERVACIONES!AA6,"
ESTADO DE POSTVENTAS:  ",GENERAL!AB7))</f>
        <v>OK
ESTADO DE POSTVENTAS:  POSTVENTA CORREGIDA</v>
      </c>
      <c r="AB6" s="51" t="str">
        <f>+IF(GENERAL!AC7=GENERAL!$AI$2,GENERAL!$AI$2,CONCATENATE(OBSERVACIONES!AB6,"
ESTADO DE POSTVENTAS:  ",GENERAL!AC7))</f>
        <v>OK
ESTADO DE POSTVENTAS:  POSTVENTA CORREGIDA</v>
      </c>
      <c r="AC6" s="51" t="str">
        <f>+IF(GENERAL!AD7=GENERAL!$AI$2,GENERAL!$AI$2,CONCATENATE(OBSERVACIONES!AC6,"
ESTADO DE POSTVENTAS:  ",GENERAL!AD7))</f>
        <v>OK
ESTADO DE POSTVENTAS:  POSTVENTA CORREGIDA</v>
      </c>
      <c r="AD6" s="51" t="str">
        <f>+IF(GENERAL!AE7=GENERAL!$AI$2,GENERAL!$AI$2,CONCATENATE(OBSERVACIONES!AD6,"
ESTADO DE POSTVENTAS:  ",GENERAL!AE7))</f>
        <v>OK
ESTADO DE POSTVENTAS:  POSTVENTA CORREGIDA</v>
      </c>
      <c r="AE6" s="51" t="str">
        <f>+IF(GENERAL!AF7=GENERAL!$AI$2,GENERAL!$AI$2,CONCATENATE(OBSERVACIONES!AE6,"
ESTADO DE POSTVENTAS:  ",GENERAL!AF7))</f>
        <v>OK
ESTADO DE POSTVENTAS:  POSTVENTA CORREGIDA</v>
      </c>
      <c r="AF6" s="51" t="str">
        <f>+IF(GENERAL!AG7=GENERAL!$AI$2,GENERAL!$AI$2,CONCATENATE(OBSERVACIONES!AF6,"
ESTADO DE POSTVENTAS:  ",GENERAL!AG7))</f>
        <v>OK
ESTADO DE POSTVENTAS:  POSTVENTA CORREGIDA</v>
      </c>
      <c r="AG6" s="51" t="str">
        <f>+IF(GENERAL!AH7=GENERAL!$AI$2,GENERAL!$AI$2,CONCATENATE(OBSERVACIONES!AG6,"
ESTADO DE POSTVENTAS:  ",GENERAL!AH7))</f>
        <v>OK
ESTADO DE POSTVENTAS:  POSTVENTA CORREGIDA</v>
      </c>
      <c r="AH6" s="51" t="str">
        <f>+IF(GENERAL!AI7=GENERAL!$AI$2,GENERAL!$AI$2,CONCATENATE(OBSERVACIONES!AH6,"
ESTADO DE POSTVENTAS:  ",GENERAL!AI7))</f>
        <v>OK
ESTADO DE POSTVENTAS:  POSTVENTA CORREGIDA</v>
      </c>
      <c r="AI6" s="51" t="str">
        <f>+IF(GENERAL!AG7=GENERAL!$AI$2,GENERAL!$AI$2,CONCATENATE(OBSERVACIONES!AF6,"
ESTADO DE POSTVENTAS:  ",GENERAL!AG7))</f>
        <v>OK
ESTADO DE POSTVENTAS:  POSTVENTA CORREGIDA</v>
      </c>
      <c r="AJ6" s="51" t="str">
        <f>+IF(GENERAL!AI7=GENERAL!$AI$2,GENERAL!$AI$2,CONCATENATE(OBSERVACIONES!AH6,"
ESTADO DE POSTVENTAS:  ",GENERAL!AI7))</f>
        <v>OK
ESTADO DE POSTVENTAS:  POSTVENTA CORREGIDA</v>
      </c>
      <c r="AK6" s="51" t="str">
        <f>+IF(GENERAL!AJ7=GENERAL!$AI$2,GENERAL!$AI$2,CONCATENATE(OBSERVACIONES!AI6,"
ESTADO DE POSTVENTAS:  ",GENERAL!AJ7))</f>
        <v>OK
ESTADO DE POSTVENTAS:  POSTVENTA CORREGIDA</v>
      </c>
      <c r="AL6" s="51" t="str">
        <f>+IF(GENERAL!AK7=GENERAL!$AI$2,GENERAL!$AI$2,CONCATENATE(OBSERVACIONES!AJ6,"
ESTADO DE POSTVENTAS:  ",GENERAL!AK7))</f>
        <v>OK
ESTADO DE POSTVENTAS:  POSTVENTA CORREGIDA</v>
      </c>
      <c r="AM6" s="51" t="str">
        <f>+IF(GENERAL!AN7=GENERAL!$AI$2,GENERAL!$AI$2,CONCATENATE(OBSERVACIONES!AM6,"
ESTADO DE POSTVENTAS:  ",GENERAL!AN7))</f>
        <v>OK
ESTADO DE POSTVENTAS:  POSTVENTA CORREGIDA</v>
      </c>
      <c r="AN6" s="37">
        <v>1</v>
      </c>
      <c r="AO6" s="37">
        <v>10</v>
      </c>
      <c r="AP6" s="37">
        <v>3</v>
      </c>
      <c r="AQ6" s="37">
        <v>1</v>
      </c>
      <c r="AR6" s="43">
        <v>14</v>
      </c>
      <c r="AS6" s="40">
        <v>11</v>
      </c>
      <c r="AT6" s="37">
        <f>COUNTIFS($D$5:$AM$5,"&lt;&gt;"&amp;CODICIONALES!$A$1,$D$5:$AM$5,"&lt;&gt;"&amp;CODICIONALES!$A$2,$D$5:$AM$5,"&lt;&gt;"&amp;CODICIONALES!$B$2,$D$5:$AM$5,"&lt;&gt;"&amp;CODICIONALES!$C$2)</f>
        <v>6</v>
      </c>
      <c r="AU6" s="43">
        <f>COUNTIFS(D6:AM6,CODICIONALES!$A$2)</f>
        <v>34</v>
      </c>
      <c r="AV6" s="40">
        <f t="shared" ref="AV6:AV69" si="0">COUNTA(D6:AM6)-SUM(AT6:AU6)</f>
        <v>-4</v>
      </c>
    </row>
    <row r="7" spans="1:48" ht="51" customHeight="1" x14ac:dyDescent="0.25">
      <c r="A7" s="110"/>
      <c r="B7" s="2">
        <v>3</v>
      </c>
      <c r="C7" s="20" t="s">
        <v>42</v>
      </c>
      <c r="D7" s="51" t="str">
        <f>+IF(GENERAL!E8=GENERAL!$AI$2,GENERAL!$AI$2,CONCATENATE(OBSERVACIONES!D7,"
ESTADO DE POSTVENTAS:  ",GENERAL!E8))</f>
        <v>NO ENTREGADO
ESTADO DE POSTVENTAS:  TIENE POSTVENTA</v>
      </c>
      <c r="E7" s="51" t="str">
        <f>+IF(GENERAL!F8=GENERAL!$AI$2,GENERAL!$AI$2,CONCATENATE(OBSERVACIONES!E7,"
ESTADO DE POSTVENTAS:  ",GENERAL!F8))</f>
        <v>OK
ESTADO DE POSTVENTAS:  POSTVENTA CORREGIDA</v>
      </c>
      <c r="F7" s="51" t="str">
        <f>+IF(GENERAL!G8=GENERAL!$AI$2,GENERAL!$AI$2,CONCATENATE(OBSERVACIONES!F7,"
ESTADO DE POSTVENTAS:  ",GENERAL!G8))</f>
        <v>OK
ESTADO DE POSTVENTAS:  POSTVENTA CORREGIDA</v>
      </c>
      <c r="G7" s="51" t="str">
        <f>+IF(GENERAL!H8=GENERAL!$AI$2,GENERAL!$AI$2,CONCATENATE(OBSERVACIONES!G7,"
ESTADO DE POSTVENTAS:  ",GENERAL!H8))</f>
        <v>NO ENTREGADO
ESTADO DE POSTVENTAS:  TIENE POSTVENTA</v>
      </c>
      <c r="H7" s="51" t="str">
        <f>+IF(GENERAL!I8=GENERAL!$AI$2,GENERAL!$AI$2,CONCATENATE(OBSERVACIONES!H7,"
ESTADO DE POSTVENTAS:  ",GENERAL!I8))</f>
        <v>OK
ESTADO DE POSTVENTAS:  POSTVENTA CORREGIDA</v>
      </c>
      <c r="I7" s="51" t="str">
        <f>+IF(GENERAL!J8=GENERAL!$AI$2,GENERAL!$AI$2,CONCATENATE(OBSERVACIONES!I7,"
ESTADO DE POSTVENTAS:  ",GENERAL!J8))</f>
        <v>OK
ESTADO DE POSTVENTAS:  POSTVENTA CORREGIDA</v>
      </c>
      <c r="J7" s="51" t="str">
        <f>+IF(GENERAL!K8=GENERAL!$AI$2,GENERAL!$AI$2,CONCATENATE(OBSERVACIONES!J7,"
ESTADO DE POSTVENTAS:  ",GENERAL!K8))</f>
        <v>OK
ESTADO DE POSTVENTAS:  POSTVENTA CORREGIDA</v>
      </c>
      <c r="K7" s="51" t="str">
        <f>+IF(GENERAL!L8=GENERAL!$AI$2,GENERAL!$AI$2,CONCATENATE(OBSERVACIONES!K7,"
ESTADO DE POSTVENTAS:  ",GENERAL!L8))</f>
        <v>OK
ESTADO DE POSTVENTAS:  POSTVENTA CORREGIDA</v>
      </c>
      <c r="L7" s="51" t="str">
        <f>+IF(GENERAL!M8=GENERAL!$AI$2,GENERAL!$AI$2,CONCATENATE(OBSERVACIONES!L7,"
ESTADO DE POSTVENTAS:  ",GENERAL!M8))</f>
        <v>OK
ESTADO DE POSTVENTAS:  POSTVENTA CORREGIDA</v>
      </c>
      <c r="M7" s="70" t="str">
        <f>+IF(GENERAL!N8=GENERAL!$AI$2,GENERAL!$AI$2,CONCATENATE(OBSERVACIONES!M7,"
ESTADO DE POSTVENTAS:  ",GENERAL!N8))</f>
        <v>OK
ESTADO DE POSTVENTAS:  POSTVENTA CORREGIDA</v>
      </c>
      <c r="N7" s="51" t="str">
        <f>+IF(GENERAL!O8=GENERAL!$AI$2,GENERAL!$AI$2,CONCATENATE(OBSERVACIONES!N7,"
ESTADO DE POSTVENTAS:  ",GENERAL!O8))</f>
        <v>OK
ESTADO DE POSTVENTAS:  POSTVENTA CORREGIDA</v>
      </c>
      <c r="O7" s="51" t="str">
        <f>+IF(GENERAL!P8=GENERAL!$AI$2,GENERAL!$AI$2,CONCATENATE(OBSERVACIONES!O7,"
ESTADO DE POSTVENTAS:  ",GENERAL!P8))</f>
        <v>OK
ESTADO DE POSTVENTAS:  POSTVENTA CORREGIDA</v>
      </c>
      <c r="P7" s="70" t="str">
        <f>+IF(GENERAL!Q8=GENERAL!$AI$2,GENERAL!$AI$2,CONCATENATE(OBSERVACIONES!P7,"
ESTADO DE POSTVENTAS:  ",GENERAL!Q8))</f>
        <v>OK
ESTADO DE POSTVENTAS:  POSTVENTA CORREGIDA</v>
      </c>
      <c r="Q7" s="70" t="str">
        <f>+IF(GENERAL!R8=GENERAL!$AI$2,GENERAL!$AI$2,CONCATENATE(OBSERVACIONES!Q7,"
ESTADO DE POSTVENTAS:  ",GENERAL!R8))</f>
        <v>OK
ESTADO DE POSTVENTAS:  POSTVENTA CORREGIDA</v>
      </c>
      <c r="R7" s="51" t="str">
        <f>+IF(GENERAL!S8=GENERAL!$AI$2,GENERAL!$AI$2,CONCATENATE(OBSERVACIONES!R7,"
ESTADO DE POSTVENTAS:  ",GENERAL!S8))</f>
        <v>OK
ESTADO DE POSTVENTAS:  POSTVENTA CORREGIDA</v>
      </c>
      <c r="S7" s="51" t="str">
        <f>+IF(GENERAL!T8=GENERAL!$AI$2,GENERAL!$AI$2,CONCATENATE(OBSERVACIONES!S7,"
ESTADO DE POSTVENTAS:  ",GENERAL!T8))</f>
        <v>OK
ESTADO DE POSTVENTAS:  POSTVENTA CORREGIDA</v>
      </c>
      <c r="T7" s="51" t="str">
        <f>+IF(GENERAL!U8=GENERAL!$AI$2,GENERAL!$AI$2,CONCATENATE(OBSERVACIONES!T7,"
ESTADO DE POSTVENTAS:  ",GENERAL!U8))</f>
        <v>OK
ESTADO DE POSTVENTAS:  POSTVENTA CORREGIDA</v>
      </c>
      <c r="U7" s="51" t="str">
        <f>+IF(GENERAL!V8=GENERAL!$AI$2,GENERAL!$AI$2,CONCATENATE(OBSERVACIONES!U7,"
ESTADO DE POSTVENTAS:  ",GENERAL!V8))</f>
        <v>OK
ESTADO DE POSTVENTAS:  POSTVENTA CORREGIDA</v>
      </c>
      <c r="V7" s="51" t="str">
        <f>+IF(GENERAL!W8=GENERAL!$AI$2,GENERAL!$AI$2,CONCATENATE(OBSERVACIONES!V7,"
ESTADO DE POSTVENTAS:  ",GENERAL!W8))</f>
        <v>OK
ESTADO DE POSTVENTAS:  POSTVENTA CORREGIDA</v>
      </c>
      <c r="W7" s="51" t="str">
        <f>+IF(GENERAL!V8=GENERAL!$AI$2,GENERAL!$AI$2,CONCATENATE(OBSERVACIONES!W7,"
ESTADO DE POSTVENTAS:  ",GENERAL!V8))</f>
        <v>OK
ESTADO DE POSTVENTAS:  POSTVENTA CORREGIDA</v>
      </c>
      <c r="X7" s="51" t="str">
        <f>+IF(GENERAL!W8=GENERAL!$AI$2,GENERAL!$AI$2,CONCATENATE(OBSERVACIONES!X7,"
ESTADO DE POSTVENTAS:  ",GENERAL!W8))</f>
        <v>OK
ESTADO DE POSTVENTAS:  POSTVENTA CORREGIDA</v>
      </c>
      <c r="Y7" s="51" t="str">
        <f>+IF(GENERAL!Z8=GENERAL!$AI$2,GENERAL!$AI$2,CONCATENATE(OBSERVACIONES!Y7,"
ESTADO DE POSTVENTAS:  ",GENERAL!Z8))</f>
        <v>OK
ESTADO DE POSTVENTAS:  POSTVENTA CORREGIDA</v>
      </c>
      <c r="Z7" s="51" t="str">
        <f>+IF(GENERAL!AA8=GENERAL!$AI$2,GENERAL!$AI$2,CONCATENATE(OBSERVACIONES!Z7,"
ESTADO DE POSTVENTAS:  ",GENERAL!AA8))</f>
        <v>OK
ESTADO DE POSTVENTAS:  POSTVENTA CORREGIDA</v>
      </c>
      <c r="AA7" s="51" t="str">
        <f>+IF(GENERAL!AB8=GENERAL!$AI$2,GENERAL!$AI$2,CONCATENATE(OBSERVACIONES!AA7,"
ESTADO DE POSTVENTAS:  ",GENERAL!AB8))</f>
        <v>OK
ESTADO DE POSTVENTAS:  POSTVENTA CORREGIDA</v>
      </c>
      <c r="AB7" s="51" t="str">
        <f>+IF(GENERAL!AC8=GENERAL!$AI$2,GENERAL!$AI$2,CONCATENATE(OBSERVACIONES!AB7,"
ESTADO DE POSTVENTAS:  ",GENERAL!AC8))</f>
        <v>OK
ESTADO DE POSTVENTAS:  POSTVENTA CORREGIDA</v>
      </c>
      <c r="AC7" s="51" t="str">
        <f>+IF(GENERAL!AD8=GENERAL!$AI$2,GENERAL!$AI$2,CONCATENATE(OBSERVACIONES!AC7,"
ESTADO DE POSTVENTAS:  ",GENERAL!AD8))</f>
        <v>OK
ESTADO DE POSTVENTAS:  POSTVENTA CORREGIDA</v>
      </c>
      <c r="AD7" s="51" t="str">
        <f>+IF(GENERAL!AE8=GENERAL!$AI$2,GENERAL!$AI$2,CONCATENATE(OBSERVACIONES!AD7,"
ESTADO DE POSTVENTAS:  ",GENERAL!AE8))</f>
        <v>OK
ESTADO DE POSTVENTAS:  POSTVENTA CORREGIDA</v>
      </c>
      <c r="AE7" s="51" t="str">
        <f>+IF(GENERAL!AF8=GENERAL!$AI$2,GENERAL!$AI$2,CONCATENATE(OBSERVACIONES!AE7,"
ESTADO DE POSTVENTAS:  ",GENERAL!AF8))</f>
        <v>OK
ESTADO DE POSTVENTAS:  POSTVENTA CORREGIDA</v>
      </c>
      <c r="AF7" s="51" t="str">
        <f>+IF(GENERAL!AG8=GENERAL!$AI$2,GENERAL!$AI$2,CONCATENATE(OBSERVACIONES!AF7,"
ESTADO DE POSTVENTAS:  ",GENERAL!AG8))</f>
        <v>OK
ESTADO DE POSTVENTAS:  POSTVENTA CORREGIDA</v>
      </c>
      <c r="AG7" s="51" t="str">
        <f>+IF(GENERAL!AH8=GENERAL!$AI$2,GENERAL!$AI$2,CONCATENATE(OBSERVACIONES!AG7,"
ESTADO DE POSTVENTAS:  ",GENERAL!AH8))</f>
        <v>OK
ESTADO DE POSTVENTAS:  POSTVENTA CORREGIDA</v>
      </c>
      <c r="AH7" s="51" t="str">
        <f>+IF(GENERAL!AI8=GENERAL!$AI$2,GENERAL!$AI$2,CONCATENATE(OBSERVACIONES!AH7,"
ESTADO DE POSTVENTAS:  ",GENERAL!AI8))</f>
        <v>OK
ESTADO DE POSTVENTAS:  POSTVENTA CORREGIDA</v>
      </c>
      <c r="AI7" s="51" t="str">
        <f>+IF(GENERAL!AG8=GENERAL!$AI$2,GENERAL!$AI$2,CONCATENATE(OBSERVACIONES!AF7,"
ESTADO DE POSTVENTAS:  ",GENERAL!AG8))</f>
        <v>OK
ESTADO DE POSTVENTAS:  POSTVENTA CORREGIDA</v>
      </c>
      <c r="AJ7" s="51" t="str">
        <f>+IF(GENERAL!AI8=GENERAL!$AI$2,GENERAL!$AI$2,CONCATENATE(OBSERVACIONES!AH7,"
ESTADO DE POSTVENTAS:  ",GENERAL!AI8))</f>
        <v>OK
ESTADO DE POSTVENTAS:  POSTVENTA CORREGIDA</v>
      </c>
      <c r="AK7" s="51" t="str">
        <f>+IF(GENERAL!AJ8=GENERAL!$AI$2,GENERAL!$AI$2,CONCATENATE(OBSERVACIONES!AI7,"
ESTADO DE POSTVENTAS:  ",GENERAL!AJ8))</f>
        <v>OK
ESTADO DE POSTVENTAS:  POSTVENTA CORREGIDA</v>
      </c>
      <c r="AL7" s="51" t="str">
        <f>+IF(GENERAL!AK8=GENERAL!$AI$2,GENERAL!$AI$2,CONCATENATE(OBSERVACIONES!AJ7,"
ESTADO DE POSTVENTAS:  ",GENERAL!AK8))</f>
        <v>OK
ESTADO DE POSTVENTAS:  POSTVENTA CORREGIDA</v>
      </c>
      <c r="AM7" s="51" t="str">
        <f>+IF(GENERAL!AN8=GENERAL!$AI$2,GENERAL!$AI$2,CONCATENATE(OBSERVACIONES!AM7,"
ESTADO DE POSTVENTAS:  ",GENERAL!AN8))</f>
        <v>OK
ESTADO DE POSTVENTAS:  POSTVENTA CORREGIDA</v>
      </c>
      <c r="AN7" s="37">
        <v>0</v>
      </c>
      <c r="AO7" s="37">
        <v>11</v>
      </c>
      <c r="AP7" s="37">
        <v>3</v>
      </c>
      <c r="AQ7" s="37">
        <v>0</v>
      </c>
      <c r="AR7" s="43">
        <v>14</v>
      </c>
      <c r="AS7" s="40">
        <v>12</v>
      </c>
      <c r="AT7" s="37">
        <f>COUNTIFS($D$5:$AM$5,"&lt;&gt;"&amp;CODICIONALES!$A$1,$D$5:$AM$5,"&lt;&gt;"&amp;CODICIONALES!$A$2,$D$5:$AM$5,"&lt;&gt;"&amp;CODICIONALES!$B$2,$D$5:$AM$5,"&lt;&gt;"&amp;CODICIONALES!$C$2)</f>
        <v>6</v>
      </c>
      <c r="AU7" s="43">
        <f>COUNTIFS(D7:AM7,CODICIONALES!$A$2)</f>
        <v>34</v>
      </c>
      <c r="AV7" s="40">
        <f t="shared" si="0"/>
        <v>-4</v>
      </c>
    </row>
    <row r="8" spans="1:48" ht="51" customHeight="1" x14ac:dyDescent="0.25">
      <c r="A8" s="110"/>
      <c r="B8" s="2">
        <v>4</v>
      </c>
      <c r="C8" s="21" t="s">
        <v>43</v>
      </c>
      <c r="D8" s="51" t="str">
        <f>+IF(GENERAL!E9=GENERAL!$AI$2,GENERAL!$AI$2,CONCATENATE(OBSERVACIONES!D8,"
ESTADO DE POSTVENTAS:  ",GENERAL!E9))</f>
        <v>NO ENTREGADO
ESTADO DE POSTVENTAS:  TIENE POSTVENTA</v>
      </c>
      <c r="E8" s="51" t="str">
        <f>+IF(GENERAL!F9=GENERAL!$AI$2,GENERAL!$AI$2,CONCATENATE(OBSERVACIONES!E8,"
ESTADO DE POSTVENTAS:  ",GENERAL!F9))</f>
        <v>OK
ESTADO DE POSTVENTAS:  POSTVENTA CORREGIDA</v>
      </c>
      <c r="F8" s="51" t="str">
        <f>+IF(GENERAL!G9=GENERAL!$AI$2,GENERAL!$AI$2,CONCATENATE(OBSERVACIONES!F8,"
ESTADO DE POSTVENTAS:  ",GENERAL!G9))</f>
        <v>OK
ESTADO DE POSTVENTAS:  POSTVENTA CORREGIDA</v>
      </c>
      <c r="G8" s="51" t="str">
        <f>+IF(GENERAL!H9=GENERAL!$AI$2,GENERAL!$AI$2,CONCATENATE(OBSERVACIONES!G8,"
ESTADO DE POSTVENTAS:  ",GENERAL!H9))</f>
        <v>NO ENTREGADO
ESTADO DE POSTVENTAS:  TIENE POSTVENTA</v>
      </c>
      <c r="H8" s="51" t="str">
        <f>+IF(GENERAL!I9=GENERAL!$AI$2,GENERAL!$AI$2,CONCATENATE(OBSERVACIONES!H8,"
ESTADO DE POSTVENTAS:  ",GENERAL!I9))</f>
        <v>OK
ESTADO DE POSTVENTAS:  POSTVENTA CORREGIDA</v>
      </c>
      <c r="I8" s="51" t="str">
        <f>+IF(GENERAL!J9=GENERAL!$AI$2,GENERAL!$AI$2,CONCATENATE(OBSERVACIONES!I8,"
ESTADO DE POSTVENTAS:  ",GENERAL!J9))</f>
        <v>OK
ESTADO DE POSTVENTAS:  POSTVENTA CORREGIDA</v>
      </c>
      <c r="J8" s="51" t="str">
        <f>+IF(GENERAL!K9=GENERAL!$AI$2,GENERAL!$AI$2,CONCATENATE(OBSERVACIONES!J8,"
ESTADO DE POSTVENTAS:  ",GENERAL!K9))</f>
        <v>OK
ESTADO DE POSTVENTAS:  POSTVENTA CORREGIDA</v>
      </c>
      <c r="K8" s="51" t="str">
        <f>+IF(GENERAL!L9=GENERAL!$AI$2,GENERAL!$AI$2,CONCATENATE(OBSERVACIONES!K8,"
ESTADO DE POSTVENTAS:  ",GENERAL!L9))</f>
        <v>OK
ESTADO DE POSTVENTAS:  POSTVENTA CORREGIDA</v>
      </c>
      <c r="L8" s="51" t="str">
        <f>+IF(GENERAL!M9=GENERAL!$AI$2,GENERAL!$AI$2,CONCATENATE(OBSERVACIONES!L8,"
ESTADO DE POSTVENTAS:  ",GENERAL!M9))</f>
        <v>OK
ESTADO DE POSTVENTAS:  POSTVENTA CORREGIDA</v>
      </c>
      <c r="M8" s="70" t="str">
        <f>+IF(GENERAL!N9=GENERAL!$AI$2,GENERAL!$AI$2,CONCATENATE(OBSERVACIONES!M8,"
ESTADO DE POSTVENTAS:  ",GENERAL!N9))</f>
        <v>OK
ESTADO DE POSTVENTAS:  POSTVENTA CORREGIDA</v>
      </c>
      <c r="N8" s="51" t="str">
        <f>+IF(GENERAL!O9=GENERAL!$AI$2,GENERAL!$AI$2,CONCATENATE(OBSERVACIONES!N8,"
ESTADO DE POSTVENTAS:  ",GENERAL!O9))</f>
        <v>OK
ESTADO DE POSTVENTAS:  POSTVENTA CORREGIDA</v>
      </c>
      <c r="O8" s="51" t="str">
        <f>+IF(GENERAL!P9=GENERAL!$AI$2,GENERAL!$AI$2,CONCATENATE(OBSERVACIONES!O8,"
ESTADO DE POSTVENTAS:  ",GENERAL!P9))</f>
        <v>OK
ESTADO DE POSTVENTAS:  POSTVENTA CORREGIDA</v>
      </c>
      <c r="P8" s="70" t="str">
        <f>+IF(GENERAL!Q9=GENERAL!$AI$2,GENERAL!$AI$2,CONCATENATE(OBSERVACIONES!P8,"
ESTADO DE POSTVENTAS:  ",GENERAL!Q9))</f>
        <v>OK
ESTADO DE POSTVENTAS:  POSTVENTA CORREGIDA</v>
      </c>
      <c r="Q8" s="70" t="str">
        <f>+IF(GENERAL!R9=GENERAL!$AI$2,GENERAL!$AI$2,CONCATENATE(OBSERVACIONES!Q8,"
ESTADO DE POSTVENTAS:  ",GENERAL!R9))</f>
        <v>OK
ESTADO DE POSTVENTAS:  POSTVENTA CORREGIDA</v>
      </c>
      <c r="R8" s="51" t="str">
        <f>+IF(GENERAL!S9=GENERAL!$AI$2,GENERAL!$AI$2,CONCATENATE(OBSERVACIONES!R8,"
ESTADO DE POSTVENTAS:  ",GENERAL!S9))</f>
        <v>OK
ESTADO DE POSTVENTAS:  POSTVENTA CORREGIDA</v>
      </c>
      <c r="S8" s="51" t="str">
        <f>+IF(GENERAL!T9=GENERAL!$AI$2,GENERAL!$AI$2,CONCATENATE(OBSERVACIONES!S8,"
ESTADO DE POSTVENTAS:  ",GENERAL!T9))</f>
        <v>OK
ESTADO DE POSTVENTAS:  POSTVENTA CORREGIDA</v>
      </c>
      <c r="T8" s="51" t="str">
        <f>+IF(GENERAL!U9=GENERAL!$AI$2,GENERAL!$AI$2,CONCATENATE(OBSERVACIONES!T8,"
ESTADO DE POSTVENTAS:  ",GENERAL!U9))</f>
        <v>OK
ESTADO DE POSTVENTAS:  POSTVENTA CORREGIDA</v>
      </c>
      <c r="U8" s="51" t="str">
        <f>+IF(GENERAL!V9=GENERAL!$AI$2,GENERAL!$AI$2,CONCATENATE(OBSERVACIONES!U8,"
ESTADO DE POSTVENTAS:  ",GENERAL!V9))</f>
        <v>OK
ESTADO DE POSTVENTAS:  POSTVENTA CORREGIDA</v>
      </c>
      <c r="V8" s="51" t="str">
        <f>+IF(GENERAL!W9=GENERAL!$AI$2,GENERAL!$AI$2,CONCATENATE(OBSERVACIONES!V8,"
ESTADO DE POSTVENTAS:  ",GENERAL!W9))</f>
        <v>OK
ESTADO DE POSTVENTAS:  POSTVENTA CORREGIDA</v>
      </c>
      <c r="W8" s="51" t="str">
        <f>+IF(GENERAL!V9=GENERAL!$AI$2,GENERAL!$AI$2,CONCATENATE(OBSERVACIONES!W8,"
ESTADO DE POSTVENTAS:  ",GENERAL!V9))</f>
        <v>OK
ESTADO DE POSTVENTAS:  POSTVENTA CORREGIDA</v>
      </c>
      <c r="X8" s="51" t="str">
        <f>+IF(GENERAL!W9=GENERAL!$AI$2,GENERAL!$AI$2,CONCATENATE(OBSERVACIONES!X8,"
ESTADO DE POSTVENTAS:  ",GENERAL!W9))</f>
        <v>OK
ESTADO DE POSTVENTAS:  POSTVENTA CORREGIDA</v>
      </c>
      <c r="Y8" s="51" t="str">
        <f>+IF(GENERAL!Z9=GENERAL!$AI$2,GENERAL!$AI$2,CONCATENATE(OBSERVACIONES!Y8,"
ESTADO DE POSTVENTAS:  ",GENERAL!Z9))</f>
        <v>OK
ESTADO DE POSTVENTAS:  POSTVENTA CORREGIDA</v>
      </c>
      <c r="Z8" s="51" t="str">
        <f>+IF(GENERAL!AA9=GENERAL!$AI$2,GENERAL!$AI$2,CONCATENATE(OBSERVACIONES!Z8,"
ESTADO DE POSTVENTAS:  ",GENERAL!AA9))</f>
        <v>OK
ESTADO DE POSTVENTAS:  POSTVENTA CORREGIDA</v>
      </c>
      <c r="AA8" s="51" t="str">
        <f>+IF(GENERAL!AB9=GENERAL!$AI$2,GENERAL!$AI$2,CONCATENATE(OBSERVACIONES!AA8,"
ESTADO DE POSTVENTAS:  ",GENERAL!AB9))</f>
        <v>OK
ESTADO DE POSTVENTAS:  POSTVENTA CORREGIDA</v>
      </c>
      <c r="AB8" s="51" t="str">
        <f>+IF(GENERAL!AC9=GENERAL!$AI$2,GENERAL!$AI$2,CONCATENATE(OBSERVACIONES!AB8,"
ESTADO DE POSTVENTAS:  ",GENERAL!AC9))</f>
        <v>OK
ESTADO DE POSTVENTAS:  POSTVENTA CORREGIDA</v>
      </c>
      <c r="AC8" s="51" t="str">
        <f>+IF(GENERAL!AD9=GENERAL!$AI$2,GENERAL!$AI$2,CONCATENATE(OBSERVACIONES!AC8,"
ESTADO DE POSTVENTAS:  ",GENERAL!AD9))</f>
        <v>OK
ESTADO DE POSTVENTAS:  POSTVENTA CORREGIDA</v>
      </c>
      <c r="AD8" s="51" t="str">
        <f>+IF(GENERAL!AE9=GENERAL!$AI$2,GENERAL!$AI$2,CONCATENATE(OBSERVACIONES!AD8,"
ESTADO DE POSTVENTAS:  ",GENERAL!AE9))</f>
        <v>OK
ESTADO DE POSTVENTAS:  POSTVENTA CORREGIDA</v>
      </c>
      <c r="AE8" s="51" t="str">
        <f>+IF(GENERAL!AF9=GENERAL!$AI$2,GENERAL!$AI$2,CONCATENATE(OBSERVACIONES!AE8,"
ESTADO DE POSTVENTAS:  ",GENERAL!AF9))</f>
        <v>OK
ESTADO DE POSTVENTAS:  POSTVENTA CORREGIDA</v>
      </c>
      <c r="AF8" s="51" t="str">
        <f>+IF(GENERAL!AG9=GENERAL!$AI$2,GENERAL!$AI$2,CONCATENATE(OBSERVACIONES!AF8,"
ESTADO DE POSTVENTAS:  ",GENERAL!AG9))</f>
        <v>OK
ESTADO DE POSTVENTAS:  POSTVENTA CORREGIDA</v>
      </c>
      <c r="AG8" s="51" t="str">
        <f>+IF(GENERAL!AH9=GENERAL!$AI$2,GENERAL!$AI$2,CONCATENATE(OBSERVACIONES!AG8,"
ESTADO DE POSTVENTAS:  ",GENERAL!AH9))</f>
        <v>OK
ESTADO DE POSTVENTAS:  POSTVENTA CORREGIDA</v>
      </c>
      <c r="AH8" s="51" t="str">
        <f>+IF(GENERAL!AI9=GENERAL!$AI$2,GENERAL!$AI$2,CONCATENATE(OBSERVACIONES!AH8,"
ESTADO DE POSTVENTAS:  ",GENERAL!AI9))</f>
        <v>OK
ESTADO DE POSTVENTAS:  POSTVENTA CORREGIDA</v>
      </c>
      <c r="AI8" s="51" t="str">
        <f>+IF(GENERAL!AG9=GENERAL!$AI$2,GENERAL!$AI$2,CONCATENATE(OBSERVACIONES!AF8,"
ESTADO DE POSTVENTAS:  ",GENERAL!AG9))</f>
        <v>OK
ESTADO DE POSTVENTAS:  POSTVENTA CORREGIDA</v>
      </c>
      <c r="AJ8" s="51" t="str">
        <f>+IF(GENERAL!AI9=GENERAL!$AI$2,GENERAL!$AI$2,CONCATENATE(OBSERVACIONES!AH8,"
ESTADO DE POSTVENTAS:  ",GENERAL!AI9))</f>
        <v>OK
ESTADO DE POSTVENTAS:  POSTVENTA CORREGIDA</v>
      </c>
      <c r="AK8" s="51" t="str">
        <f>+IF(GENERAL!AJ9=GENERAL!$AI$2,GENERAL!$AI$2,CONCATENATE(OBSERVACIONES!AI8,"
ESTADO DE POSTVENTAS:  ",GENERAL!AJ9))</f>
        <v>OK
ESTADO DE POSTVENTAS:  POSTVENTA CORREGIDA</v>
      </c>
      <c r="AL8" s="51" t="str">
        <f>+IF(GENERAL!AK9=GENERAL!$AI$2,GENERAL!$AI$2,CONCATENATE(OBSERVACIONES!AJ8,"
ESTADO DE POSTVENTAS:  ",GENERAL!AK9))</f>
        <v>OK
ESTADO DE POSTVENTAS:  POSTVENTA CORREGIDA</v>
      </c>
      <c r="AM8" s="51" t="str">
        <f>+IF(GENERAL!AN9=GENERAL!$AI$2,GENERAL!$AI$2,CONCATENATE(OBSERVACIONES!AM8,"
ESTADO DE POSTVENTAS:  ",GENERAL!AN9))</f>
        <v>OK
ESTADO DE POSTVENTAS:  POSTVENTA CORREGIDA</v>
      </c>
      <c r="AN8" s="37">
        <v>0</v>
      </c>
      <c r="AO8" s="37">
        <v>11</v>
      </c>
      <c r="AP8" s="37">
        <v>3</v>
      </c>
      <c r="AQ8" s="37">
        <v>0</v>
      </c>
      <c r="AR8" s="43">
        <v>14</v>
      </c>
      <c r="AS8" s="40">
        <v>12</v>
      </c>
      <c r="AT8" s="37">
        <f>COUNTIFS($D$5:$AM$5,"&lt;&gt;"&amp;CODICIONALES!$A$1,$D$5:$AM$5,"&lt;&gt;"&amp;CODICIONALES!$A$2,$D$5:$AM$5,"&lt;&gt;"&amp;CODICIONALES!$B$2,$D$5:$AM$5,"&lt;&gt;"&amp;CODICIONALES!$C$2)</f>
        <v>6</v>
      </c>
      <c r="AU8" s="43">
        <f>COUNTIFS(D8:AM8,CODICIONALES!$A$2)</f>
        <v>34</v>
      </c>
      <c r="AV8" s="40">
        <f t="shared" si="0"/>
        <v>-4</v>
      </c>
    </row>
    <row r="9" spans="1:48" ht="51" customHeight="1" x14ac:dyDescent="0.25">
      <c r="A9" s="110"/>
      <c r="B9" s="2">
        <v>5</v>
      </c>
      <c r="C9" s="21" t="s">
        <v>45</v>
      </c>
      <c r="D9" s="51" t="str">
        <f>+IF(GENERAL!E10=GENERAL!$AI$2,GENERAL!$AI$2,CONCATENATE(OBSERVACIONES!D9,"
ESTADO DE POSTVENTAS:  ",GENERAL!E10))</f>
        <v>NO ENTREGADO
ESTADO DE POSTVENTAS:  TIENE POSTVENTA</v>
      </c>
      <c r="E9" s="51" t="str">
        <f>+IF(GENERAL!F10=GENERAL!$AI$2,GENERAL!$AI$2,CONCATENATE(OBSERVACIONES!E9,"
ESTADO DE POSTVENTAS:  ",GENERAL!F10))</f>
        <v>OK
ESTADO DE POSTVENTAS:  POSTVENTA CORREGIDA</v>
      </c>
      <c r="F9" s="51" t="str">
        <f>+IF(GENERAL!G10=GENERAL!$AI$2,GENERAL!$AI$2,CONCATENATE(OBSERVACIONES!F9,"
ESTADO DE POSTVENTAS:  ",GENERAL!G10))</f>
        <v>OK
ESTADO DE POSTVENTAS:  POSTVENTA CORREGIDA</v>
      </c>
      <c r="G9" s="51" t="str">
        <f>+IF(GENERAL!H10=GENERAL!$AI$2,GENERAL!$AI$2,CONCATENATE(OBSERVACIONES!G9,"
ESTADO DE POSTVENTAS:  ",GENERAL!H10))</f>
        <v>NO ENTREGADO
ESTADO DE POSTVENTAS:  TIENE POSTVENTA</v>
      </c>
      <c r="H9" s="51" t="str">
        <f>+IF(GENERAL!I10=GENERAL!$AI$2,GENERAL!$AI$2,CONCATENATE(OBSERVACIONES!H9,"
ESTADO DE POSTVENTAS:  ",GENERAL!I10))</f>
        <v>OK
ESTADO DE POSTVENTAS:  POSTVENTA CORREGIDA</v>
      </c>
      <c r="I9" s="51" t="str">
        <f>+IF(GENERAL!J10=GENERAL!$AI$2,GENERAL!$AI$2,CONCATENATE(OBSERVACIONES!I9,"
ESTADO DE POSTVENTAS:  ",GENERAL!J10))</f>
        <v>OK
ESTADO DE POSTVENTAS:  POSTVENTA CORREGIDA</v>
      </c>
      <c r="J9" s="51" t="str">
        <f>+IF(GENERAL!K10=GENERAL!$AI$2,GENERAL!$AI$2,CONCATENATE(OBSERVACIONES!J9,"
ESTADO DE POSTVENTAS:  ",GENERAL!K10))</f>
        <v>OK
ESTADO DE POSTVENTAS:  POSTVENTA CORREGIDA</v>
      </c>
      <c r="K9" s="51" t="str">
        <f>+IF(GENERAL!L10=GENERAL!$AI$2,GENERAL!$AI$2,CONCATENATE(OBSERVACIONES!K9,"
ESTADO DE POSTVENTAS:  ",GENERAL!L10))</f>
        <v>OK
ESTADO DE POSTVENTAS:  POSTVENTA CORREGIDA</v>
      </c>
      <c r="L9" s="51" t="str">
        <f>+IF(GENERAL!M10=GENERAL!$AI$2,GENERAL!$AI$2,CONCATENATE(OBSERVACIONES!L9,"
ESTADO DE POSTVENTAS:  ",GENERAL!M10))</f>
        <v>OK
ESTADO DE POSTVENTAS:  POSTVENTA CORREGIDA</v>
      </c>
      <c r="M9" s="70" t="str">
        <f>+IF(GENERAL!N10=GENERAL!$AI$2,GENERAL!$AI$2,CONCATENATE(OBSERVACIONES!M9,"
ESTADO DE POSTVENTAS:  ",GENERAL!N10))</f>
        <v>OK
ESTADO DE POSTVENTAS:  POSTVENTA CORREGIDA</v>
      </c>
      <c r="N9" s="51" t="str">
        <f>+IF(GENERAL!O10=GENERAL!$AI$2,GENERAL!$AI$2,CONCATENATE(OBSERVACIONES!N9,"
ESTADO DE POSTVENTAS:  ",GENERAL!O10))</f>
        <v>OK
ESTADO DE POSTVENTAS:  POSTVENTA CORREGIDA</v>
      </c>
      <c r="O9" s="51" t="str">
        <f>+IF(GENERAL!P10=GENERAL!$AI$2,GENERAL!$AI$2,CONCATENATE(OBSERVACIONES!O9,"
ESTADO DE POSTVENTAS:  ",GENERAL!P10))</f>
        <v>OK
ESTADO DE POSTVENTAS:  POSTVENTA CORREGIDA</v>
      </c>
      <c r="P9" s="70" t="str">
        <f>+IF(GENERAL!Q10=GENERAL!$AI$2,GENERAL!$AI$2,CONCATENATE(OBSERVACIONES!P9,"
ESTADO DE POSTVENTAS:  ",GENERAL!Q10))</f>
        <v>OK
ESTADO DE POSTVENTAS:  POSTVENTA CORREGIDA</v>
      </c>
      <c r="Q9" s="70" t="str">
        <f>+IF(GENERAL!R10=GENERAL!$AI$2,GENERAL!$AI$2,CONCATENATE(OBSERVACIONES!Q9,"
ESTADO DE POSTVENTAS:  ",GENERAL!R10))</f>
        <v>OK
ESTADO DE POSTVENTAS:  POSTVENTA CORREGIDA</v>
      </c>
      <c r="R9" s="70" t="str">
        <f>+IF(GENERAL!S10=GENERAL!$AI$2,GENERAL!$AI$2,CONCATENATE(OBSERVACIONES!R9,"
ESTADO DE POSTVENTAS:  ",GENERAL!S10))</f>
        <v>OK
ESTADO DE POSTVENTAS:  POSTVENTA CORREGIDA</v>
      </c>
      <c r="S9" s="51" t="str">
        <f>+IF(GENERAL!T10=GENERAL!$AI$2,GENERAL!$AI$2,CONCATENATE(OBSERVACIONES!S9,"
ESTADO DE POSTVENTAS:  ",GENERAL!T10))</f>
        <v>OK
ESTADO DE POSTVENTAS:  POSTVENTA CORREGIDA</v>
      </c>
      <c r="T9" s="51" t="str">
        <f>+IF(GENERAL!U10=GENERAL!$AI$2,GENERAL!$AI$2,CONCATENATE(OBSERVACIONES!T9,"
ESTADO DE POSTVENTAS:  ",GENERAL!U10))</f>
        <v>OK
ESTADO DE POSTVENTAS:  POSTVENTA CORREGIDA</v>
      </c>
      <c r="U9" s="51" t="str">
        <f>+IF(GENERAL!V10=GENERAL!$AI$2,GENERAL!$AI$2,CONCATENATE(OBSERVACIONES!U9,"
ESTADO DE POSTVENTAS:  ",GENERAL!V10))</f>
        <v>OK
ESTADO DE POSTVENTAS:  POSTVENTA CORREGIDA</v>
      </c>
      <c r="V9" s="51" t="str">
        <f>+IF(GENERAL!W10=GENERAL!$AI$2,GENERAL!$AI$2,CONCATENATE(OBSERVACIONES!V9,"
ESTADO DE POSTVENTAS:  ",GENERAL!W10))</f>
        <v>OK
ESTADO DE POSTVENTAS:  POSTVENTA CORREGIDA</v>
      </c>
      <c r="W9" s="51" t="str">
        <f>+IF(GENERAL!V10=GENERAL!$AI$2,GENERAL!$AI$2,CONCATENATE(OBSERVACIONES!W9,"
ESTADO DE POSTVENTAS:  ",GENERAL!V10))</f>
        <v>OK
ESTADO DE POSTVENTAS:  POSTVENTA CORREGIDA</v>
      </c>
      <c r="X9" s="51" t="str">
        <f>+IF(GENERAL!W10=GENERAL!$AI$2,GENERAL!$AI$2,CONCATENATE(OBSERVACIONES!X9,"
ESTADO DE POSTVENTAS:  ",GENERAL!W10))</f>
        <v>OK
ESTADO DE POSTVENTAS:  POSTVENTA CORREGIDA</v>
      </c>
      <c r="Y9" s="51" t="str">
        <f>+IF(GENERAL!Z10=GENERAL!$AI$2,GENERAL!$AI$2,CONCATENATE(OBSERVACIONES!Y9,"
ESTADO DE POSTVENTAS:  ",GENERAL!Z10))</f>
        <v>OK
ESTADO DE POSTVENTAS:  POSTVENTA CORREGIDA</v>
      </c>
      <c r="Z9" s="51" t="str">
        <f>+IF(GENERAL!AA10=GENERAL!$AI$2,GENERAL!$AI$2,CONCATENATE(OBSERVACIONES!Z9,"
ESTADO DE POSTVENTAS:  ",GENERAL!AA10))</f>
        <v>OK
ESTADO DE POSTVENTAS:  POSTVENTA CORREGIDA</v>
      </c>
      <c r="AA9" s="51" t="str">
        <f>+IF(GENERAL!AB10=GENERAL!$AI$2,GENERAL!$AI$2,CONCATENATE(OBSERVACIONES!AA9,"
ESTADO DE POSTVENTAS:  ",GENERAL!AB10))</f>
        <v>OK
ESTADO DE POSTVENTAS:  POSTVENTA CORREGIDA</v>
      </c>
      <c r="AB9" s="51" t="str">
        <f>+IF(GENERAL!AC10=GENERAL!$AI$2,GENERAL!$AI$2,CONCATENATE(OBSERVACIONES!AB9,"
ESTADO DE POSTVENTAS:  ",GENERAL!AC10))</f>
        <v>OK
ESTADO DE POSTVENTAS:  POSTVENTA CORREGIDA</v>
      </c>
      <c r="AC9" s="51" t="str">
        <f>+IF(GENERAL!AD10=GENERAL!$AI$2,GENERAL!$AI$2,CONCATENATE(OBSERVACIONES!AC9,"
ESTADO DE POSTVENTAS:  ",GENERAL!AD10))</f>
        <v>OK
ESTADO DE POSTVENTAS:  POSTVENTA CORREGIDA</v>
      </c>
      <c r="AD9" s="51" t="str">
        <f>+IF(GENERAL!AE10=GENERAL!$AI$2,GENERAL!$AI$2,CONCATENATE(OBSERVACIONES!AD9,"
ESTADO DE POSTVENTAS:  ",GENERAL!AE10))</f>
        <v>OK
ESTADO DE POSTVENTAS:  POSTVENTA CORREGIDA</v>
      </c>
      <c r="AE9" s="51" t="str">
        <f>+IF(GENERAL!AF10=GENERAL!$AI$2,GENERAL!$AI$2,CONCATENATE(OBSERVACIONES!AE9,"
ESTADO DE POSTVENTAS:  ",GENERAL!AF10))</f>
        <v>OK
ESTADO DE POSTVENTAS:  POSTVENTA CORREGIDA</v>
      </c>
      <c r="AF9" s="51" t="str">
        <f>+IF(GENERAL!AG10=GENERAL!$AI$2,GENERAL!$AI$2,CONCATENATE(OBSERVACIONES!AF9,"
ESTADO DE POSTVENTAS:  ",GENERAL!AG10))</f>
        <v>OK
ESTADO DE POSTVENTAS:  POSTVENTA CORREGIDA</v>
      </c>
      <c r="AG9" s="51" t="str">
        <f>+IF(GENERAL!AH10=GENERAL!$AI$2,GENERAL!$AI$2,CONCATENATE(OBSERVACIONES!AG9,"
ESTADO DE POSTVENTAS:  ",GENERAL!AH10))</f>
        <v>OK
ESTADO DE POSTVENTAS:  POSTVENTA CORREGIDA</v>
      </c>
      <c r="AH9" s="51" t="str">
        <f>+IF(GENERAL!AI10=GENERAL!$AI$2,GENERAL!$AI$2,CONCATENATE(OBSERVACIONES!AH9,"
ESTADO DE POSTVENTAS:  ",GENERAL!AI10))</f>
        <v>OK
ESTADO DE POSTVENTAS:  POSTVENTA CORREGIDA</v>
      </c>
      <c r="AI9" s="51" t="str">
        <f>+IF(GENERAL!AG10=GENERAL!$AI$2,GENERAL!$AI$2,CONCATENATE(OBSERVACIONES!AF9,"
ESTADO DE POSTVENTAS:  ",GENERAL!AG10))</f>
        <v>OK
ESTADO DE POSTVENTAS:  POSTVENTA CORREGIDA</v>
      </c>
      <c r="AJ9" s="51" t="str">
        <f>+IF(GENERAL!AI10=GENERAL!$AI$2,GENERAL!$AI$2,CONCATENATE(OBSERVACIONES!AH9,"
ESTADO DE POSTVENTAS:  ",GENERAL!AI10))</f>
        <v>OK
ESTADO DE POSTVENTAS:  POSTVENTA CORREGIDA</v>
      </c>
      <c r="AK9" s="51" t="str">
        <f>+IF(GENERAL!AJ10=GENERAL!$AI$2,GENERAL!$AI$2,CONCATENATE(OBSERVACIONES!AI9,"
ESTADO DE POSTVENTAS:  ",GENERAL!AJ10))</f>
        <v>OK
ESTADO DE POSTVENTAS:  POSTVENTA CORREGIDA</v>
      </c>
      <c r="AL9" s="51" t="str">
        <f>+IF(GENERAL!AK10=GENERAL!$AI$2,GENERAL!$AI$2,CONCATENATE(OBSERVACIONES!AJ9,"
ESTADO DE POSTVENTAS:  ",GENERAL!AK10))</f>
        <v>OK
ESTADO DE POSTVENTAS:  POSTVENTA CORREGIDA</v>
      </c>
      <c r="AM9" s="51" t="str">
        <f>+IF(GENERAL!AN10=GENERAL!$AI$2,GENERAL!$AI$2,CONCATENATE(OBSERVACIONES!AM9,"
ESTADO DE POSTVENTAS:  ",GENERAL!AN10))</f>
        <v>OK
ESTADO DE POSTVENTAS:  POSTVENTA CORREGIDA</v>
      </c>
      <c r="AN9" s="37">
        <v>3</v>
      </c>
      <c r="AO9" s="37">
        <v>8</v>
      </c>
      <c r="AP9" s="37">
        <v>3</v>
      </c>
      <c r="AQ9" s="37">
        <v>0</v>
      </c>
      <c r="AR9" s="43">
        <v>14</v>
      </c>
      <c r="AS9" s="40">
        <v>12</v>
      </c>
      <c r="AT9" s="37">
        <f>COUNTIFS($D$5:$AM$5,"&lt;&gt;"&amp;CODICIONALES!$A$1,$D$5:$AM$5,"&lt;&gt;"&amp;CODICIONALES!$A$2,$D$5:$AM$5,"&lt;&gt;"&amp;CODICIONALES!$B$2,$D$5:$AM$5,"&lt;&gt;"&amp;CODICIONALES!$C$2)</f>
        <v>6</v>
      </c>
      <c r="AU9" s="43">
        <f>COUNTIFS(D9:AM9,CODICIONALES!$A$2)</f>
        <v>34</v>
      </c>
      <c r="AV9" s="40">
        <f t="shared" si="0"/>
        <v>-4</v>
      </c>
    </row>
    <row r="10" spans="1:48" ht="51" customHeight="1" x14ac:dyDescent="0.25">
      <c r="A10" s="110"/>
      <c r="B10" s="2">
        <v>6</v>
      </c>
      <c r="C10" s="21" t="s">
        <v>46</v>
      </c>
      <c r="D10" s="51" t="str">
        <f>+IF(GENERAL!E11=GENERAL!$AI$2,GENERAL!$AI$2,CONCATENATE(OBSERVACIONES!D10,"
ESTADO DE POSTVENTAS:  ",GENERAL!E11))</f>
        <v>NO ENTREGADO
ESTADO DE POSTVENTAS:  TIENE POSTVENTA</v>
      </c>
      <c r="E10" s="51" t="str">
        <f>+IF(GENERAL!F11=GENERAL!$AI$2,GENERAL!$AI$2,CONCATENATE(OBSERVACIONES!E10,"
ESTADO DE POSTVENTAS:  ",GENERAL!F11))</f>
        <v>OK
ESTADO DE POSTVENTAS:  POSTVENTA CORREGIDA</v>
      </c>
      <c r="F10" s="51" t="str">
        <f>+IF(GENERAL!G11=GENERAL!$AI$2,GENERAL!$AI$2,CONCATENATE(OBSERVACIONES!F10,"
ESTADO DE POSTVENTAS:  ",GENERAL!G11))</f>
        <v>OK
ESTADO DE POSTVENTAS:  POSTVENTA CORREGIDA</v>
      </c>
      <c r="G10" s="51" t="str">
        <f>+IF(GENERAL!H11=GENERAL!$AI$2,GENERAL!$AI$2,CONCATENATE(OBSERVACIONES!G10,"
ESTADO DE POSTVENTAS:  ",GENERAL!H11))</f>
        <v>NO ENTREGADO
ESTADO DE POSTVENTAS:  TIENE POSTVENTA</v>
      </c>
      <c r="H10" s="51" t="str">
        <f>+IF(GENERAL!I11=GENERAL!$AI$2,GENERAL!$AI$2,CONCATENATE(OBSERVACIONES!H10,"
ESTADO DE POSTVENTAS:  ",GENERAL!I11))</f>
        <v>OK
ESTADO DE POSTVENTAS:  POSTVENTA CORREGIDA</v>
      </c>
      <c r="I10" s="51" t="str">
        <f>+IF(GENERAL!J11=GENERAL!$AI$2,GENERAL!$AI$2,CONCATENATE(OBSERVACIONES!I10,"
ESTADO DE POSTVENTAS:  ",GENERAL!J11))</f>
        <v>OK
ESTADO DE POSTVENTAS:  POSTVENTA CORREGIDA</v>
      </c>
      <c r="J10" s="51" t="str">
        <f>+IF(GENERAL!K11=GENERAL!$AI$2,GENERAL!$AI$2,CONCATENATE(OBSERVACIONES!J10,"
ESTADO DE POSTVENTAS:  ",GENERAL!K11))</f>
        <v>OK
ESTADO DE POSTVENTAS:  POSTVENTA CORREGIDA</v>
      </c>
      <c r="K10" s="51" t="str">
        <f>+IF(GENERAL!L11=GENERAL!$AI$2,GENERAL!$AI$2,CONCATENATE(OBSERVACIONES!K10,"
ESTADO DE POSTVENTAS:  ",GENERAL!L11))</f>
        <v>OK
ESTADO DE POSTVENTAS:  POSTVENTA CORREGIDA</v>
      </c>
      <c r="L10" s="51" t="str">
        <f>+IF(GENERAL!M11=GENERAL!$AI$2,GENERAL!$AI$2,CONCATENATE(OBSERVACIONES!L10,"
ESTADO DE POSTVENTAS:  ",GENERAL!M11))</f>
        <v>OK
ESTADO DE POSTVENTAS:  POSTVENTA CORREGIDA</v>
      </c>
      <c r="M10" s="70" t="str">
        <f>+IF(GENERAL!N11=GENERAL!$AI$2,GENERAL!$AI$2,CONCATENATE(OBSERVACIONES!M10,"
ESTADO DE POSTVENTAS:  ",GENERAL!N11))</f>
        <v>OK
ESTADO DE POSTVENTAS:  POSTVENTA CORREGIDA</v>
      </c>
      <c r="N10" s="51" t="str">
        <f>+IF(GENERAL!O11=GENERAL!$AI$2,GENERAL!$AI$2,CONCATENATE(OBSERVACIONES!N10,"
ESTADO DE POSTVENTAS:  ",GENERAL!O11))</f>
        <v>OK
ESTADO DE POSTVENTAS:  POSTVENTA CORREGIDA</v>
      </c>
      <c r="O10" s="51" t="str">
        <f>+IF(GENERAL!P11=GENERAL!$AI$2,GENERAL!$AI$2,CONCATENATE(OBSERVACIONES!O10,"
ESTADO DE POSTVENTAS:  ",GENERAL!P11))</f>
        <v>OK
ESTADO DE POSTVENTAS:  POSTVENTA CORREGIDA</v>
      </c>
      <c r="P10" s="70" t="str">
        <f>+IF(GENERAL!Q11=GENERAL!$AI$2,GENERAL!$AI$2,CONCATENATE(OBSERVACIONES!P10,"
ESTADO DE POSTVENTAS:  ",GENERAL!Q11))</f>
        <v>OK
ESTADO DE POSTVENTAS:  POSTVENTA CORREGIDA</v>
      </c>
      <c r="Q10" s="70" t="str">
        <f>+IF(GENERAL!R11=GENERAL!$AI$2,GENERAL!$AI$2,CONCATENATE(OBSERVACIONES!Q10,"
ESTADO DE POSTVENTAS:  ",GENERAL!R11))</f>
        <v>OK
ESTADO DE POSTVENTAS:  POSTVENTA CORREGIDA</v>
      </c>
      <c r="R10" s="51" t="str">
        <f>+IF(GENERAL!S11=GENERAL!$AI$2,GENERAL!$AI$2,CONCATENATE(OBSERVACIONES!R10,"
ESTADO DE POSTVENTAS:  ",GENERAL!S11))</f>
        <v>OK
ESTADO DE POSTVENTAS:  POSTVENTA CORREGIDA</v>
      </c>
      <c r="S10" s="51" t="str">
        <f>+IF(GENERAL!T11=GENERAL!$AI$2,GENERAL!$AI$2,CONCATENATE(OBSERVACIONES!S10,"
ESTADO DE POSTVENTAS:  ",GENERAL!T11))</f>
        <v>OK
ESTADO DE POSTVENTAS:  POSTVENTA CORREGIDA</v>
      </c>
      <c r="T10" s="51" t="str">
        <f>+IF(GENERAL!U11=GENERAL!$AI$2,GENERAL!$AI$2,CONCATENATE(OBSERVACIONES!T10,"
ESTADO DE POSTVENTAS:  ",GENERAL!U11))</f>
        <v>OK
ESTADO DE POSTVENTAS:  POSTVENTA CORREGIDA</v>
      </c>
      <c r="U10" s="51" t="str">
        <f>+IF(GENERAL!V11=GENERAL!$AI$2,GENERAL!$AI$2,CONCATENATE(OBSERVACIONES!U10,"
ESTADO DE POSTVENTAS:  ",GENERAL!V11))</f>
        <v>OK
ESTADO DE POSTVENTAS:  POSTVENTA CORREGIDA</v>
      </c>
      <c r="V10" s="51" t="str">
        <f>+IF(GENERAL!W11=GENERAL!$AI$2,GENERAL!$AI$2,CONCATENATE(OBSERVACIONES!V10,"
ESTADO DE POSTVENTAS:  ",GENERAL!W11))</f>
        <v>OK
ESTADO DE POSTVENTAS:  POSTVENTA CORREGIDA</v>
      </c>
      <c r="W10" s="51" t="str">
        <f>+IF(GENERAL!V11=GENERAL!$AI$2,GENERAL!$AI$2,CONCATENATE(OBSERVACIONES!W10,"
ESTADO DE POSTVENTAS:  ",GENERAL!V11))</f>
        <v>OK
ESTADO DE POSTVENTAS:  POSTVENTA CORREGIDA</v>
      </c>
      <c r="X10" s="51" t="str">
        <f>+IF(GENERAL!W11=GENERAL!$AI$2,GENERAL!$AI$2,CONCATENATE(OBSERVACIONES!X10,"
ESTADO DE POSTVENTAS:  ",GENERAL!W11))</f>
        <v>OK
ESTADO DE POSTVENTAS:  POSTVENTA CORREGIDA</v>
      </c>
      <c r="Y10" s="51" t="str">
        <f>+IF(GENERAL!Z11=GENERAL!$AI$2,GENERAL!$AI$2,CONCATENATE(OBSERVACIONES!Y10,"
ESTADO DE POSTVENTAS:  ",GENERAL!Z11))</f>
        <v>OK
ESTADO DE POSTVENTAS:  POSTVENTA CORREGIDA</v>
      </c>
      <c r="Z10" s="51" t="str">
        <f>+IF(GENERAL!AA11=GENERAL!$AI$2,GENERAL!$AI$2,CONCATENATE(OBSERVACIONES!Z10,"
ESTADO DE POSTVENTAS:  ",GENERAL!AA11))</f>
        <v>OK
ESTADO DE POSTVENTAS:  POSTVENTA CORREGIDA</v>
      </c>
      <c r="AA10" s="51" t="str">
        <f>+IF(GENERAL!AB11=GENERAL!$AI$2,GENERAL!$AI$2,CONCATENATE(OBSERVACIONES!AA10,"
ESTADO DE POSTVENTAS:  ",GENERAL!AB11))</f>
        <v>OK
ESTADO DE POSTVENTAS:  POSTVENTA CORREGIDA</v>
      </c>
      <c r="AB10" s="51" t="str">
        <f>+IF(GENERAL!AC11=GENERAL!$AI$2,GENERAL!$AI$2,CONCATENATE(OBSERVACIONES!AB10,"
ESTADO DE POSTVENTAS:  ",GENERAL!AC11))</f>
        <v>OK
ESTADO DE POSTVENTAS:  POSTVENTA CORREGIDA</v>
      </c>
      <c r="AC10" s="51" t="str">
        <f>+IF(GENERAL!AD11=GENERAL!$AI$2,GENERAL!$AI$2,CONCATENATE(OBSERVACIONES!AC10,"
ESTADO DE POSTVENTAS:  ",GENERAL!AD11))</f>
        <v>OK
ESTADO DE POSTVENTAS:  POSTVENTA CORREGIDA</v>
      </c>
      <c r="AD10" s="51" t="str">
        <f>+IF(GENERAL!AE11=GENERAL!$AI$2,GENERAL!$AI$2,CONCATENATE(OBSERVACIONES!AD10,"
ESTADO DE POSTVENTAS:  ",GENERAL!AE11))</f>
        <v>OK
ESTADO DE POSTVENTAS:  POSTVENTA CORREGIDA</v>
      </c>
      <c r="AE10" s="51" t="str">
        <f>+IF(GENERAL!AF11=GENERAL!$AI$2,GENERAL!$AI$2,CONCATENATE(OBSERVACIONES!AE10,"
ESTADO DE POSTVENTAS:  ",GENERAL!AF11))</f>
        <v>OK
ESTADO DE POSTVENTAS:  POSTVENTA CORREGIDA</v>
      </c>
      <c r="AF10" s="51" t="str">
        <f>+IF(GENERAL!AG11=GENERAL!$AI$2,GENERAL!$AI$2,CONCATENATE(OBSERVACIONES!AF10,"
ESTADO DE POSTVENTAS:  ",GENERAL!AG11))</f>
        <v>OK
ESTADO DE POSTVENTAS:  POSTVENTA CORREGIDA</v>
      </c>
      <c r="AG10" s="51" t="str">
        <f>+IF(GENERAL!AH11=GENERAL!$AI$2,GENERAL!$AI$2,CONCATENATE(OBSERVACIONES!AG10,"
ESTADO DE POSTVENTAS:  ",GENERAL!AH11))</f>
        <v>OK
ESTADO DE POSTVENTAS:  POSTVENTA CORREGIDA</v>
      </c>
      <c r="AH10" s="51" t="str">
        <f>+IF(GENERAL!AI11=GENERAL!$AI$2,GENERAL!$AI$2,CONCATENATE(OBSERVACIONES!AH10,"
ESTADO DE POSTVENTAS:  ",GENERAL!AI11))</f>
        <v>OK
ESTADO DE POSTVENTAS:  POSTVENTA CORREGIDA</v>
      </c>
      <c r="AI10" s="51" t="str">
        <f>+IF(GENERAL!AG11=GENERAL!$AI$2,GENERAL!$AI$2,CONCATENATE(OBSERVACIONES!AF10,"
ESTADO DE POSTVENTAS:  ",GENERAL!AG11))</f>
        <v>OK
ESTADO DE POSTVENTAS:  POSTVENTA CORREGIDA</v>
      </c>
      <c r="AJ10" s="51" t="str">
        <f>+IF(GENERAL!AI11=GENERAL!$AI$2,GENERAL!$AI$2,CONCATENATE(OBSERVACIONES!AH10,"
ESTADO DE POSTVENTAS:  ",GENERAL!AI11))</f>
        <v>OK
ESTADO DE POSTVENTAS:  POSTVENTA CORREGIDA</v>
      </c>
      <c r="AK10" s="51" t="str">
        <f>+IF(GENERAL!AJ11=GENERAL!$AI$2,GENERAL!$AI$2,CONCATENATE(OBSERVACIONES!AI10,"
ESTADO DE POSTVENTAS:  ",GENERAL!AJ11))</f>
        <v>OK
ESTADO DE POSTVENTAS:  POSTVENTA CORREGIDA</v>
      </c>
      <c r="AL10" s="51" t="str">
        <f>+IF(GENERAL!AK11=GENERAL!$AI$2,GENERAL!$AI$2,CONCATENATE(OBSERVACIONES!AJ10,"
ESTADO DE POSTVENTAS:  ",GENERAL!AK11))</f>
        <v>OK
ESTADO DE POSTVENTAS:  POSTVENTA CORREGIDA</v>
      </c>
      <c r="AM10" s="51" t="str">
        <f>+IF(GENERAL!AN11=GENERAL!$AI$2,GENERAL!$AI$2,CONCATENATE(OBSERVACIONES!AM10,"
ESTADO DE POSTVENTAS:  ",GENERAL!AN11))</f>
        <v>OK
ESTADO DE POSTVENTAS:  POSTVENTA CORREGIDA</v>
      </c>
      <c r="AN10" s="37">
        <v>1</v>
      </c>
      <c r="AO10" s="37">
        <v>10</v>
      </c>
      <c r="AP10" s="37">
        <v>3</v>
      </c>
      <c r="AQ10" s="37">
        <v>1</v>
      </c>
      <c r="AR10" s="43">
        <v>13</v>
      </c>
      <c r="AS10" s="40">
        <v>12</v>
      </c>
      <c r="AT10" s="37">
        <f>COUNTIFS($D$5:$AM$5,"&lt;&gt;"&amp;CODICIONALES!$A$1,$D$5:$AM$5,"&lt;&gt;"&amp;CODICIONALES!$A$2,$D$5:$AM$5,"&lt;&gt;"&amp;CODICIONALES!$B$2,$D$5:$AM$5,"&lt;&gt;"&amp;CODICIONALES!$C$2)</f>
        <v>6</v>
      </c>
      <c r="AU10" s="43">
        <f>COUNTIFS(D10:AM10,CODICIONALES!$A$2)</f>
        <v>34</v>
      </c>
      <c r="AV10" s="40">
        <f t="shared" si="0"/>
        <v>-4</v>
      </c>
    </row>
    <row r="11" spans="1:48" ht="51" customHeight="1" x14ac:dyDescent="0.25">
      <c r="A11" s="110"/>
      <c r="B11" s="2">
        <v>7</v>
      </c>
      <c r="C11" s="21" t="s">
        <v>47</v>
      </c>
      <c r="D11" s="51" t="str">
        <f>+IF(GENERAL!E12=GENERAL!$AI$2,GENERAL!$AI$2,CONCATENATE(OBSERVACIONES!D11,"
ESTADO DE POSTVENTAS:  ",GENERAL!E12))</f>
        <v>NO ENTREGADO
ESTADO DE POSTVENTAS:  TIENE POSTVENTA</v>
      </c>
      <c r="E11" s="51" t="str">
        <f>+IF(GENERAL!F12=GENERAL!$AI$2,GENERAL!$AI$2,CONCATENATE(OBSERVACIONES!E11,"
ESTADO DE POSTVENTAS:  ",GENERAL!F12))</f>
        <v>OK
ESTADO DE POSTVENTAS:  POSTVENTA CORREGIDA</v>
      </c>
      <c r="F11" s="51" t="str">
        <f>+IF(GENERAL!G12=GENERAL!$AI$2,GENERAL!$AI$2,CONCATENATE(OBSERVACIONES!F11,"
ESTADO DE POSTVENTAS:  ",GENERAL!G12))</f>
        <v>OK
ESTADO DE POSTVENTAS:  POSTVENTA CORREGIDA</v>
      </c>
      <c r="G11" s="51" t="str">
        <f>+IF(GENERAL!H12=GENERAL!$AI$2,GENERAL!$AI$2,CONCATENATE(OBSERVACIONES!G11,"
ESTADO DE POSTVENTAS:  ",GENERAL!H12))</f>
        <v>NO ENTREGADO
ESTADO DE POSTVENTAS:  TIENE POSTVENTA</v>
      </c>
      <c r="H11" s="51" t="str">
        <f>+IF(GENERAL!I12=GENERAL!$AI$2,GENERAL!$AI$2,CONCATENATE(OBSERVACIONES!H11,"
ESTADO DE POSTVENTAS:  ",GENERAL!I12))</f>
        <v>OK
ESTADO DE POSTVENTAS:  POSTVENTA CORREGIDA</v>
      </c>
      <c r="I11" s="51" t="str">
        <f>+IF(GENERAL!J12=GENERAL!$AI$2,GENERAL!$AI$2,CONCATENATE(OBSERVACIONES!I11,"
ESTADO DE POSTVENTAS:  ",GENERAL!J12))</f>
        <v>OK
ESTADO DE POSTVENTAS:  POSTVENTA CORREGIDA</v>
      </c>
      <c r="J11" s="51" t="str">
        <f>+IF(GENERAL!K12=GENERAL!$AI$2,GENERAL!$AI$2,CONCATENATE(OBSERVACIONES!J11,"
ESTADO DE POSTVENTAS:  ",GENERAL!K12))</f>
        <v>OK
ESTADO DE POSTVENTAS:  POSTVENTA CORREGIDA</v>
      </c>
      <c r="K11" s="51" t="str">
        <f>+IF(GENERAL!L12=GENERAL!$AI$2,GENERAL!$AI$2,CONCATENATE(OBSERVACIONES!K11,"
ESTADO DE POSTVENTAS:  ",GENERAL!L12))</f>
        <v>OK
ESTADO DE POSTVENTAS:  POSTVENTA CORREGIDA</v>
      </c>
      <c r="L11" s="51" t="str">
        <f>+IF(GENERAL!M12=GENERAL!$AI$2,GENERAL!$AI$2,CONCATENATE(OBSERVACIONES!L11,"
ESTADO DE POSTVENTAS:  ",GENERAL!M12))</f>
        <v>OK
ESTADO DE POSTVENTAS:  POSTVENTA CORREGIDA</v>
      </c>
      <c r="M11" s="70" t="str">
        <f>+IF(GENERAL!N12=GENERAL!$AI$2,GENERAL!$AI$2,CONCATENATE(OBSERVACIONES!M11,"
ESTADO DE POSTVENTAS:  ",GENERAL!N12))</f>
        <v>OK
ESTADO DE POSTVENTAS:  POSTVENTA CORREGIDA</v>
      </c>
      <c r="N11" s="51" t="str">
        <f>+IF(GENERAL!O12=GENERAL!$AI$2,GENERAL!$AI$2,CONCATENATE(OBSERVACIONES!N11,"
ESTADO DE POSTVENTAS:  ",GENERAL!O12))</f>
        <v>OK
ESTADO DE POSTVENTAS:  POSTVENTA CORREGIDA</v>
      </c>
      <c r="O11" s="51" t="str">
        <f>+IF(GENERAL!P12=GENERAL!$AI$2,GENERAL!$AI$2,CONCATENATE(OBSERVACIONES!O11,"
ESTADO DE POSTVENTAS:  ",GENERAL!P12))</f>
        <v>OK
ESTADO DE POSTVENTAS:  POSTVENTA CORREGIDA</v>
      </c>
      <c r="P11" s="70" t="str">
        <f>+IF(GENERAL!Q12=GENERAL!$AI$2,GENERAL!$AI$2,CONCATENATE(OBSERVACIONES!P11,"
ESTADO DE POSTVENTAS:  ",GENERAL!Q12))</f>
        <v>OK
ESTADO DE POSTVENTAS:  POSTVENTA CORREGIDA</v>
      </c>
      <c r="Q11" s="70" t="str">
        <f>+IF(GENERAL!R12=GENERAL!$AI$2,GENERAL!$AI$2,CONCATENATE(OBSERVACIONES!Q11,"
ESTADO DE POSTVENTAS:  ",GENERAL!R12))</f>
        <v>OK
ESTADO DE POSTVENTAS:  POSTVENTA CORREGIDA</v>
      </c>
      <c r="R11" s="51" t="str">
        <f>+IF(GENERAL!S12=GENERAL!$AI$2,GENERAL!$AI$2,CONCATENATE(OBSERVACIONES!R11,"
ESTADO DE POSTVENTAS:  ",GENERAL!S12))</f>
        <v>OK
ESTADO DE POSTVENTAS:  POSTVENTA CORREGIDA</v>
      </c>
      <c r="S11" s="51" t="str">
        <f>+IF(GENERAL!T12=GENERAL!$AI$2,GENERAL!$AI$2,CONCATENATE(OBSERVACIONES!S11,"
ESTADO DE POSTVENTAS:  ",GENERAL!T12))</f>
        <v>OK
ESTADO DE POSTVENTAS:  POSTVENTA CORREGIDA</v>
      </c>
      <c r="T11" s="51" t="str">
        <f>+IF(GENERAL!U12=GENERAL!$AI$2,GENERAL!$AI$2,CONCATENATE(OBSERVACIONES!T11,"
ESTADO DE POSTVENTAS:  ",GENERAL!U12))</f>
        <v>OK
ESTADO DE POSTVENTAS:  POSTVENTA CORREGIDA</v>
      </c>
      <c r="U11" s="51" t="str">
        <f>+IF(GENERAL!V12=GENERAL!$AI$2,GENERAL!$AI$2,CONCATENATE(OBSERVACIONES!U11,"
ESTADO DE POSTVENTAS:  ",GENERAL!V12))</f>
        <v>OK
ESTADO DE POSTVENTAS:  POSTVENTA CORREGIDA</v>
      </c>
      <c r="V11" s="51" t="str">
        <f>+IF(GENERAL!W12=GENERAL!$AI$2,GENERAL!$AI$2,CONCATENATE(OBSERVACIONES!V11,"
ESTADO DE POSTVENTAS:  ",GENERAL!W12))</f>
        <v>OK
ESTADO DE POSTVENTAS:  POSTVENTA CORREGIDA</v>
      </c>
      <c r="W11" s="51" t="str">
        <f>+IF(GENERAL!V12=GENERAL!$AI$2,GENERAL!$AI$2,CONCATENATE(OBSERVACIONES!W11,"
ESTADO DE POSTVENTAS:  ",GENERAL!V12))</f>
        <v>OK
ESTADO DE POSTVENTAS:  POSTVENTA CORREGIDA</v>
      </c>
      <c r="X11" s="51" t="str">
        <f>+IF(GENERAL!W12=GENERAL!$AI$2,GENERAL!$AI$2,CONCATENATE(OBSERVACIONES!X11,"
ESTADO DE POSTVENTAS:  ",GENERAL!W12))</f>
        <v>OK
ESTADO DE POSTVENTAS:  POSTVENTA CORREGIDA</v>
      </c>
      <c r="Y11" s="51" t="str">
        <f>+IF(GENERAL!Z12=GENERAL!$AI$2,GENERAL!$AI$2,CONCATENATE(OBSERVACIONES!Y11,"
ESTADO DE POSTVENTAS:  ",GENERAL!Z12))</f>
        <v>OK
ESTADO DE POSTVENTAS:  POSTVENTA CORREGIDA</v>
      </c>
      <c r="Z11" s="51" t="str">
        <f>+IF(GENERAL!AA12=GENERAL!$AI$2,GENERAL!$AI$2,CONCATENATE(OBSERVACIONES!Z11,"
ESTADO DE POSTVENTAS:  ",GENERAL!AA12))</f>
        <v>OK
ESTADO DE POSTVENTAS:  POSTVENTA CORREGIDA</v>
      </c>
      <c r="AA11" s="51" t="str">
        <f>+IF(GENERAL!AB12=GENERAL!$AI$2,GENERAL!$AI$2,CONCATENATE(OBSERVACIONES!AA11,"
ESTADO DE POSTVENTAS:  ",GENERAL!AB12))</f>
        <v>OK
ESTADO DE POSTVENTAS:  POSTVENTA CORREGIDA</v>
      </c>
      <c r="AB11" s="51" t="str">
        <f>+IF(GENERAL!AC12=GENERAL!$AI$2,GENERAL!$AI$2,CONCATENATE(OBSERVACIONES!AB11,"
ESTADO DE POSTVENTAS:  ",GENERAL!AC12))</f>
        <v>OK
ESTADO DE POSTVENTAS:  POSTVENTA CORREGIDA</v>
      </c>
      <c r="AC11" s="51" t="str">
        <f>+IF(GENERAL!AD12=GENERAL!$AI$2,GENERAL!$AI$2,CONCATENATE(OBSERVACIONES!AC11,"
ESTADO DE POSTVENTAS:  ",GENERAL!AD12))</f>
        <v>OK
ESTADO DE POSTVENTAS:  POSTVENTA CORREGIDA</v>
      </c>
      <c r="AD11" s="51" t="str">
        <f>+IF(GENERAL!AE12=GENERAL!$AI$2,GENERAL!$AI$2,CONCATENATE(OBSERVACIONES!AD11,"
ESTADO DE POSTVENTAS:  ",GENERAL!AE12))</f>
        <v>OK
ESTADO DE POSTVENTAS:  POSTVENTA CORREGIDA</v>
      </c>
      <c r="AE11" s="51" t="str">
        <f>+IF(GENERAL!AF12=GENERAL!$AI$2,GENERAL!$AI$2,CONCATENATE(OBSERVACIONES!AE11,"
ESTADO DE POSTVENTAS:  ",GENERAL!AF12))</f>
        <v>OK
ESTADO DE POSTVENTAS:  POSTVENTA CORREGIDA</v>
      </c>
      <c r="AF11" s="51" t="str">
        <f>+IF(GENERAL!AG12=GENERAL!$AI$2,GENERAL!$AI$2,CONCATENATE(OBSERVACIONES!AF11,"
ESTADO DE POSTVENTAS:  ",GENERAL!AG12))</f>
        <v>OK
ESTADO DE POSTVENTAS:  POSTVENTA CORREGIDA</v>
      </c>
      <c r="AG11" s="51" t="str">
        <f>+IF(GENERAL!AH12=GENERAL!$AI$2,GENERAL!$AI$2,CONCATENATE(OBSERVACIONES!AG11,"
ESTADO DE POSTVENTAS:  ",GENERAL!AH12))</f>
        <v>OK
ESTADO DE POSTVENTAS:  POSTVENTA CORREGIDA</v>
      </c>
      <c r="AH11" s="51" t="str">
        <f>+IF(GENERAL!AI12=GENERAL!$AI$2,GENERAL!$AI$2,CONCATENATE(OBSERVACIONES!AH11,"
ESTADO DE POSTVENTAS:  ",GENERAL!AI12))</f>
        <v>OK
ESTADO DE POSTVENTAS:  POSTVENTA CORREGIDA</v>
      </c>
      <c r="AI11" s="51" t="str">
        <f>+IF(GENERAL!AG12=GENERAL!$AI$2,GENERAL!$AI$2,CONCATENATE(OBSERVACIONES!AF11,"
ESTADO DE POSTVENTAS:  ",GENERAL!AG12))</f>
        <v>OK
ESTADO DE POSTVENTAS:  POSTVENTA CORREGIDA</v>
      </c>
      <c r="AJ11" s="51" t="str">
        <f>+IF(GENERAL!AI12=GENERAL!$AI$2,GENERAL!$AI$2,CONCATENATE(OBSERVACIONES!AH11,"
ESTADO DE POSTVENTAS:  ",GENERAL!AI12))</f>
        <v>OK
ESTADO DE POSTVENTAS:  POSTVENTA CORREGIDA</v>
      </c>
      <c r="AK11" s="51" t="str">
        <f>+IF(GENERAL!AJ12=GENERAL!$AI$2,GENERAL!$AI$2,CONCATENATE(OBSERVACIONES!AI11,"
ESTADO DE POSTVENTAS:  ",GENERAL!AJ12))</f>
        <v>OK
ESTADO DE POSTVENTAS:  POSTVENTA CORREGIDA</v>
      </c>
      <c r="AL11" s="51" t="str">
        <f>+IF(GENERAL!AK12=GENERAL!$AI$2,GENERAL!$AI$2,CONCATENATE(OBSERVACIONES!AJ11,"
ESTADO DE POSTVENTAS:  ",GENERAL!AK12))</f>
        <v>OK
ESTADO DE POSTVENTAS:  POSTVENTA CORREGIDA</v>
      </c>
      <c r="AM11" s="51" t="str">
        <f>+IF(GENERAL!AN12=GENERAL!$AI$2,GENERAL!$AI$2,CONCATENATE(OBSERVACIONES!AM11,"
ESTADO DE POSTVENTAS:  ",GENERAL!AN12))</f>
        <v>OK
ESTADO DE POSTVENTAS:  POSTVENTA CORREGIDA</v>
      </c>
      <c r="AN11" s="37">
        <v>1</v>
      </c>
      <c r="AO11" s="37">
        <v>10</v>
      </c>
      <c r="AP11" s="37">
        <v>3</v>
      </c>
      <c r="AQ11" s="37">
        <v>0</v>
      </c>
      <c r="AR11" s="43">
        <v>14</v>
      </c>
      <c r="AS11" s="40">
        <v>12</v>
      </c>
      <c r="AT11" s="37">
        <f>COUNTIFS($D$5:$AM$5,"&lt;&gt;"&amp;CODICIONALES!$A$1,$D$5:$AM$5,"&lt;&gt;"&amp;CODICIONALES!$A$2,$D$5:$AM$5,"&lt;&gt;"&amp;CODICIONALES!$B$2,$D$5:$AM$5,"&lt;&gt;"&amp;CODICIONALES!$C$2)</f>
        <v>6</v>
      </c>
      <c r="AU11" s="43">
        <f>COUNTIFS(D11:AM11,CODICIONALES!$A$2)</f>
        <v>34</v>
      </c>
      <c r="AV11" s="40">
        <f t="shared" si="0"/>
        <v>-4</v>
      </c>
    </row>
    <row r="12" spans="1:48" ht="51" customHeight="1" x14ac:dyDescent="0.25">
      <c r="A12" s="110"/>
      <c r="B12" s="2">
        <v>8</v>
      </c>
      <c r="C12" s="21" t="s">
        <v>48</v>
      </c>
      <c r="D12" s="51" t="str">
        <f>+IF(GENERAL!E13=GENERAL!$AI$2,GENERAL!$AI$2,CONCATENATE(OBSERVACIONES!D12,"
ESTADO DE POSTVENTAS:  ",GENERAL!E13))</f>
        <v>NO ENTREGADO
ESTADO DE POSTVENTAS:  TIENE POSTVENTA</v>
      </c>
      <c r="E12" s="51" t="str">
        <f>+IF(GENERAL!F13=GENERAL!$AI$2,GENERAL!$AI$2,CONCATENATE(OBSERVACIONES!E12,"
ESTADO DE POSTVENTAS:  ",GENERAL!F13))</f>
        <v>OK
ESTADO DE POSTVENTAS:  POSTVENTA CORREGIDA</v>
      </c>
      <c r="F12" s="51" t="str">
        <f>+IF(GENERAL!G13=GENERAL!$AI$2,GENERAL!$AI$2,CONCATENATE(OBSERVACIONES!F12,"
ESTADO DE POSTVENTAS:  ",GENERAL!G13))</f>
        <v>OK
ESTADO DE POSTVENTAS:  POSTVENTA CORREGIDA</v>
      </c>
      <c r="G12" s="51" t="str">
        <f>+IF(GENERAL!H13=GENERAL!$AI$2,GENERAL!$AI$2,CONCATENATE(OBSERVACIONES!G12,"
ESTADO DE POSTVENTAS:  ",GENERAL!H13))</f>
        <v>NO ENTREGADO
ESTADO DE POSTVENTAS:  TIENE POSTVENTA</v>
      </c>
      <c r="H12" s="51" t="str">
        <f>+IF(GENERAL!I13=GENERAL!$AI$2,GENERAL!$AI$2,CONCATENATE(OBSERVACIONES!H12,"
ESTADO DE POSTVENTAS:  ",GENERAL!I13))</f>
        <v>OK
ESTADO DE POSTVENTAS:  POSTVENTA CORREGIDA</v>
      </c>
      <c r="I12" s="51" t="str">
        <f>+IF(GENERAL!J13=GENERAL!$AI$2,GENERAL!$AI$2,CONCATENATE(OBSERVACIONES!I12,"
ESTADO DE POSTVENTAS:  ",GENERAL!J13))</f>
        <v>OK
ESTADO DE POSTVENTAS:  POSTVENTA CORREGIDA</v>
      </c>
      <c r="J12" s="51" t="str">
        <f>+IF(GENERAL!K13=GENERAL!$AI$2,GENERAL!$AI$2,CONCATENATE(OBSERVACIONES!J12,"
ESTADO DE POSTVENTAS:  ",GENERAL!K13))</f>
        <v>OK
ESTADO DE POSTVENTAS:  POSTVENTA CORREGIDA</v>
      </c>
      <c r="K12" s="51" t="str">
        <f>+IF(GENERAL!L13=GENERAL!$AI$2,GENERAL!$AI$2,CONCATENATE(OBSERVACIONES!K12,"
ESTADO DE POSTVENTAS:  ",GENERAL!L13))</f>
        <v>OK
ESTADO DE POSTVENTAS:  POSTVENTA CORREGIDA</v>
      </c>
      <c r="L12" s="51" t="str">
        <f>+IF(GENERAL!M13=GENERAL!$AI$2,GENERAL!$AI$2,CONCATENATE(OBSERVACIONES!L12,"
ESTADO DE POSTVENTAS:  ",GENERAL!M13))</f>
        <v>OK
ESTADO DE POSTVENTAS:  POSTVENTA CORREGIDA</v>
      </c>
      <c r="M12" s="70" t="str">
        <f>+IF(GENERAL!N13=GENERAL!$AI$2,GENERAL!$AI$2,CONCATENATE(OBSERVACIONES!M12,"
ESTADO DE POSTVENTAS:  ",GENERAL!N13))</f>
        <v>OK
ESTADO DE POSTVENTAS:  POSTVENTA CORREGIDA</v>
      </c>
      <c r="N12" s="51" t="str">
        <f>+IF(GENERAL!O13=GENERAL!$AI$2,GENERAL!$AI$2,CONCATENATE(OBSERVACIONES!N12,"
ESTADO DE POSTVENTAS:  ",GENERAL!O13))</f>
        <v>OK
ESTADO DE POSTVENTAS:  POSTVENTA CORREGIDA</v>
      </c>
      <c r="O12" s="51" t="str">
        <f>+IF(GENERAL!P13=GENERAL!$AI$2,GENERAL!$AI$2,CONCATENATE(OBSERVACIONES!O12,"
ESTADO DE POSTVENTAS:  ",GENERAL!P13))</f>
        <v>OK
ESTADO DE POSTVENTAS:  POSTVENTA CORREGIDA</v>
      </c>
      <c r="P12" s="70" t="str">
        <f>+IF(GENERAL!Q13=GENERAL!$AI$2,GENERAL!$AI$2,CONCATENATE(OBSERVACIONES!P12,"
ESTADO DE POSTVENTAS:  ",GENERAL!Q13))</f>
        <v>OK
ESTADO DE POSTVENTAS:  POSTVENTA CORREGIDA</v>
      </c>
      <c r="Q12" s="70" t="str">
        <f>+IF(GENERAL!R13=GENERAL!$AI$2,GENERAL!$AI$2,CONCATENATE(OBSERVACIONES!Q12,"
ESTADO DE POSTVENTAS:  ",GENERAL!R13))</f>
        <v>OK
ESTADO DE POSTVENTAS:  POSTVENTA CORREGIDA</v>
      </c>
      <c r="R12" s="51" t="str">
        <f>+IF(GENERAL!S13=GENERAL!$AI$2,GENERAL!$AI$2,CONCATENATE(OBSERVACIONES!R12,"
ESTADO DE POSTVENTAS:  ",GENERAL!S13))</f>
        <v>OK
ESTADO DE POSTVENTAS:  POSTVENTA CORREGIDA</v>
      </c>
      <c r="S12" s="51" t="str">
        <f>+IF(GENERAL!T13=GENERAL!$AI$2,GENERAL!$AI$2,CONCATENATE(OBSERVACIONES!S12,"
ESTADO DE POSTVENTAS:  ",GENERAL!T13))</f>
        <v>OK
ESTADO DE POSTVENTAS:  POSTVENTA CORREGIDA</v>
      </c>
      <c r="T12" s="51" t="str">
        <f>+IF(GENERAL!U13=GENERAL!$AI$2,GENERAL!$AI$2,CONCATENATE(OBSERVACIONES!T12,"
ESTADO DE POSTVENTAS:  ",GENERAL!U13))</f>
        <v>OK
ESTADO DE POSTVENTAS:  POSTVENTA CORREGIDA</v>
      </c>
      <c r="U12" s="51" t="str">
        <f>+IF(GENERAL!V13=GENERAL!$AI$2,GENERAL!$AI$2,CONCATENATE(OBSERVACIONES!U12,"
ESTADO DE POSTVENTAS:  ",GENERAL!V13))</f>
        <v>OK
ESTADO DE POSTVENTAS:  POSTVENTA CORREGIDA</v>
      </c>
      <c r="V12" s="51" t="str">
        <f>+IF(GENERAL!W13=GENERAL!$AI$2,GENERAL!$AI$2,CONCATENATE(OBSERVACIONES!V12,"
ESTADO DE POSTVENTAS:  ",GENERAL!W13))</f>
        <v>OK
ESTADO DE POSTVENTAS:  POSTVENTA CORREGIDA</v>
      </c>
      <c r="W12" s="51" t="str">
        <f>+IF(GENERAL!V13=GENERAL!$AI$2,GENERAL!$AI$2,CONCATENATE(OBSERVACIONES!W12,"
ESTADO DE POSTVENTAS:  ",GENERAL!V13))</f>
        <v>OK
ESTADO DE POSTVENTAS:  POSTVENTA CORREGIDA</v>
      </c>
      <c r="X12" s="51" t="str">
        <f>+IF(GENERAL!W13=GENERAL!$AI$2,GENERAL!$AI$2,CONCATENATE(OBSERVACIONES!X12,"
ESTADO DE POSTVENTAS:  ",GENERAL!W13))</f>
        <v>OK
ESTADO DE POSTVENTAS:  POSTVENTA CORREGIDA</v>
      </c>
      <c r="Y12" s="51" t="str">
        <f>+IF(GENERAL!Z13=GENERAL!$AI$2,GENERAL!$AI$2,CONCATENATE(OBSERVACIONES!Y12,"
ESTADO DE POSTVENTAS:  ",GENERAL!Z13))</f>
        <v>OK
ESTADO DE POSTVENTAS:  POSTVENTA CORREGIDA</v>
      </c>
      <c r="Z12" s="51" t="str">
        <f>+IF(GENERAL!AA13=GENERAL!$AI$2,GENERAL!$AI$2,CONCATENATE(OBSERVACIONES!Z12,"
ESTADO DE POSTVENTAS:  ",GENERAL!AA13))</f>
        <v>OK
ESTADO DE POSTVENTAS:  POSTVENTA CORREGIDA</v>
      </c>
      <c r="AA12" s="51" t="str">
        <f>+IF(GENERAL!AB13=GENERAL!$AI$2,GENERAL!$AI$2,CONCATENATE(OBSERVACIONES!AA12,"
ESTADO DE POSTVENTAS:  ",GENERAL!AB13))</f>
        <v>OK
ESTADO DE POSTVENTAS:  POSTVENTA CORREGIDA</v>
      </c>
      <c r="AB12" s="51" t="str">
        <f>+IF(GENERAL!AC13=GENERAL!$AI$2,GENERAL!$AI$2,CONCATENATE(OBSERVACIONES!AB12,"
ESTADO DE POSTVENTAS:  ",GENERAL!AC13))</f>
        <v>OK
ESTADO DE POSTVENTAS:  POSTVENTA CORREGIDA</v>
      </c>
      <c r="AC12" s="51" t="str">
        <f>+IF(GENERAL!AD13=GENERAL!$AI$2,GENERAL!$AI$2,CONCATENATE(OBSERVACIONES!AC12,"
ESTADO DE POSTVENTAS:  ",GENERAL!AD13))</f>
        <v>OK
ESTADO DE POSTVENTAS:  POSTVENTA CORREGIDA</v>
      </c>
      <c r="AD12" s="51" t="str">
        <f>+IF(GENERAL!AE13=GENERAL!$AI$2,GENERAL!$AI$2,CONCATENATE(OBSERVACIONES!AD12,"
ESTADO DE POSTVENTAS:  ",GENERAL!AE13))</f>
        <v>OK
ESTADO DE POSTVENTAS:  POSTVENTA CORREGIDA</v>
      </c>
      <c r="AE12" s="51" t="str">
        <f>+IF(GENERAL!AF13=GENERAL!$AI$2,GENERAL!$AI$2,CONCATENATE(OBSERVACIONES!AE12,"
ESTADO DE POSTVENTAS:  ",GENERAL!AF13))</f>
        <v>OK
ESTADO DE POSTVENTAS:  POSTVENTA CORREGIDA</v>
      </c>
      <c r="AF12" s="51" t="str">
        <f>+IF(GENERAL!AG13=GENERAL!$AI$2,GENERAL!$AI$2,CONCATENATE(OBSERVACIONES!AF12,"
ESTADO DE POSTVENTAS:  ",GENERAL!AG13))</f>
        <v>OK
ESTADO DE POSTVENTAS:  POSTVENTA CORREGIDA</v>
      </c>
      <c r="AG12" s="51" t="str">
        <f>+IF(GENERAL!AH13=GENERAL!$AI$2,GENERAL!$AI$2,CONCATENATE(OBSERVACIONES!AG12,"
ESTADO DE POSTVENTAS:  ",GENERAL!AH13))</f>
        <v>OK
ESTADO DE POSTVENTAS:  POSTVENTA CORREGIDA</v>
      </c>
      <c r="AH12" s="51" t="str">
        <f>+IF(GENERAL!AI13=GENERAL!$AI$2,GENERAL!$AI$2,CONCATENATE(OBSERVACIONES!AH12,"
ESTADO DE POSTVENTAS:  ",GENERAL!AI13))</f>
        <v>OK
ESTADO DE POSTVENTAS:  POSTVENTA CORREGIDA</v>
      </c>
      <c r="AI12" s="51" t="str">
        <f>+IF(GENERAL!AG13=GENERAL!$AI$2,GENERAL!$AI$2,CONCATENATE(OBSERVACIONES!AF12,"
ESTADO DE POSTVENTAS:  ",GENERAL!AG13))</f>
        <v>OK
ESTADO DE POSTVENTAS:  POSTVENTA CORREGIDA</v>
      </c>
      <c r="AJ12" s="51" t="str">
        <f>+IF(GENERAL!AI13=GENERAL!$AI$2,GENERAL!$AI$2,CONCATENATE(OBSERVACIONES!AH12,"
ESTADO DE POSTVENTAS:  ",GENERAL!AI13))</f>
        <v>OK
ESTADO DE POSTVENTAS:  POSTVENTA CORREGIDA</v>
      </c>
      <c r="AK12" s="51" t="str">
        <f>+IF(GENERAL!AJ13=GENERAL!$AI$2,GENERAL!$AI$2,CONCATENATE(OBSERVACIONES!AI12,"
ESTADO DE POSTVENTAS:  ",GENERAL!AJ13))</f>
        <v>OK
ESTADO DE POSTVENTAS:  POSTVENTA CORREGIDA</v>
      </c>
      <c r="AL12" s="51" t="str">
        <f>+IF(GENERAL!AK13=GENERAL!$AI$2,GENERAL!$AI$2,CONCATENATE(OBSERVACIONES!AJ12,"
ESTADO DE POSTVENTAS:  ",GENERAL!AK13))</f>
        <v>OK
ESTADO DE POSTVENTAS:  POSTVENTA CORREGIDA</v>
      </c>
      <c r="AM12" s="51" t="str">
        <f>+IF(GENERAL!AN13=GENERAL!$AI$2,GENERAL!$AI$2,CONCATENATE(OBSERVACIONES!AM12,"
ESTADO DE POSTVENTAS:  ",GENERAL!AN13))</f>
        <v>OK
ESTADO DE POSTVENTAS:  POSTVENTA CORREGIDA</v>
      </c>
      <c r="AN12" s="37">
        <v>0</v>
      </c>
      <c r="AO12" s="37">
        <v>11</v>
      </c>
      <c r="AP12" s="37">
        <v>3</v>
      </c>
      <c r="AQ12" s="37">
        <v>0</v>
      </c>
      <c r="AR12" s="43">
        <v>14</v>
      </c>
      <c r="AS12" s="40">
        <v>12</v>
      </c>
      <c r="AT12" s="37">
        <f>COUNTIFS($D$5:$AM$5,"&lt;&gt;"&amp;CODICIONALES!$A$1,$D$5:$AM$5,"&lt;&gt;"&amp;CODICIONALES!$A$2,$D$5:$AM$5,"&lt;&gt;"&amp;CODICIONALES!$B$2,$D$5:$AM$5,"&lt;&gt;"&amp;CODICIONALES!$C$2)</f>
        <v>6</v>
      </c>
      <c r="AU12" s="43">
        <f>COUNTIFS(D12:AM12,CODICIONALES!$A$2)</f>
        <v>34</v>
      </c>
      <c r="AV12" s="40">
        <f t="shared" si="0"/>
        <v>-4</v>
      </c>
    </row>
    <row r="13" spans="1:48" ht="51" customHeight="1" x14ac:dyDescent="0.25">
      <c r="A13" s="110"/>
      <c r="B13" s="2">
        <v>9</v>
      </c>
      <c r="C13" s="21" t="s">
        <v>49</v>
      </c>
      <c r="D13" s="51" t="str">
        <f>+IF(GENERAL!E14=GENERAL!$AI$2,GENERAL!$AI$2,CONCATENATE(OBSERVACIONES!D13,"
ESTADO DE POSTVENTAS:  ",GENERAL!E14))</f>
        <v>NO ENTREGADO
ESTADO DE POSTVENTAS:  TIENE POSTVENTA</v>
      </c>
      <c r="E13" s="51" t="str">
        <f>+IF(GENERAL!F14=GENERAL!$AI$2,GENERAL!$AI$2,CONCATENATE(OBSERVACIONES!E13,"
ESTADO DE POSTVENTAS:  ",GENERAL!F14))</f>
        <v>OK
ESTADO DE POSTVENTAS:  POSTVENTA CORREGIDA</v>
      </c>
      <c r="F13" s="51" t="str">
        <f>+IF(GENERAL!G14=GENERAL!$AI$2,GENERAL!$AI$2,CONCATENATE(OBSERVACIONES!F13,"
ESTADO DE POSTVENTAS:  ",GENERAL!G14))</f>
        <v>OK
ESTADO DE POSTVENTAS:  POSTVENTA CORREGIDA</v>
      </c>
      <c r="G13" s="51" t="str">
        <f>+IF(GENERAL!H14=GENERAL!$AI$2,GENERAL!$AI$2,CONCATENATE(OBSERVACIONES!G13,"
ESTADO DE POSTVENTAS:  ",GENERAL!H14))</f>
        <v>NO ENTREGADO
ESTADO DE POSTVENTAS:  TIENE POSTVENTA</v>
      </c>
      <c r="H13" s="51" t="str">
        <f>+IF(GENERAL!I14=GENERAL!$AI$2,GENERAL!$AI$2,CONCATENATE(OBSERVACIONES!H13,"
ESTADO DE POSTVENTAS:  ",GENERAL!I14))</f>
        <v>OK
ESTADO DE POSTVENTAS:  POSTVENTA CORREGIDA</v>
      </c>
      <c r="I13" s="51" t="str">
        <f>+IF(GENERAL!J14=GENERAL!$AI$2,GENERAL!$AI$2,CONCATENATE(OBSERVACIONES!I13,"
ESTADO DE POSTVENTAS:  ",GENERAL!J14))</f>
        <v>OK
ESTADO DE POSTVENTAS:  POSTVENTA CORREGIDA</v>
      </c>
      <c r="J13" s="51" t="str">
        <f>+IF(GENERAL!K14=GENERAL!$AI$2,GENERAL!$AI$2,CONCATENATE(OBSERVACIONES!J13,"
ESTADO DE POSTVENTAS:  ",GENERAL!K14))</f>
        <v>OK
ESTADO DE POSTVENTAS:  POSTVENTA CORREGIDA</v>
      </c>
      <c r="K13" s="51" t="str">
        <f>+IF(GENERAL!L14=GENERAL!$AI$2,GENERAL!$AI$2,CONCATENATE(OBSERVACIONES!K13,"
ESTADO DE POSTVENTAS:  ",GENERAL!L14))</f>
        <v>OK
ESTADO DE POSTVENTAS:  POSTVENTA CORREGIDA</v>
      </c>
      <c r="L13" s="51" t="str">
        <f>+IF(GENERAL!M14=GENERAL!$AI$2,GENERAL!$AI$2,CONCATENATE(OBSERVACIONES!L13,"
ESTADO DE POSTVENTAS:  ",GENERAL!M14))</f>
        <v>OK
ESTADO DE POSTVENTAS:  POSTVENTA CORREGIDA</v>
      </c>
      <c r="M13" s="70" t="str">
        <f>+IF(GENERAL!N14=GENERAL!$AI$2,GENERAL!$AI$2,CONCATENATE(OBSERVACIONES!M13,"
ESTADO DE POSTVENTAS:  ",GENERAL!N14))</f>
        <v>OK
ESTADO DE POSTVENTAS:  POSTVENTA CORREGIDA</v>
      </c>
      <c r="N13" s="51" t="str">
        <f>+IF(GENERAL!O14=GENERAL!$AI$2,GENERAL!$AI$2,CONCATENATE(OBSERVACIONES!N13,"
ESTADO DE POSTVENTAS:  ",GENERAL!O14))</f>
        <v>OK
ESTADO DE POSTVENTAS:  POSTVENTA CORREGIDA</v>
      </c>
      <c r="O13" s="51" t="str">
        <f>+IF(GENERAL!P14=GENERAL!$AI$2,GENERAL!$AI$2,CONCATENATE(OBSERVACIONES!O13,"
ESTADO DE POSTVENTAS:  ",GENERAL!P14))</f>
        <v>OK
ESTADO DE POSTVENTAS:  POSTVENTA CORREGIDA</v>
      </c>
      <c r="P13" s="70" t="str">
        <f>+IF(GENERAL!Q14=GENERAL!$AI$2,GENERAL!$AI$2,CONCATENATE(OBSERVACIONES!P13,"
ESTADO DE POSTVENTAS:  ",GENERAL!Q14))</f>
        <v>OK
ESTADO DE POSTVENTAS:  POSTVENTA CORREGIDA</v>
      </c>
      <c r="Q13" s="70" t="str">
        <f>+IF(GENERAL!R14=GENERAL!$AI$2,GENERAL!$AI$2,CONCATENATE(OBSERVACIONES!Q13,"
ESTADO DE POSTVENTAS:  ",GENERAL!R14))</f>
        <v>OK
ESTADO DE POSTVENTAS:  POSTVENTA CORREGIDA</v>
      </c>
      <c r="R13" s="51" t="str">
        <f>+IF(GENERAL!S14=GENERAL!$AI$2,GENERAL!$AI$2,CONCATENATE(OBSERVACIONES!R13,"
ESTADO DE POSTVENTAS:  ",GENERAL!S14))</f>
        <v>OK
ESTADO DE POSTVENTAS:  POSTVENTA CORREGIDA</v>
      </c>
      <c r="S13" s="51" t="str">
        <f>+IF(GENERAL!T14=GENERAL!$AI$2,GENERAL!$AI$2,CONCATENATE(OBSERVACIONES!S13,"
ESTADO DE POSTVENTAS:  ",GENERAL!T14))</f>
        <v>OK
ESTADO DE POSTVENTAS:  POSTVENTA CORREGIDA</v>
      </c>
      <c r="T13" s="51" t="str">
        <f>+IF(GENERAL!U14=GENERAL!$AI$2,GENERAL!$AI$2,CONCATENATE(OBSERVACIONES!T13,"
ESTADO DE POSTVENTAS:  ",GENERAL!U14))</f>
        <v>OK
ESTADO DE POSTVENTAS:  POSTVENTA CORREGIDA</v>
      </c>
      <c r="U13" s="51" t="str">
        <f>+IF(GENERAL!V14=GENERAL!$AI$2,GENERAL!$AI$2,CONCATENATE(OBSERVACIONES!U13,"
ESTADO DE POSTVENTAS:  ",GENERAL!V14))</f>
        <v>OK
ESTADO DE POSTVENTAS:  POSTVENTA CORREGIDA</v>
      </c>
      <c r="V13" s="51" t="str">
        <f>+IF(GENERAL!W14=GENERAL!$AI$2,GENERAL!$AI$2,CONCATENATE(OBSERVACIONES!V13,"
ESTADO DE POSTVENTAS:  ",GENERAL!W14))</f>
        <v>OK
ESTADO DE POSTVENTAS:  POSTVENTA CORREGIDA</v>
      </c>
      <c r="W13" s="51" t="str">
        <f>+IF(GENERAL!V14=GENERAL!$AI$2,GENERAL!$AI$2,CONCATENATE(OBSERVACIONES!W13,"
ESTADO DE POSTVENTAS:  ",GENERAL!V14))</f>
        <v>OK
ESTADO DE POSTVENTAS:  POSTVENTA CORREGIDA</v>
      </c>
      <c r="X13" s="51" t="str">
        <f>+IF(GENERAL!W14=GENERAL!$AI$2,GENERAL!$AI$2,CONCATENATE(OBSERVACIONES!X13,"
ESTADO DE POSTVENTAS:  ",GENERAL!W14))</f>
        <v>OK
ESTADO DE POSTVENTAS:  POSTVENTA CORREGIDA</v>
      </c>
      <c r="Y13" s="51" t="str">
        <f>+IF(GENERAL!Z14=GENERAL!$AI$2,GENERAL!$AI$2,CONCATENATE(OBSERVACIONES!Y13,"
ESTADO DE POSTVENTAS:  ",GENERAL!Z14))</f>
        <v>OK
ESTADO DE POSTVENTAS:  POSTVENTA CORREGIDA</v>
      </c>
      <c r="Z13" s="51" t="str">
        <f>+IF(GENERAL!AA14=GENERAL!$AI$2,GENERAL!$AI$2,CONCATENATE(OBSERVACIONES!Z13,"
ESTADO DE POSTVENTAS:  ",GENERAL!AA14))</f>
        <v>OK
ESTADO DE POSTVENTAS:  POSTVENTA CORREGIDA</v>
      </c>
      <c r="AA13" s="51" t="str">
        <f>+IF(GENERAL!AB14=GENERAL!$AI$2,GENERAL!$AI$2,CONCATENATE(OBSERVACIONES!AA13,"
ESTADO DE POSTVENTAS:  ",GENERAL!AB14))</f>
        <v>OK
ESTADO DE POSTVENTAS:  POSTVENTA CORREGIDA</v>
      </c>
      <c r="AB13" s="51" t="str">
        <f>+IF(GENERAL!AC14=GENERAL!$AI$2,GENERAL!$AI$2,CONCATENATE(OBSERVACIONES!AB13,"
ESTADO DE POSTVENTAS:  ",GENERAL!AC14))</f>
        <v>OK
ESTADO DE POSTVENTAS:  POSTVENTA CORREGIDA</v>
      </c>
      <c r="AC13" s="51" t="str">
        <f>+IF(GENERAL!AD14=GENERAL!$AI$2,GENERAL!$AI$2,CONCATENATE(OBSERVACIONES!AC13,"
ESTADO DE POSTVENTAS:  ",GENERAL!AD14))</f>
        <v>OK
ESTADO DE POSTVENTAS:  POSTVENTA CORREGIDA</v>
      </c>
      <c r="AD13" s="51" t="str">
        <f>+IF(GENERAL!AE14=GENERAL!$AI$2,GENERAL!$AI$2,CONCATENATE(OBSERVACIONES!AD13,"
ESTADO DE POSTVENTAS:  ",GENERAL!AE14))</f>
        <v>OK
ESTADO DE POSTVENTAS:  POSTVENTA CORREGIDA</v>
      </c>
      <c r="AE13" s="51" t="str">
        <f>+IF(GENERAL!AF14=GENERAL!$AI$2,GENERAL!$AI$2,CONCATENATE(OBSERVACIONES!AE13,"
ESTADO DE POSTVENTAS:  ",GENERAL!AF14))</f>
        <v>OK
ESTADO DE POSTVENTAS:  POSTVENTA CORREGIDA</v>
      </c>
      <c r="AF13" s="51" t="str">
        <f>+IF(GENERAL!AG14=GENERAL!$AI$2,GENERAL!$AI$2,CONCATENATE(OBSERVACIONES!AF13,"
ESTADO DE POSTVENTAS:  ",GENERAL!AG14))</f>
        <v>OK
ESTADO DE POSTVENTAS:  POSTVENTA CORREGIDA</v>
      </c>
      <c r="AG13" s="51" t="str">
        <f>+IF(GENERAL!AH14=GENERAL!$AI$2,GENERAL!$AI$2,CONCATENATE(OBSERVACIONES!AG13,"
ESTADO DE POSTVENTAS:  ",GENERAL!AH14))</f>
        <v>OK
ESTADO DE POSTVENTAS:  POSTVENTA CORREGIDA</v>
      </c>
      <c r="AH13" s="51" t="str">
        <f>+IF(GENERAL!AI14=GENERAL!$AI$2,GENERAL!$AI$2,CONCATENATE(OBSERVACIONES!AH13,"
ESTADO DE POSTVENTAS:  ",GENERAL!AI14))</f>
        <v>OK
ESTADO DE POSTVENTAS:  POSTVENTA CORREGIDA</v>
      </c>
      <c r="AI13" s="51" t="str">
        <f>+IF(GENERAL!AG14=GENERAL!$AI$2,GENERAL!$AI$2,CONCATENATE(OBSERVACIONES!AF13,"
ESTADO DE POSTVENTAS:  ",GENERAL!AG14))</f>
        <v>OK
ESTADO DE POSTVENTAS:  POSTVENTA CORREGIDA</v>
      </c>
      <c r="AJ13" s="51" t="str">
        <f>+IF(GENERAL!AI14=GENERAL!$AI$2,GENERAL!$AI$2,CONCATENATE(OBSERVACIONES!AH13,"
ESTADO DE POSTVENTAS:  ",GENERAL!AI14))</f>
        <v>OK
ESTADO DE POSTVENTAS:  POSTVENTA CORREGIDA</v>
      </c>
      <c r="AK13" s="51" t="str">
        <f>+IF(GENERAL!AJ14=GENERAL!$AI$2,GENERAL!$AI$2,CONCATENATE(OBSERVACIONES!AI13,"
ESTADO DE POSTVENTAS:  ",GENERAL!AJ14))</f>
        <v>OK
ESTADO DE POSTVENTAS:  POSTVENTA CORREGIDA</v>
      </c>
      <c r="AL13" s="51" t="str">
        <f>+IF(GENERAL!AK14=GENERAL!$AI$2,GENERAL!$AI$2,CONCATENATE(OBSERVACIONES!AJ13,"
ESTADO DE POSTVENTAS:  ",GENERAL!AK14))</f>
        <v>OK
ESTADO DE POSTVENTAS:  POSTVENTA CORREGIDA</v>
      </c>
      <c r="AM13" s="51" t="str">
        <f>+IF(GENERAL!AN14=GENERAL!$AI$2,GENERAL!$AI$2,CONCATENATE(OBSERVACIONES!AM13,"
ESTADO DE POSTVENTAS:  ",GENERAL!AN14))</f>
        <v>OK
ESTADO DE POSTVENTAS:  POSTVENTA CORREGIDA</v>
      </c>
      <c r="AN13" s="37">
        <v>0</v>
      </c>
      <c r="AO13" s="37">
        <v>11</v>
      </c>
      <c r="AP13" s="37">
        <v>3</v>
      </c>
      <c r="AQ13" s="37">
        <v>0</v>
      </c>
      <c r="AR13" s="43">
        <v>14</v>
      </c>
      <c r="AS13" s="40">
        <v>12</v>
      </c>
      <c r="AT13" s="37">
        <f>COUNTIFS($D$5:$AM$5,"&lt;&gt;"&amp;CODICIONALES!$A$1,$D$5:$AM$5,"&lt;&gt;"&amp;CODICIONALES!$A$2,$D$5:$AM$5,"&lt;&gt;"&amp;CODICIONALES!$B$2,$D$5:$AM$5,"&lt;&gt;"&amp;CODICIONALES!$C$2)</f>
        <v>6</v>
      </c>
      <c r="AU13" s="43">
        <f>COUNTIFS(D13:AM13,CODICIONALES!$A$2)</f>
        <v>34</v>
      </c>
      <c r="AV13" s="40">
        <f t="shared" si="0"/>
        <v>-4</v>
      </c>
    </row>
    <row r="14" spans="1:48" ht="51" customHeight="1" x14ac:dyDescent="0.25">
      <c r="A14" s="110"/>
      <c r="B14" s="2">
        <v>10</v>
      </c>
      <c r="C14" s="21" t="s">
        <v>50</v>
      </c>
      <c r="D14" s="51" t="str">
        <f>+IF(GENERAL!E15=GENERAL!$AI$2,GENERAL!$AI$2,CONCATENATE(OBSERVACIONES!D14,"
ESTADO DE POSTVENTAS:  ",GENERAL!E15))</f>
        <v>NO ENTREGADO
ESTADO DE POSTVENTAS:  TIENE POSTVENTA</v>
      </c>
      <c r="E14" s="51" t="str">
        <f>+IF(GENERAL!F15=GENERAL!$AI$2,GENERAL!$AI$2,CONCATENATE(OBSERVACIONES!E14,"
ESTADO DE POSTVENTAS:  ",GENERAL!F15))</f>
        <v>OK
ESTADO DE POSTVENTAS:  POSTVENTA CORREGIDA</v>
      </c>
      <c r="F14" s="51" t="str">
        <f>+IF(GENERAL!G15=GENERAL!$AI$2,GENERAL!$AI$2,CONCATENATE(OBSERVACIONES!F14,"
ESTADO DE POSTVENTAS:  ",GENERAL!G15))</f>
        <v>OK
ESTADO DE POSTVENTAS:  POSTVENTA CORREGIDA</v>
      </c>
      <c r="G14" s="51" t="str">
        <f>+IF(GENERAL!H15=GENERAL!$AI$2,GENERAL!$AI$2,CONCATENATE(OBSERVACIONES!G14,"
ESTADO DE POSTVENTAS:  ",GENERAL!H15))</f>
        <v>NO ENTREGADO
ESTADO DE POSTVENTAS:  TIENE POSTVENTA</v>
      </c>
      <c r="H14" s="51" t="str">
        <f>+IF(GENERAL!I15=GENERAL!$AI$2,GENERAL!$AI$2,CONCATENATE(OBSERVACIONES!H14,"
ESTADO DE POSTVENTAS:  ",GENERAL!I15))</f>
        <v>OK
ESTADO DE POSTVENTAS:  POSTVENTA CORREGIDA</v>
      </c>
      <c r="I14" s="51" t="str">
        <f>+IF(GENERAL!J15=GENERAL!$AI$2,GENERAL!$AI$2,CONCATENATE(OBSERVACIONES!I14,"
ESTADO DE POSTVENTAS:  ",GENERAL!J15))</f>
        <v>OK
ESTADO DE POSTVENTAS:  POSTVENTA CORREGIDA</v>
      </c>
      <c r="J14" s="51" t="str">
        <f>+IF(GENERAL!K15=GENERAL!$AI$2,GENERAL!$AI$2,CONCATENATE(OBSERVACIONES!J14,"
ESTADO DE POSTVENTAS:  ",GENERAL!K15))</f>
        <v>OK
ESTADO DE POSTVENTAS:  POSTVENTA CORREGIDA</v>
      </c>
      <c r="K14" s="51" t="str">
        <f>+IF(GENERAL!L15=GENERAL!$AI$2,GENERAL!$AI$2,CONCATENATE(OBSERVACIONES!K14,"
ESTADO DE POSTVENTAS:  ",GENERAL!L15))</f>
        <v>OK
ESTADO DE POSTVENTAS:  POSTVENTA CORREGIDA</v>
      </c>
      <c r="L14" s="51" t="str">
        <f>+IF(GENERAL!M15=GENERAL!$AI$2,GENERAL!$AI$2,CONCATENATE(OBSERVACIONES!L14,"
ESTADO DE POSTVENTAS:  ",GENERAL!M15))</f>
        <v>OK
ESTADO DE POSTVENTAS:  POSTVENTA CORREGIDA</v>
      </c>
      <c r="M14" s="70" t="str">
        <f>+IF(GENERAL!N15=GENERAL!$AI$2,GENERAL!$AI$2,CONCATENATE(OBSERVACIONES!M14,"
ESTADO DE POSTVENTAS:  ",GENERAL!N15))</f>
        <v>OK
ESTADO DE POSTVENTAS:  POSTVENTA CORREGIDA</v>
      </c>
      <c r="N14" s="51" t="str">
        <f>+IF(GENERAL!O15=GENERAL!$AI$2,GENERAL!$AI$2,CONCATENATE(OBSERVACIONES!N14,"
ESTADO DE POSTVENTAS:  ",GENERAL!O15))</f>
        <v>OK
ESTADO DE POSTVENTAS:  POSTVENTA CORREGIDA</v>
      </c>
      <c r="O14" s="51" t="str">
        <f>+IF(GENERAL!P15=GENERAL!$AI$2,GENERAL!$AI$2,CONCATENATE(OBSERVACIONES!O14,"
ESTADO DE POSTVENTAS:  ",GENERAL!P15))</f>
        <v>OK
ESTADO DE POSTVENTAS:  POSTVENTA CORREGIDA</v>
      </c>
      <c r="P14" s="70" t="str">
        <f>+IF(GENERAL!Q15=GENERAL!$AI$2,GENERAL!$AI$2,CONCATENATE(OBSERVACIONES!P14,"
ESTADO DE POSTVENTAS:  ",GENERAL!Q15))</f>
        <v>OK
ESTADO DE POSTVENTAS:  POSTVENTA CORREGIDA</v>
      </c>
      <c r="Q14" s="70" t="str">
        <f>+IF(GENERAL!R15=GENERAL!$AI$2,GENERAL!$AI$2,CONCATENATE(OBSERVACIONES!Q14,"
ESTADO DE POSTVENTAS:  ",GENERAL!R15))</f>
        <v>OK
ESTADO DE POSTVENTAS:  POSTVENTA CORREGIDA</v>
      </c>
      <c r="R14" s="51" t="str">
        <f>+IF(GENERAL!S15=GENERAL!$AI$2,GENERAL!$AI$2,CONCATENATE(OBSERVACIONES!R14,"
ESTADO DE POSTVENTAS:  ",GENERAL!S15))</f>
        <v>OK
ESTADO DE POSTVENTAS:  POSTVENTA CORREGIDA</v>
      </c>
      <c r="S14" s="51" t="str">
        <f>+IF(GENERAL!T15=GENERAL!$AI$2,GENERAL!$AI$2,CONCATENATE(OBSERVACIONES!S14,"
ESTADO DE POSTVENTAS:  ",GENERAL!T15))</f>
        <v>OK
ESTADO DE POSTVENTAS:  POSTVENTA CORREGIDA</v>
      </c>
      <c r="T14" s="51" t="str">
        <f>+IF(GENERAL!U15=GENERAL!$AI$2,GENERAL!$AI$2,CONCATENATE(OBSERVACIONES!T14,"
ESTADO DE POSTVENTAS:  ",GENERAL!U15))</f>
        <v>OK
ESTADO DE POSTVENTAS:  POSTVENTA CORREGIDA</v>
      </c>
      <c r="U14" s="51" t="str">
        <f>+IF(GENERAL!V15=GENERAL!$AI$2,GENERAL!$AI$2,CONCATENATE(OBSERVACIONES!U14,"
ESTADO DE POSTVENTAS:  ",GENERAL!V15))</f>
        <v>OK
ESTADO DE POSTVENTAS:  POSTVENTA CORREGIDA</v>
      </c>
      <c r="V14" s="51" t="str">
        <f>+IF(GENERAL!W15=GENERAL!$AI$2,GENERAL!$AI$2,CONCATENATE(OBSERVACIONES!V14,"
ESTADO DE POSTVENTAS:  ",GENERAL!W15))</f>
        <v>OK
ESTADO DE POSTVENTAS:  POSTVENTA CORREGIDA</v>
      </c>
      <c r="W14" s="51" t="str">
        <f>+IF(GENERAL!V15=GENERAL!$AI$2,GENERAL!$AI$2,CONCATENATE(OBSERVACIONES!W14,"
ESTADO DE POSTVENTAS:  ",GENERAL!V15))</f>
        <v>OK
ESTADO DE POSTVENTAS:  POSTVENTA CORREGIDA</v>
      </c>
      <c r="X14" s="51" t="str">
        <f>+IF(GENERAL!W15=GENERAL!$AI$2,GENERAL!$AI$2,CONCATENATE(OBSERVACIONES!X14,"
ESTADO DE POSTVENTAS:  ",GENERAL!W15))</f>
        <v>OK
ESTADO DE POSTVENTAS:  POSTVENTA CORREGIDA</v>
      </c>
      <c r="Y14" s="51" t="str">
        <f>+IF(GENERAL!Z15=GENERAL!$AI$2,GENERAL!$AI$2,CONCATENATE(OBSERVACIONES!Y14,"
ESTADO DE POSTVENTAS:  ",GENERAL!Z15))</f>
        <v>OK
ESTADO DE POSTVENTAS:  POSTVENTA CORREGIDA</v>
      </c>
      <c r="Z14" s="51" t="str">
        <f>+IF(GENERAL!AA15=GENERAL!$AI$2,GENERAL!$AI$2,CONCATENATE(OBSERVACIONES!Z14,"
ESTADO DE POSTVENTAS:  ",GENERAL!AA15))</f>
        <v>OK
ESTADO DE POSTVENTAS:  POSTVENTA CORREGIDA</v>
      </c>
      <c r="AA14" s="51" t="str">
        <f>+IF(GENERAL!AB15=GENERAL!$AI$2,GENERAL!$AI$2,CONCATENATE(OBSERVACIONES!AA14,"
ESTADO DE POSTVENTAS:  ",GENERAL!AB15))</f>
        <v>OK
ESTADO DE POSTVENTAS:  POSTVENTA CORREGIDA</v>
      </c>
      <c r="AB14" s="51" t="str">
        <f>+IF(GENERAL!AC15=GENERAL!$AI$2,GENERAL!$AI$2,CONCATENATE(OBSERVACIONES!AB14,"
ESTADO DE POSTVENTAS:  ",GENERAL!AC15))</f>
        <v>OK
ESTADO DE POSTVENTAS:  POSTVENTA CORREGIDA</v>
      </c>
      <c r="AC14" s="51" t="str">
        <f>+IF(GENERAL!AD15=GENERAL!$AI$2,GENERAL!$AI$2,CONCATENATE(OBSERVACIONES!AC14,"
ESTADO DE POSTVENTAS:  ",GENERAL!AD15))</f>
        <v>OK
ESTADO DE POSTVENTAS:  POSTVENTA CORREGIDA</v>
      </c>
      <c r="AD14" s="51" t="str">
        <f>+IF(GENERAL!AE15=GENERAL!$AI$2,GENERAL!$AI$2,CONCATENATE(OBSERVACIONES!AD14,"
ESTADO DE POSTVENTAS:  ",GENERAL!AE15))</f>
        <v>OK
ESTADO DE POSTVENTAS:  POSTVENTA CORREGIDA</v>
      </c>
      <c r="AE14" s="51" t="str">
        <f>+IF(GENERAL!AF15=GENERAL!$AI$2,GENERAL!$AI$2,CONCATENATE(OBSERVACIONES!AE14,"
ESTADO DE POSTVENTAS:  ",GENERAL!AF15))</f>
        <v>OK
ESTADO DE POSTVENTAS:  POSTVENTA CORREGIDA</v>
      </c>
      <c r="AF14" s="51" t="str">
        <f>+IF(GENERAL!AG15=GENERAL!$AI$2,GENERAL!$AI$2,CONCATENATE(OBSERVACIONES!AF14,"
ESTADO DE POSTVENTAS:  ",GENERAL!AG15))</f>
        <v>OK
ESTADO DE POSTVENTAS:  POSTVENTA CORREGIDA</v>
      </c>
      <c r="AG14" s="51" t="str">
        <f>+IF(GENERAL!AH15=GENERAL!$AI$2,GENERAL!$AI$2,CONCATENATE(OBSERVACIONES!AG14,"
ESTADO DE POSTVENTAS:  ",GENERAL!AH15))</f>
        <v>DETALLE TORNILLOS
ESTADO DE POSTVENTAS:  TIENE POSTVENTA</v>
      </c>
      <c r="AH14" s="51" t="str">
        <f>+IF(GENERAL!AI15=GENERAL!$AI$2,GENERAL!$AI$2,CONCATENATE(OBSERVACIONES!AH14,"
ESTADO DE POSTVENTAS:  ",GENERAL!AI15))</f>
        <v>OK
ESTADO DE POSTVENTAS:  POSTVENTA CORREGIDA</v>
      </c>
      <c r="AI14" s="51" t="str">
        <f>+IF(GENERAL!AG15=GENERAL!$AI$2,GENERAL!$AI$2,CONCATENATE(OBSERVACIONES!AF14,"
ESTADO DE POSTVENTAS:  ",GENERAL!AG15))</f>
        <v>OK
ESTADO DE POSTVENTAS:  POSTVENTA CORREGIDA</v>
      </c>
      <c r="AJ14" s="51" t="str">
        <f>+IF(GENERAL!AI15=GENERAL!$AI$2,GENERAL!$AI$2,CONCATENATE(OBSERVACIONES!AH14,"
ESTADO DE POSTVENTAS:  ",GENERAL!AI15))</f>
        <v>OK
ESTADO DE POSTVENTAS:  POSTVENTA CORREGIDA</v>
      </c>
      <c r="AK14" s="51" t="str">
        <f>+IF(GENERAL!AJ15=GENERAL!$AI$2,GENERAL!$AI$2,CONCATENATE(OBSERVACIONES!AI14,"
ESTADO DE POSTVENTAS:  ",GENERAL!AJ15))</f>
        <v>OK
ESTADO DE POSTVENTAS:  POSTVENTA CORREGIDA</v>
      </c>
      <c r="AL14" s="51" t="str">
        <f>+IF(GENERAL!AK15=GENERAL!$AI$2,GENERAL!$AI$2,CONCATENATE(OBSERVACIONES!AJ14,"
ESTADO DE POSTVENTAS:  ",GENERAL!AK15))</f>
        <v>OK
ESTADO DE POSTVENTAS:  POSTVENTA CORREGIDA</v>
      </c>
      <c r="AM14" s="51" t="str">
        <f>+IF(GENERAL!AN15=GENERAL!$AI$2,GENERAL!$AI$2,CONCATENATE(OBSERVACIONES!AM14,"
ESTADO DE POSTVENTAS:  ",GENERAL!AN15))</f>
        <v>OK
ESTADO DE POSTVENTAS:  POSTVENTA CORREGIDA</v>
      </c>
      <c r="AN14" s="37">
        <v>2</v>
      </c>
      <c r="AO14" s="37">
        <v>9</v>
      </c>
      <c r="AP14" s="37">
        <v>3</v>
      </c>
      <c r="AQ14" s="37">
        <v>1</v>
      </c>
      <c r="AR14" s="43">
        <v>13</v>
      </c>
      <c r="AS14" s="40">
        <v>12</v>
      </c>
      <c r="AT14" s="37">
        <f>COUNTIFS($D$5:$AM$5,"&lt;&gt;"&amp;CODICIONALES!$A$1,$D$5:$AM$5,"&lt;&gt;"&amp;CODICIONALES!$A$2,$D$5:$AM$5,"&lt;&gt;"&amp;CODICIONALES!$B$2,$D$5:$AM$5,"&lt;&gt;"&amp;CODICIONALES!$C$2)</f>
        <v>6</v>
      </c>
      <c r="AU14" s="43">
        <f>COUNTIFS(D14:AM14,CODICIONALES!$A$2)</f>
        <v>33</v>
      </c>
      <c r="AV14" s="40">
        <f t="shared" si="0"/>
        <v>-3</v>
      </c>
    </row>
    <row r="15" spans="1:48" ht="51" customHeight="1" x14ac:dyDescent="0.25">
      <c r="A15" s="110"/>
      <c r="B15" s="2">
        <v>11</v>
      </c>
      <c r="C15" s="21" t="s">
        <v>51</v>
      </c>
      <c r="D15" s="51" t="str">
        <f>+IF(GENERAL!E16=GENERAL!$AI$2,GENERAL!$AI$2,CONCATENATE(OBSERVACIONES!D15,"
ESTADO DE POSTVENTAS:  ",GENERAL!E16))</f>
        <v>NO ENTREGADO
ESTADO DE POSTVENTAS:  TIENE POSTVENTA</v>
      </c>
      <c r="E15" s="51" t="str">
        <f>+IF(GENERAL!F16=GENERAL!$AI$2,GENERAL!$AI$2,CONCATENATE(OBSERVACIONES!E15,"
ESTADO DE POSTVENTAS:  ",GENERAL!F16))</f>
        <v>OK
ESTADO DE POSTVENTAS:  POSTVENTA CORREGIDA</v>
      </c>
      <c r="F15" s="51" t="str">
        <f>+IF(GENERAL!G16=GENERAL!$AI$2,GENERAL!$AI$2,CONCATENATE(OBSERVACIONES!F15,"
ESTADO DE POSTVENTAS:  ",GENERAL!G16))</f>
        <v>OK
ESTADO DE POSTVENTAS:  POSTVENTA CORREGIDA</v>
      </c>
      <c r="G15" s="51" t="str">
        <f>+IF(GENERAL!H16=GENERAL!$AI$2,GENERAL!$AI$2,CONCATENATE(OBSERVACIONES!G15,"
ESTADO DE POSTVENTAS:  ",GENERAL!H16))</f>
        <v>NO ENTREGADO
ESTADO DE POSTVENTAS:  TIENE POSTVENTA</v>
      </c>
      <c r="H15" s="51" t="str">
        <f>+IF(GENERAL!I16=GENERAL!$AI$2,GENERAL!$AI$2,CONCATENATE(OBSERVACIONES!H15,"
ESTADO DE POSTVENTAS:  ",GENERAL!I16))</f>
        <v>OK
ESTADO DE POSTVENTAS:  POSTVENTA CORREGIDA</v>
      </c>
      <c r="I15" s="51" t="str">
        <f>+IF(GENERAL!J16=GENERAL!$AI$2,GENERAL!$AI$2,CONCATENATE(OBSERVACIONES!I15,"
ESTADO DE POSTVENTAS:  ",GENERAL!J16))</f>
        <v>OK
ESTADO DE POSTVENTAS:  POSTVENTA CORREGIDA</v>
      </c>
      <c r="J15" s="51" t="str">
        <f>+IF(GENERAL!K16=GENERAL!$AI$2,GENERAL!$AI$2,CONCATENATE(OBSERVACIONES!J15,"
ESTADO DE POSTVENTAS:  ",GENERAL!K16))</f>
        <v>OK
ESTADO DE POSTVENTAS:  POSTVENTA CORREGIDA</v>
      </c>
      <c r="K15" s="51" t="str">
        <f>+IF(GENERAL!L16=GENERAL!$AI$2,GENERAL!$AI$2,CONCATENATE(OBSERVACIONES!K15,"
ESTADO DE POSTVENTAS:  ",GENERAL!L16))</f>
        <v>OK
ESTADO DE POSTVENTAS:  POSTVENTA CORREGIDA</v>
      </c>
      <c r="L15" s="51" t="str">
        <f>+IF(GENERAL!M16=GENERAL!$AI$2,GENERAL!$AI$2,CONCATENATE(OBSERVACIONES!L15,"
ESTADO DE POSTVENTAS:  ",GENERAL!M16))</f>
        <v>OK
ESTADO DE POSTVENTAS:  POSTVENTA CORREGIDA</v>
      </c>
      <c r="M15" s="70" t="str">
        <f>+IF(GENERAL!N16=GENERAL!$AI$2,GENERAL!$AI$2,CONCATENATE(OBSERVACIONES!M15,"
ESTADO DE POSTVENTAS:  ",GENERAL!N16))</f>
        <v>OK
ESTADO DE POSTVENTAS:  POSTVENTA CORREGIDA</v>
      </c>
      <c r="N15" s="51" t="str">
        <f>+IF(GENERAL!O16=GENERAL!$AI$2,GENERAL!$AI$2,CONCATENATE(OBSERVACIONES!N15,"
ESTADO DE POSTVENTAS:  ",GENERAL!O16))</f>
        <v>OK
ESTADO DE POSTVENTAS:  POSTVENTA CORREGIDA</v>
      </c>
      <c r="O15" s="51" t="str">
        <f>+IF(GENERAL!P16=GENERAL!$AI$2,GENERAL!$AI$2,CONCATENATE(OBSERVACIONES!O15,"
ESTADO DE POSTVENTAS:  ",GENERAL!P16))</f>
        <v>OK
ESTADO DE POSTVENTAS:  POSTVENTA CORREGIDA</v>
      </c>
      <c r="P15" s="70" t="str">
        <f>+IF(GENERAL!Q16=GENERAL!$AI$2,GENERAL!$AI$2,CONCATENATE(OBSERVACIONES!P15,"
ESTADO DE POSTVENTAS:  ",GENERAL!Q16))</f>
        <v>OK
ESTADO DE POSTVENTAS:  POSTVENTA CORREGIDA</v>
      </c>
      <c r="Q15" s="70" t="str">
        <f>+IF(GENERAL!R16=GENERAL!$AI$2,GENERAL!$AI$2,CONCATENATE(OBSERVACIONES!Q15,"
ESTADO DE POSTVENTAS:  ",GENERAL!R16))</f>
        <v>OK
ESTADO DE POSTVENTAS:  POSTVENTA CORREGIDA</v>
      </c>
      <c r="R15" s="51" t="str">
        <f>+IF(GENERAL!S16=GENERAL!$AI$2,GENERAL!$AI$2,CONCATENATE(OBSERVACIONES!R15,"
ESTADO DE POSTVENTAS:  ",GENERAL!S16))</f>
        <v>OK
ESTADO DE POSTVENTAS:  POSTVENTA CORREGIDA</v>
      </c>
      <c r="S15" s="51" t="str">
        <f>+IF(GENERAL!T16=GENERAL!$AI$2,GENERAL!$AI$2,CONCATENATE(OBSERVACIONES!S15,"
ESTADO DE POSTVENTAS:  ",GENERAL!T16))</f>
        <v>OK
ESTADO DE POSTVENTAS:  POSTVENTA CORREGIDA</v>
      </c>
      <c r="T15" s="51" t="str">
        <f>+IF(GENERAL!U16=GENERAL!$AI$2,GENERAL!$AI$2,CONCATENATE(OBSERVACIONES!T15,"
ESTADO DE POSTVENTAS:  ",GENERAL!U16))</f>
        <v>OK
ESTADO DE POSTVENTAS:  POSTVENTA CORREGIDA</v>
      </c>
      <c r="U15" s="51" t="str">
        <f>+IF(GENERAL!V16=GENERAL!$AI$2,GENERAL!$AI$2,CONCATENATE(OBSERVACIONES!U15,"
ESTADO DE POSTVENTAS:  ",GENERAL!V16))</f>
        <v>OK
ESTADO DE POSTVENTAS:  POSTVENTA CORREGIDA</v>
      </c>
      <c r="V15" s="51" t="str">
        <f>+IF(GENERAL!W16=GENERAL!$AI$2,GENERAL!$AI$2,CONCATENATE(OBSERVACIONES!V15,"
ESTADO DE POSTVENTAS:  ",GENERAL!W16))</f>
        <v>OK
ESTADO DE POSTVENTAS:  POSTVENTA CORREGIDA</v>
      </c>
      <c r="W15" s="51" t="str">
        <f>+IF(GENERAL!V16=GENERAL!$AI$2,GENERAL!$AI$2,CONCATENATE(OBSERVACIONES!W15,"
ESTADO DE POSTVENTAS:  ",GENERAL!V16))</f>
        <v>OK
ESTADO DE POSTVENTAS:  POSTVENTA CORREGIDA</v>
      </c>
      <c r="X15" s="51" t="str">
        <f>+IF(GENERAL!W16=GENERAL!$AI$2,GENERAL!$AI$2,CONCATENATE(OBSERVACIONES!X15,"
ESTADO DE POSTVENTAS:  ",GENERAL!W16))</f>
        <v>OK
ESTADO DE POSTVENTAS:  POSTVENTA CORREGIDA</v>
      </c>
      <c r="Y15" s="51" t="str">
        <f>+IF(GENERAL!Z16=GENERAL!$AI$2,GENERAL!$AI$2,CONCATENATE(OBSERVACIONES!Y15,"
ESTADO DE POSTVENTAS:  ",GENERAL!Z16))</f>
        <v>OK
ESTADO DE POSTVENTAS:  POSTVENTA CORREGIDA</v>
      </c>
      <c r="Z15" s="51" t="str">
        <f>+IF(GENERAL!AA16=GENERAL!$AI$2,GENERAL!$AI$2,CONCATENATE(OBSERVACIONES!Z15,"
ESTADO DE POSTVENTAS:  ",GENERAL!AA16))</f>
        <v>OK
ESTADO DE POSTVENTAS:  POSTVENTA CORREGIDA</v>
      </c>
      <c r="AA15" s="51" t="str">
        <f>+IF(GENERAL!AB16=GENERAL!$AI$2,GENERAL!$AI$2,CONCATENATE(OBSERVACIONES!AA15,"
ESTADO DE POSTVENTAS:  ",GENERAL!AB16))</f>
        <v>OK
ESTADO DE POSTVENTAS:  POSTVENTA CORREGIDA</v>
      </c>
      <c r="AB15" s="51" t="str">
        <f>+IF(GENERAL!AC16=GENERAL!$AI$2,GENERAL!$AI$2,CONCATENATE(OBSERVACIONES!AB15,"
ESTADO DE POSTVENTAS:  ",GENERAL!AC16))</f>
        <v>OK
ESTADO DE POSTVENTAS:  POSTVENTA CORREGIDA</v>
      </c>
      <c r="AC15" s="51" t="str">
        <f>+IF(GENERAL!AD16=GENERAL!$AI$2,GENERAL!$AI$2,CONCATENATE(OBSERVACIONES!AC15,"
ESTADO DE POSTVENTAS:  ",GENERAL!AD16))</f>
        <v>OK
ESTADO DE POSTVENTAS:  POSTVENTA CORREGIDA</v>
      </c>
      <c r="AD15" s="51" t="str">
        <f>+IF(GENERAL!AE16=GENERAL!$AI$2,GENERAL!$AI$2,CONCATENATE(OBSERVACIONES!AD15,"
ESTADO DE POSTVENTAS:  ",GENERAL!AE16))</f>
        <v>OK
ESTADO DE POSTVENTAS:  POSTVENTA CORREGIDA</v>
      </c>
      <c r="AE15" s="51" t="str">
        <f>+IF(GENERAL!AF16=GENERAL!$AI$2,GENERAL!$AI$2,CONCATENATE(OBSERVACIONES!AE15,"
ESTADO DE POSTVENTAS:  ",GENERAL!AF16))</f>
        <v>OK
ESTADO DE POSTVENTAS:  POSTVENTA CORREGIDA</v>
      </c>
      <c r="AF15" s="51" t="str">
        <f>+IF(GENERAL!AG16=GENERAL!$AI$2,GENERAL!$AI$2,CONCATENATE(OBSERVACIONES!AF15,"
ESTADO DE POSTVENTAS:  ",GENERAL!AG16))</f>
        <v>OK
ESTADO DE POSTVENTAS:  POSTVENTA CORREGIDA</v>
      </c>
      <c r="AG15" s="51" t="str">
        <f>+IF(GENERAL!AH16=GENERAL!$AI$2,GENERAL!$AI$2,CONCATENATE(OBSERVACIONES!AG15,"
ESTADO DE POSTVENTAS:  ",GENERAL!AH16))</f>
        <v>OK
ESTADO DE POSTVENTAS:  POSTVENTA CORREGIDA</v>
      </c>
      <c r="AH15" s="51" t="str">
        <f>+IF(GENERAL!AI16=GENERAL!$AI$2,GENERAL!$AI$2,CONCATENATE(OBSERVACIONES!AH15,"
ESTADO DE POSTVENTAS:  ",GENERAL!AI16))</f>
        <v>OK
ESTADO DE POSTVENTAS:  POSTVENTA CORREGIDA</v>
      </c>
      <c r="AI15" s="51" t="str">
        <f>+IF(GENERAL!AG16=GENERAL!$AI$2,GENERAL!$AI$2,CONCATENATE(OBSERVACIONES!AF15,"
ESTADO DE POSTVENTAS:  ",GENERAL!AG16))</f>
        <v>OK
ESTADO DE POSTVENTAS:  POSTVENTA CORREGIDA</v>
      </c>
      <c r="AJ15" s="51" t="str">
        <f>+IF(GENERAL!AI16=GENERAL!$AI$2,GENERAL!$AI$2,CONCATENATE(OBSERVACIONES!AH15,"
ESTADO DE POSTVENTAS:  ",GENERAL!AI16))</f>
        <v>OK
ESTADO DE POSTVENTAS:  POSTVENTA CORREGIDA</v>
      </c>
      <c r="AK15" s="51" t="str">
        <f>+IF(GENERAL!AJ16=GENERAL!$AI$2,GENERAL!$AI$2,CONCATENATE(OBSERVACIONES!AI15,"
ESTADO DE POSTVENTAS:  ",GENERAL!AJ16))</f>
        <v>OK
ESTADO DE POSTVENTAS:  POSTVENTA CORREGIDA</v>
      </c>
      <c r="AL15" s="51" t="str">
        <f>+IF(GENERAL!AK16=GENERAL!$AI$2,GENERAL!$AI$2,CONCATENATE(OBSERVACIONES!AJ15,"
ESTADO DE POSTVENTAS:  ",GENERAL!AK16))</f>
        <v>OK
ESTADO DE POSTVENTAS:  POSTVENTA CORREGIDA</v>
      </c>
      <c r="AM15" s="51" t="str">
        <f>+IF(GENERAL!AN16=GENERAL!$AI$2,GENERAL!$AI$2,CONCATENATE(OBSERVACIONES!AM15,"
ESTADO DE POSTVENTAS:  ",GENERAL!AN16))</f>
        <v>OK
ESTADO DE POSTVENTAS:  POSTVENTA CORREGIDA</v>
      </c>
      <c r="AN15" s="37">
        <v>0</v>
      </c>
      <c r="AO15" s="37">
        <v>11</v>
      </c>
      <c r="AP15" s="37">
        <v>3</v>
      </c>
      <c r="AQ15" s="37">
        <v>0</v>
      </c>
      <c r="AR15" s="43">
        <v>14</v>
      </c>
      <c r="AS15" s="40">
        <v>12</v>
      </c>
      <c r="AT15" s="37">
        <f>COUNTIFS($D$5:$AM$5,"&lt;&gt;"&amp;CODICIONALES!$A$1,$D$5:$AM$5,"&lt;&gt;"&amp;CODICIONALES!$A$2,$D$5:$AM$5,"&lt;&gt;"&amp;CODICIONALES!$B$2,$D$5:$AM$5,"&lt;&gt;"&amp;CODICIONALES!$C$2)</f>
        <v>6</v>
      </c>
      <c r="AU15" s="43">
        <f>COUNTIFS(D15:AM15,CODICIONALES!$A$2)</f>
        <v>34</v>
      </c>
      <c r="AV15" s="40">
        <f t="shared" si="0"/>
        <v>-4</v>
      </c>
    </row>
    <row r="16" spans="1:48" ht="51" customHeight="1" x14ac:dyDescent="0.25">
      <c r="A16" s="110"/>
      <c r="B16" s="2">
        <v>12</v>
      </c>
      <c r="C16" s="21" t="s">
        <v>52</v>
      </c>
      <c r="D16" s="51" t="str">
        <f>+IF(GENERAL!E17=GENERAL!$AI$2,GENERAL!$AI$2,CONCATENATE(OBSERVACIONES!D16,"
ESTADO DE POSTVENTAS:  ",GENERAL!E17))</f>
        <v>NO ENTREGADO
ESTADO DE POSTVENTAS:  TIENE POSTVENTA</v>
      </c>
      <c r="E16" s="70" t="str">
        <f>+IF(GENERAL!F17=GENERAL!$AI$2,GENERAL!$AI$2,CONCATENATE(OBSERVACIONES!E16,"
ESTADO DE POSTVENTAS:  ",GENERAL!F17))</f>
        <v>OK
ESTADO DE POSTVENTAS:  POSTVENTA CORREGIDA</v>
      </c>
      <c r="F16" s="51" t="str">
        <f>+IF(GENERAL!G17=GENERAL!$AI$2,GENERAL!$AI$2,CONCATENATE(OBSERVACIONES!F16,"
ESTADO DE POSTVENTAS:  ",GENERAL!G17))</f>
        <v>OK
ESTADO DE POSTVENTAS:  POSTVENTA CORREGIDA</v>
      </c>
      <c r="G16" s="51" t="str">
        <f>+IF(GENERAL!H17=GENERAL!$AI$2,GENERAL!$AI$2,CONCATENATE(OBSERVACIONES!G16,"
ESTADO DE POSTVENTAS:  ",GENERAL!H17))</f>
        <v>NO ENTREGADO
ESTADO DE POSTVENTAS:  TIENE POSTVENTA</v>
      </c>
      <c r="H16" s="51" t="str">
        <f>+IF(GENERAL!I17=GENERAL!$AI$2,GENERAL!$AI$2,CONCATENATE(OBSERVACIONES!H16,"
ESTADO DE POSTVENTAS:  ",GENERAL!I17))</f>
        <v>OK
ESTADO DE POSTVENTAS:  POSTVENTA CORREGIDA</v>
      </c>
      <c r="I16" s="51" t="str">
        <f>+IF(GENERAL!J17=GENERAL!$AI$2,GENERAL!$AI$2,CONCATENATE(OBSERVACIONES!I16,"
ESTADO DE POSTVENTAS:  ",GENERAL!J17))</f>
        <v>OK
ESTADO DE POSTVENTAS:  POSTVENTA CORREGIDA</v>
      </c>
      <c r="J16" s="51" t="str">
        <f>+IF(GENERAL!K17=GENERAL!$AI$2,GENERAL!$AI$2,CONCATENATE(OBSERVACIONES!J16,"
ESTADO DE POSTVENTAS:  ",GENERAL!K17))</f>
        <v>OK
ESTADO DE POSTVENTAS:  POSTVENTA CORREGIDA</v>
      </c>
      <c r="K16" s="51" t="str">
        <f>+IF(GENERAL!L17=GENERAL!$AI$2,GENERAL!$AI$2,CONCATENATE(OBSERVACIONES!K16,"
ESTADO DE POSTVENTAS:  ",GENERAL!L17))</f>
        <v>OK
ESTADO DE POSTVENTAS:  POSTVENTA CORREGIDA</v>
      </c>
      <c r="L16" s="51" t="str">
        <f>+IF(GENERAL!M17=GENERAL!$AI$2,GENERAL!$AI$2,CONCATENATE(OBSERVACIONES!L16,"
ESTADO DE POSTVENTAS:  ",GENERAL!M17))</f>
        <v>OK
ESTADO DE POSTVENTAS:  POSTVENTA CORREGIDA</v>
      </c>
      <c r="M16" s="70" t="str">
        <f>+IF(GENERAL!N17=GENERAL!$AI$2,GENERAL!$AI$2,CONCATENATE(OBSERVACIONES!M16,"
ESTADO DE POSTVENTAS:  ",GENERAL!N17))</f>
        <v>OK
ESTADO DE POSTVENTAS:  POSTVENTA CORREGIDA</v>
      </c>
      <c r="N16" s="51" t="str">
        <f>+IF(GENERAL!O17=GENERAL!$AI$2,GENERAL!$AI$2,CONCATENATE(OBSERVACIONES!N16,"
ESTADO DE POSTVENTAS:  ",GENERAL!O17))</f>
        <v>OK
ESTADO DE POSTVENTAS:  POSTVENTA CORREGIDA</v>
      </c>
      <c r="O16" s="51" t="str">
        <f>+IF(GENERAL!P17=GENERAL!$AI$2,GENERAL!$AI$2,CONCATENATE(OBSERVACIONES!O16,"
ESTADO DE POSTVENTAS:  ",GENERAL!P17))</f>
        <v>OK
ESTADO DE POSTVENTAS:  POSTVENTA CORREGIDA</v>
      </c>
      <c r="P16" s="70" t="str">
        <f>+IF(GENERAL!Q17=GENERAL!$AI$2,GENERAL!$AI$2,CONCATENATE(OBSERVACIONES!P16,"
ESTADO DE POSTVENTAS:  ",GENERAL!Q17))</f>
        <v>OK
ESTADO DE POSTVENTAS:  POSTVENTA CORREGIDA</v>
      </c>
      <c r="Q16" s="70" t="str">
        <f>+IF(GENERAL!R17=GENERAL!$AI$2,GENERAL!$AI$2,CONCATENATE(OBSERVACIONES!Q16,"
ESTADO DE POSTVENTAS:  ",GENERAL!R17))</f>
        <v>OK
ESTADO DE POSTVENTAS:  POSTVENTA CORREGIDA</v>
      </c>
      <c r="R16" s="70" t="str">
        <f>+IF(GENERAL!S17=GENERAL!$AI$2,GENERAL!$AI$2,CONCATENATE(OBSERVACIONES!R16,"
ESTADO DE POSTVENTAS:  ",GENERAL!S17))</f>
        <v>OK
ESTADO DE POSTVENTAS:  POSTVENTA CORREGIDA</v>
      </c>
      <c r="S16" s="51" t="str">
        <f>+IF(GENERAL!T17=GENERAL!$AI$2,GENERAL!$AI$2,CONCATENATE(OBSERVACIONES!S16,"
ESTADO DE POSTVENTAS:  ",GENERAL!T17))</f>
        <v>OK
ESTADO DE POSTVENTAS:  POSTVENTA CORREGIDA</v>
      </c>
      <c r="T16" s="70" t="str">
        <f>+IF(GENERAL!U17=GENERAL!$AI$2,GENERAL!$AI$2,CONCATENATE(OBSERVACIONES!T16,"
ESTADO DE POSTVENTAS:  ",GENERAL!U17))</f>
        <v>OK
ESTADO DE POSTVENTAS:  POSTVENTA CORREGIDA</v>
      </c>
      <c r="U16" s="51" t="str">
        <f>+IF(GENERAL!V17=GENERAL!$AI$2,GENERAL!$AI$2,CONCATENATE(OBSERVACIONES!U16,"
ESTADO DE POSTVENTAS:  ",GENERAL!V17))</f>
        <v>OK
ESTADO DE POSTVENTAS:  POSTVENTA CORREGIDA</v>
      </c>
      <c r="V16" s="51" t="str">
        <f>+IF(GENERAL!W17=GENERAL!$AI$2,GENERAL!$AI$2,CONCATENATE(OBSERVACIONES!V16,"
ESTADO DE POSTVENTAS:  ",GENERAL!W17))</f>
        <v>OK
ESTADO DE POSTVENTAS:  POSTVENTA CORREGIDA</v>
      </c>
      <c r="W16" s="51" t="str">
        <f>+IF(GENERAL!V17=GENERAL!$AI$2,GENERAL!$AI$2,CONCATENATE(OBSERVACIONES!W16,"
ESTADO DE POSTVENTAS:  ",GENERAL!V17))</f>
        <v>OK
ESTADO DE POSTVENTAS:  POSTVENTA CORREGIDA</v>
      </c>
      <c r="X16" s="51" t="str">
        <f>+IF(GENERAL!W17=GENERAL!$AI$2,GENERAL!$AI$2,CONCATENATE(OBSERVACIONES!X16,"
ESTADO DE POSTVENTAS:  ",GENERAL!W17))</f>
        <v>OK
ESTADO DE POSTVENTAS:  POSTVENTA CORREGIDA</v>
      </c>
      <c r="Y16" s="51" t="str">
        <f>+IF(GENERAL!Z17=GENERAL!$AI$2,GENERAL!$AI$2,CONCATENATE(OBSERVACIONES!Y16,"
ESTADO DE POSTVENTAS:  ",GENERAL!Z17))</f>
        <v>OK
ESTADO DE POSTVENTAS:  POSTVENTA CORREGIDA</v>
      </c>
      <c r="Z16" s="51" t="str">
        <f>+IF(GENERAL!AA17=GENERAL!$AI$2,GENERAL!$AI$2,CONCATENATE(OBSERVACIONES!Z16,"
ESTADO DE POSTVENTAS:  ",GENERAL!AA17))</f>
        <v>OK
ESTADO DE POSTVENTAS:  POSTVENTA CORREGIDA</v>
      </c>
      <c r="AA16" s="70" t="str">
        <f>+IF(GENERAL!AB17=GENERAL!$AI$2,GENERAL!$AI$2,CONCATENATE(OBSERVACIONES!AA16,"
ESTADO DE POSTVENTAS:  ",GENERAL!AB17))</f>
        <v>DETALLE FIJAADO
ESTADO DE POSTVENTAS:  TIENE POSTVENTA</v>
      </c>
      <c r="AB16" s="70" t="str">
        <f>+IF(GENERAL!AC17=GENERAL!$AI$2,GENERAL!$AI$2,CONCATENATE(OBSERVACIONES!AB16,"
ESTADO DE POSTVENTAS:  ",GENERAL!AC17))</f>
        <v>OK
ESTADO DE POSTVENTAS:  POSTVENTA CORREGIDA</v>
      </c>
      <c r="AC16" s="70" t="str">
        <f>+IF(GENERAL!AD17=GENERAL!$AI$2,GENERAL!$AI$2,CONCATENATE(OBSERVACIONES!AC16,"
ESTADO DE POSTVENTAS:  ",GENERAL!AD17))</f>
        <v>OK
ESTADO DE POSTVENTAS:  POSTVENTA CORREGIDA</v>
      </c>
      <c r="AD16" s="51" t="str">
        <f>+IF(GENERAL!AE17=GENERAL!$AI$2,GENERAL!$AI$2,CONCATENATE(OBSERVACIONES!AD16,"
ESTADO DE POSTVENTAS:  ",GENERAL!AE17))</f>
        <v>OK
ESTADO DE POSTVENTAS:  POSTVENTA CORREGIDA</v>
      </c>
      <c r="AE16" s="51" t="str">
        <f>+IF(GENERAL!AF17=GENERAL!$AI$2,GENERAL!$AI$2,CONCATENATE(OBSERVACIONES!AE16,"
ESTADO DE POSTVENTAS:  ",GENERAL!AF17))</f>
        <v>OK
ESTADO DE POSTVENTAS:  POSTVENTA CORREGIDA</v>
      </c>
      <c r="AF16" s="51" t="str">
        <f>+IF(GENERAL!AG17=GENERAL!$AI$2,GENERAL!$AI$2,CONCATENATE(OBSERVACIONES!AF16,"
ESTADO DE POSTVENTAS:  ",GENERAL!AG17))</f>
        <v>OK
ESTADO DE POSTVENTAS:  POSTVENTA CORREGIDA</v>
      </c>
      <c r="AG16" s="51" t="str">
        <f>+IF(GENERAL!AH17=GENERAL!$AI$2,GENERAL!$AI$2,CONCATENATE(OBSERVACIONES!AG16,"
ESTADO DE POSTVENTAS:  ",GENERAL!AH17))</f>
        <v>OK
ESTADO DE POSTVENTAS:  POSTVENTA CORREGIDA</v>
      </c>
      <c r="AH16" s="51" t="str">
        <f>+IF(GENERAL!AI17=GENERAL!$AI$2,GENERAL!$AI$2,CONCATENATE(OBSERVACIONES!AH16,"
ESTADO DE POSTVENTAS:  ",GENERAL!AI17))</f>
        <v>OK
ESTADO DE POSTVENTAS:  POSTVENTA CORREGIDA</v>
      </c>
      <c r="AI16" s="51" t="str">
        <f>+IF(GENERAL!AG17=GENERAL!$AI$2,GENERAL!$AI$2,CONCATENATE(OBSERVACIONES!AF16,"
ESTADO DE POSTVENTAS:  ",GENERAL!AG17))</f>
        <v>OK
ESTADO DE POSTVENTAS:  POSTVENTA CORREGIDA</v>
      </c>
      <c r="AJ16" s="51" t="str">
        <f>+IF(GENERAL!AI17=GENERAL!$AI$2,GENERAL!$AI$2,CONCATENATE(OBSERVACIONES!AH16,"
ESTADO DE POSTVENTAS:  ",GENERAL!AI17))</f>
        <v>OK
ESTADO DE POSTVENTAS:  POSTVENTA CORREGIDA</v>
      </c>
      <c r="AK16" s="51" t="str">
        <f>+IF(GENERAL!AJ17=GENERAL!$AI$2,GENERAL!$AI$2,CONCATENATE(OBSERVACIONES!AI16,"
ESTADO DE POSTVENTAS:  ",GENERAL!AJ17))</f>
        <v>OK
ESTADO DE POSTVENTAS:  POSTVENTA CORREGIDA</v>
      </c>
      <c r="AL16" s="51" t="str">
        <f>+IF(GENERAL!AK17=GENERAL!$AI$2,GENERAL!$AI$2,CONCATENATE(OBSERVACIONES!AJ16,"
ESTADO DE POSTVENTAS:  ",GENERAL!AK17))</f>
        <v>OK
ESTADO DE POSTVENTAS:  POSTVENTA CORREGIDA</v>
      </c>
      <c r="AM16" s="51" t="str">
        <f>+IF(GENERAL!AN17=GENERAL!$AI$2,GENERAL!$AI$2,CONCATENATE(OBSERVACIONES!AM16,"
ESTADO DE POSTVENTAS:  ",GENERAL!AN17))</f>
        <v>OK
ESTADO DE POSTVENTAS:  POSTVENTA CORREGIDA</v>
      </c>
      <c r="AN16" s="37">
        <v>7</v>
      </c>
      <c r="AO16" s="37">
        <v>4</v>
      </c>
      <c r="AP16" s="37">
        <v>3</v>
      </c>
      <c r="AQ16" s="37">
        <v>5</v>
      </c>
      <c r="AR16" s="43">
        <v>10</v>
      </c>
      <c r="AS16" s="40">
        <v>11</v>
      </c>
      <c r="AT16" s="37">
        <f>COUNTIFS($D$5:$AM$5,"&lt;&gt;"&amp;CODICIONALES!$A$1,$D$5:$AM$5,"&lt;&gt;"&amp;CODICIONALES!$A$2,$D$5:$AM$5,"&lt;&gt;"&amp;CODICIONALES!$B$2,$D$5:$AM$5,"&lt;&gt;"&amp;CODICIONALES!$C$2)</f>
        <v>6</v>
      </c>
      <c r="AU16" s="43">
        <f>COUNTIFS(D16:AM16,CODICIONALES!$A$2)</f>
        <v>33</v>
      </c>
      <c r="AV16" s="40">
        <f t="shared" si="0"/>
        <v>-3</v>
      </c>
    </row>
    <row r="17" spans="1:48" ht="51" customHeight="1" x14ac:dyDescent="0.25">
      <c r="A17" s="110"/>
      <c r="B17" s="2">
        <v>13</v>
      </c>
      <c r="C17" s="21" t="s">
        <v>54</v>
      </c>
      <c r="D17" s="51" t="str">
        <f>+IF(GENERAL!E18=GENERAL!$AI$2,GENERAL!$AI$2,CONCATENATE(OBSERVACIONES!D17,"
ESTADO DE POSTVENTAS:  ",GENERAL!E18))</f>
        <v>NO ENTREGADO
ESTADO DE POSTVENTAS:  TIENE POSTVENTA</v>
      </c>
      <c r="E17" s="70" t="str">
        <f>+IF(GENERAL!F18=GENERAL!$AI$2,GENERAL!$AI$2,CONCATENATE(OBSERVACIONES!E17,"
ESTADO DE POSTVENTAS:  ",GENERAL!F18))</f>
        <v>OK
ESTADO DE POSTVENTAS:  POSTVENTA CORREGIDA</v>
      </c>
      <c r="F17" s="51" t="str">
        <f>+IF(GENERAL!G18=GENERAL!$AI$2,GENERAL!$AI$2,CONCATENATE(OBSERVACIONES!F17,"
ESTADO DE POSTVENTAS:  ",GENERAL!G18))</f>
        <v>OK
ESTADO DE POSTVENTAS:  POSTVENTA CORREGIDA</v>
      </c>
      <c r="G17" s="51" t="str">
        <f>+IF(GENERAL!H18=GENERAL!$AI$2,GENERAL!$AI$2,CONCATENATE(OBSERVACIONES!G17,"
ESTADO DE POSTVENTAS:  ",GENERAL!H18))</f>
        <v>NO ENTREGADO
ESTADO DE POSTVENTAS:  TIENE POSTVENTA</v>
      </c>
      <c r="H17" s="51" t="str">
        <f>+IF(GENERAL!I18=GENERAL!$AI$2,GENERAL!$AI$2,CONCATENATE(OBSERVACIONES!H17,"
ESTADO DE POSTVENTAS:  ",GENERAL!I18))</f>
        <v>OK
ESTADO DE POSTVENTAS:  POSTVENTA CORREGIDA</v>
      </c>
      <c r="I17" s="51" t="str">
        <f>+IF(GENERAL!J18=GENERAL!$AI$2,GENERAL!$AI$2,CONCATENATE(OBSERVACIONES!I17,"
ESTADO DE POSTVENTAS:  ",GENERAL!J18))</f>
        <v>OK
ESTADO DE POSTVENTAS:  POSTVENTA CORREGIDA</v>
      </c>
      <c r="J17" s="51" t="str">
        <f>+IF(GENERAL!K18=GENERAL!$AI$2,GENERAL!$AI$2,CONCATENATE(OBSERVACIONES!J17,"
ESTADO DE POSTVENTAS:  ",GENERAL!K18))</f>
        <v>OK
ESTADO DE POSTVENTAS:  POSTVENTA CORREGIDA</v>
      </c>
      <c r="K17" s="51" t="str">
        <f>+IF(GENERAL!L18=GENERAL!$AI$2,GENERAL!$AI$2,CONCATENATE(OBSERVACIONES!K17,"
ESTADO DE POSTVENTAS:  ",GENERAL!L18))</f>
        <v>OK
ESTADO DE POSTVENTAS:  POSTVENTA CORREGIDA</v>
      </c>
      <c r="L17" s="51" t="str">
        <f>+IF(GENERAL!M18=GENERAL!$AI$2,GENERAL!$AI$2,CONCATENATE(OBSERVACIONES!L17,"
ESTADO DE POSTVENTAS:  ",GENERAL!M18))</f>
        <v>OK
ESTADO DE POSTVENTAS:  POSTVENTA CORREGIDA</v>
      </c>
      <c r="M17" s="70" t="str">
        <f>+IF(GENERAL!N18=GENERAL!$AI$2,GENERAL!$AI$2,CONCATENATE(OBSERVACIONES!M17,"
ESTADO DE POSTVENTAS:  ",GENERAL!N18))</f>
        <v>OK
ESTADO DE POSTVENTAS:  POSTVENTA CORREGIDA</v>
      </c>
      <c r="N17" s="51" t="str">
        <f>+IF(GENERAL!O18=GENERAL!$AI$2,GENERAL!$AI$2,CONCATENATE(OBSERVACIONES!N17,"
ESTADO DE POSTVENTAS:  ",GENERAL!O18))</f>
        <v>OK
ESTADO DE POSTVENTAS:  POSTVENTA CORREGIDA</v>
      </c>
      <c r="O17" s="51" t="str">
        <f>+IF(GENERAL!P18=GENERAL!$AI$2,GENERAL!$AI$2,CONCATENATE(OBSERVACIONES!O17,"
ESTADO DE POSTVENTAS:  ",GENERAL!P18))</f>
        <v>OK
ESTADO DE POSTVENTAS:  POSTVENTA CORREGIDA</v>
      </c>
      <c r="P17" s="70" t="str">
        <f>+IF(GENERAL!Q18=GENERAL!$AI$2,GENERAL!$AI$2,CONCATENATE(OBSERVACIONES!P17,"
ESTADO DE POSTVENTAS:  ",GENERAL!Q18))</f>
        <v>OK
ESTADO DE POSTVENTAS:  POSTVENTA CORREGIDA</v>
      </c>
      <c r="Q17" s="70" t="str">
        <f>+IF(GENERAL!R18=GENERAL!$AI$2,GENERAL!$AI$2,CONCATENATE(OBSERVACIONES!Q17,"
ESTADO DE POSTVENTAS:  ",GENERAL!R18))</f>
        <v>DETALLE CAMBIO
ESTADO DE POSTVENTAS:  TIENE POSTVENTA</v>
      </c>
      <c r="R17" s="51" t="str">
        <f>+IF(GENERAL!S18=GENERAL!$AI$2,GENERAL!$AI$2,CONCATENATE(OBSERVACIONES!R17,"
ESTADO DE POSTVENTAS:  ",GENERAL!S18))</f>
        <v>OK
ESTADO DE POSTVENTAS:  POSTVENTA CORREGIDA</v>
      </c>
      <c r="S17" s="51" t="str">
        <f>+IF(GENERAL!T18=GENERAL!$AI$2,GENERAL!$AI$2,CONCATENATE(OBSERVACIONES!S17,"
ESTADO DE POSTVENTAS:  ",GENERAL!T18))</f>
        <v>OK
ESTADO DE POSTVENTAS:  POSTVENTA CORREGIDA</v>
      </c>
      <c r="T17" s="51" t="str">
        <f>+IF(GENERAL!U18=GENERAL!$AI$2,GENERAL!$AI$2,CONCATENATE(OBSERVACIONES!T17,"
ESTADO DE POSTVENTAS:  ",GENERAL!U18))</f>
        <v>OK
ESTADO DE POSTVENTAS:  POSTVENTA CORREGIDA</v>
      </c>
      <c r="U17" s="51" t="str">
        <f>+IF(GENERAL!V18=GENERAL!$AI$2,GENERAL!$AI$2,CONCATENATE(OBSERVACIONES!U17,"
ESTADO DE POSTVENTAS:  ",GENERAL!V18))</f>
        <v>OK
ESTADO DE POSTVENTAS:  POSTVENTA CORREGIDA</v>
      </c>
      <c r="V17" s="51" t="str">
        <f>+IF(GENERAL!W18=GENERAL!$AI$2,GENERAL!$AI$2,CONCATENATE(OBSERVACIONES!V17,"
ESTADO DE POSTVENTAS:  ",GENERAL!W18))</f>
        <v>OK
ESTADO DE POSTVENTAS:  POSTVENTA CORREGIDA</v>
      </c>
      <c r="W17" s="51" t="str">
        <f>+IF(GENERAL!V18=GENERAL!$AI$2,GENERAL!$AI$2,CONCATENATE(OBSERVACIONES!W17,"
ESTADO DE POSTVENTAS:  ",GENERAL!V18))</f>
        <v>OK
ESTADO DE POSTVENTAS:  POSTVENTA CORREGIDA</v>
      </c>
      <c r="X17" s="51" t="str">
        <f>+IF(GENERAL!W18=GENERAL!$AI$2,GENERAL!$AI$2,CONCATENATE(OBSERVACIONES!X17,"
ESTADO DE POSTVENTAS:  ",GENERAL!W18))</f>
        <v>OK
ESTADO DE POSTVENTAS:  POSTVENTA CORREGIDA</v>
      </c>
      <c r="Y17" s="51" t="str">
        <f>+IF(GENERAL!Z18=GENERAL!$AI$2,GENERAL!$AI$2,CONCATENATE(OBSERVACIONES!Y17,"
ESTADO DE POSTVENTAS:  ",GENERAL!Z18))</f>
        <v>OK
ESTADO DE POSTVENTAS:  POSTVENTA CORREGIDA</v>
      </c>
      <c r="Z17" s="51" t="str">
        <f>+IF(GENERAL!AA18=GENERAL!$AI$2,GENERAL!$AI$2,CONCATENATE(OBSERVACIONES!Z17,"
ESTADO DE POSTVENTAS:  ",GENERAL!AA18))</f>
        <v>OK
ESTADO DE POSTVENTAS:  POSTVENTA CORREGIDA</v>
      </c>
      <c r="AA17" s="51" t="str">
        <f>+IF(GENERAL!AB18=GENERAL!$AI$2,GENERAL!$AI$2,CONCATENATE(OBSERVACIONES!AA17,"
ESTADO DE POSTVENTAS:  ",GENERAL!AB18))</f>
        <v>OK
ESTADO DE POSTVENTAS:  POSTVENTA CORREGIDA</v>
      </c>
      <c r="AB17" s="70" t="str">
        <f>+IF(GENERAL!AC18=GENERAL!$AI$2,GENERAL!$AI$2,CONCATENATE(OBSERVACIONES!AB17,"
ESTADO DE POSTVENTAS:  ",GENERAL!AC18))</f>
        <v>OK
ESTADO DE POSTVENTAS:  POSTVENTA CORREGIDA</v>
      </c>
      <c r="AC17" s="70" t="str">
        <f>+IF(GENERAL!AD18=GENERAL!$AI$2,GENERAL!$AI$2,CONCATENATE(OBSERVACIONES!AC17,"
ESTADO DE POSTVENTAS:  ",GENERAL!AD18))</f>
        <v>OK
ESTADO DE POSTVENTAS:  POSTVENTA CORREGIDA</v>
      </c>
      <c r="AD17" s="51" t="str">
        <f>+IF(GENERAL!AE18=GENERAL!$AI$2,GENERAL!$AI$2,CONCATENATE(OBSERVACIONES!AD17,"
ESTADO DE POSTVENTAS:  ",GENERAL!AE18))</f>
        <v>OK
ESTADO DE POSTVENTAS:  POSTVENTA CORREGIDA</v>
      </c>
      <c r="AE17" s="51" t="str">
        <f>+IF(GENERAL!AF18=GENERAL!$AI$2,GENERAL!$AI$2,CONCATENATE(OBSERVACIONES!AE17,"
ESTADO DE POSTVENTAS:  ",GENERAL!AF18))</f>
        <v>OK
ESTADO DE POSTVENTAS:  POSTVENTA CORREGIDA</v>
      </c>
      <c r="AF17" s="51" t="str">
        <f>+IF(GENERAL!AG18=GENERAL!$AI$2,GENERAL!$AI$2,CONCATENATE(OBSERVACIONES!AF17,"
ESTADO DE POSTVENTAS:  ",GENERAL!AG18))</f>
        <v>OK
ESTADO DE POSTVENTAS:  POSTVENTA CORREGIDA</v>
      </c>
      <c r="AG17" s="51" t="str">
        <f>+IF(GENERAL!AH18=GENERAL!$AI$2,GENERAL!$AI$2,CONCATENATE(OBSERVACIONES!AG17,"
ESTADO DE POSTVENTAS:  ",GENERAL!AH18))</f>
        <v>OK
ESTADO DE POSTVENTAS:  POSTVENTA CORREGIDA</v>
      </c>
      <c r="AH17" s="51" t="str">
        <f>+IF(GENERAL!AI18=GENERAL!$AI$2,GENERAL!$AI$2,CONCATENATE(OBSERVACIONES!AH17,"
ESTADO DE POSTVENTAS:  ",GENERAL!AI18))</f>
        <v>OK
ESTADO DE POSTVENTAS:  POSTVENTA CORREGIDA</v>
      </c>
      <c r="AI17" s="51" t="str">
        <f>+IF(GENERAL!AG18=GENERAL!$AI$2,GENERAL!$AI$2,CONCATENATE(OBSERVACIONES!AF17,"
ESTADO DE POSTVENTAS:  ",GENERAL!AG18))</f>
        <v>OK
ESTADO DE POSTVENTAS:  POSTVENTA CORREGIDA</v>
      </c>
      <c r="AJ17" s="51" t="str">
        <f>+IF(GENERAL!AI18=GENERAL!$AI$2,GENERAL!$AI$2,CONCATENATE(OBSERVACIONES!AH17,"
ESTADO DE POSTVENTAS:  ",GENERAL!AI18))</f>
        <v>OK
ESTADO DE POSTVENTAS:  POSTVENTA CORREGIDA</v>
      </c>
      <c r="AK17" s="51" t="str">
        <f>+IF(GENERAL!AJ18=GENERAL!$AI$2,GENERAL!$AI$2,CONCATENATE(OBSERVACIONES!AI17,"
ESTADO DE POSTVENTAS:  ",GENERAL!AJ18))</f>
        <v>OK
ESTADO DE POSTVENTAS:  POSTVENTA CORREGIDA</v>
      </c>
      <c r="AL17" s="51" t="str">
        <f>+IF(GENERAL!AK18=GENERAL!$AI$2,GENERAL!$AI$2,CONCATENATE(OBSERVACIONES!AJ17,"
ESTADO DE POSTVENTAS:  ",GENERAL!AK18))</f>
        <v>OK
ESTADO DE POSTVENTAS:  POSTVENTA CORREGIDA</v>
      </c>
      <c r="AM17" s="51" t="str">
        <f>+IF(GENERAL!AN18=GENERAL!$AI$2,GENERAL!$AI$2,CONCATENATE(OBSERVACIONES!AM17,"
ESTADO DE POSTVENTAS:  ",GENERAL!AN18))</f>
        <v>OK
ESTADO DE POSTVENTAS:  POSTVENTA CORREGIDA</v>
      </c>
      <c r="AN17" s="37">
        <v>4</v>
      </c>
      <c r="AO17" s="37">
        <v>7</v>
      </c>
      <c r="AP17" s="37">
        <v>3</v>
      </c>
      <c r="AQ17" s="37">
        <v>2</v>
      </c>
      <c r="AR17" s="43">
        <v>13</v>
      </c>
      <c r="AS17" s="40">
        <v>11</v>
      </c>
      <c r="AT17" s="37">
        <f>COUNTIFS($D$5:$AM$5,"&lt;&gt;"&amp;CODICIONALES!$A$1,$D$5:$AM$5,"&lt;&gt;"&amp;CODICIONALES!$A$2,$D$5:$AM$5,"&lt;&gt;"&amp;CODICIONALES!$B$2,$D$5:$AM$5,"&lt;&gt;"&amp;CODICIONALES!$C$2)</f>
        <v>6</v>
      </c>
      <c r="AU17" s="43">
        <f>COUNTIFS(D17:AM17,CODICIONALES!$A$2)</f>
        <v>33</v>
      </c>
      <c r="AV17" s="40">
        <f t="shared" si="0"/>
        <v>-3</v>
      </c>
    </row>
    <row r="18" spans="1:48" ht="51" customHeight="1" x14ac:dyDescent="0.25">
      <c r="A18" s="110"/>
      <c r="B18" s="2">
        <v>14</v>
      </c>
      <c r="C18" s="21" t="s">
        <v>55</v>
      </c>
      <c r="D18" s="51" t="str">
        <f>+IF(GENERAL!E19=GENERAL!$AI$2,GENERAL!$AI$2,CONCATENATE(OBSERVACIONES!D18,"
ESTADO DE POSTVENTAS:  ",GENERAL!E19))</f>
        <v>NO ENTREGADO
ESTADO DE POSTVENTAS:  TIENE POSTVENTA</v>
      </c>
      <c r="E18" s="51" t="str">
        <f>+IF(GENERAL!F19=GENERAL!$AI$2,GENERAL!$AI$2,CONCATENATE(OBSERVACIONES!E18,"
ESTADO DE POSTVENTAS:  ",GENERAL!F19))</f>
        <v>OK
ESTADO DE POSTVENTAS:  POSTVENTA CORREGIDA</v>
      </c>
      <c r="F18" s="51" t="str">
        <f>+IF(GENERAL!G19=GENERAL!$AI$2,GENERAL!$AI$2,CONCATENATE(OBSERVACIONES!F18,"
ESTADO DE POSTVENTAS:  ",GENERAL!G19))</f>
        <v>OK
ESTADO DE POSTVENTAS:  POSTVENTA CORREGIDA</v>
      </c>
      <c r="G18" s="51" t="str">
        <f>+IF(GENERAL!H19=GENERAL!$AI$2,GENERAL!$AI$2,CONCATENATE(OBSERVACIONES!G18,"
ESTADO DE POSTVENTAS:  ",GENERAL!H19))</f>
        <v>NO ENTREGADO
ESTADO DE POSTVENTAS:  TIENE POSTVENTA</v>
      </c>
      <c r="H18" s="51" t="str">
        <f>+IF(GENERAL!I19=GENERAL!$AI$2,GENERAL!$AI$2,CONCATENATE(OBSERVACIONES!H18,"
ESTADO DE POSTVENTAS:  ",GENERAL!I19))</f>
        <v>OK
ESTADO DE POSTVENTAS:  POSTVENTA CORREGIDA</v>
      </c>
      <c r="I18" s="51" t="str">
        <f>+IF(GENERAL!J19=GENERAL!$AI$2,GENERAL!$AI$2,CONCATENATE(OBSERVACIONES!I18,"
ESTADO DE POSTVENTAS:  ",GENERAL!J19))</f>
        <v>OK
ESTADO DE POSTVENTAS:  POSTVENTA CORREGIDA</v>
      </c>
      <c r="J18" s="51" t="str">
        <f>+IF(GENERAL!K19=GENERAL!$AI$2,GENERAL!$AI$2,CONCATENATE(OBSERVACIONES!J18,"
ESTADO DE POSTVENTAS:  ",GENERAL!K19))</f>
        <v>OK
ESTADO DE POSTVENTAS:  POSTVENTA CORREGIDA</v>
      </c>
      <c r="K18" s="51" t="str">
        <f>+IF(GENERAL!L19=GENERAL!$AI$2,GENERAL!$AI$2,CONCATENATE(OBSERVACIONES!K18,"
ESTADO DE POSTVENTAS:  ",GENERAL!L19))</f>
        <v>OK
ESTADO DE POSTVENTAS:  POSTVENTA CORREGIDA</v>
      </c>
      <c r="L18" s="51" t="str">
        <f>+IF(GENERAL!M19=GENERAL!$AI$2,GENERAL!$AI$2,CONCATENATE(OBSERVACIONES!L18,"
ESTADO DE POSTVENTAS:  ",GENERAL!M19))</f>
        <v>OK
ESTADO DE POSTVENTAS:  POSTVENTA CORREGIDA</v>
      </c>
      <c r="M18" s="70" t="str">
        <f>+IF(GENERAL!N19=GENERAL!$AI$2,GENERAL!$AI$2,CONCATENATE(OBSERVACIONES!M18,"
ESTADO DE POSTVENTAS:  ",GENERAL!N19))</f>
        <v>OK
ESTADO DE POSTVENTAS:  POSTVENTA CORREGIDA</v>
      </c>
      <c r="N18" s="51" t="str">
        <f>+IF(GENERAL!O19=GENERAL!$AI$2,GENERAL!$AI$2,CONCATENATE(OBSERVACIONES!N18,"
ESTADO DE POSTVENTAS:  ",GENERAL!O19))</f>
        <v>OK
ESTADO DE POSTVENTAS:  POSTVENTA CORREGIDA</v>
      </c>
      <c r="O18" s="51" t="str">
        <f>+IF(GENERAL!P19=GENERAL!$AI$2,GENERAL!$AI$2,CONCATENATE(OBSERVACIONES!O18,"
ESTADO DE POSTVENTAS:  ",GENERAL!P19))</f>
        <v>OK
ESTADO DE POSTVENTAS:  POSTVENTA CORREGIDA</v>
      </c>
      <c r="P18" s="70" t="str">
        <f>+IF(GENERAL!Q19=GENERAL!$AI$2,GENERAL!$AI$2,CONCATENATE(OBSERVACIONES!P18,"
ESTADO DE POSTVENTAS:  ",GENERAL!Q19))</f>
        <v>OK
ESTADO DE POSTVENTAS:  POSTVENTA CORREGIDA</v>
      </c>
      <c r="Q18" s="70" t="str">
        <f>+IF(GENERAL!R19=GENERAL!$AI$2,GENERAL!$AI$2,CONCATENATE(OBSERVACIONES!Q18,"
ESTADO DE POSTVENTAS:  ",GENERAL!R19))</f>
        <v>OK
ESTADO DE POSTVENTAS:  POSTVENTA CORREGIDA</v>
      </c>
      <c r="R18" s="51" t="str">
        <f>+IF(GENERAL!S19=GENERAL!$AI$2,GENERAL!$AI$2,CONCATENATE(OBSERVACIONES!R18,"
ESTADO DE POSTVENTAS:  ",GENERAL!S19))</f>
        <v>OK
ESTADO DE POSTVENTAS:  POSTVENTA CORREGIDA</v>
      </c>
      <c r="S18" s="51" t="str">
        <f>+IF(GENERAL!T19=GENERAL!$AI$2,GENERAL!$AI$2,CONCATENATE(OBSERVACIONES!S18,"
ESTADO DE POSTVENTAS:  ",GENERAL!T19))</f>
        <v>OK
ESTADO DE POSTVENTAS:  POSTVENTA CORREGIDA</v>
      </c>
      <c r="T18" s="70" t="str">
        <f>+IF(GENERAL!U19=GENERAL!$AI$2,GENERAL!$AI$2,CONCATENATE(OBSERVACIONES!T18,"
ESTADO DE POSTVENTAS:  ",GENERAL!U19))</f>
        <v>OK
ESTADO DE POSTVENTAS:  POSTVENTA CORREGIDA</v>
      </c>
      <c r="U18" s="51" t="str">
        <f>+IF(GENERAL!V19=GENERAL!$AI$2,GENERAL!$AI$2,CONCATENATE(OBSERVACIONES!U18,"
ESTADO DE POSTVENTAS:  ",GENERAL!V19))</f>
        <v>OK
ESTADO DE POSTVENTAS:  POSTVENTA CORREGIDA</v>
      </c>
      <c r="V18" s="51" t="str">
        <f>+IF(GENERAL!W19=GENERAL!$AI$2,GENERAL!$AI$2,CONCATENATE(OBSERVACIONES!V18,"
ESTADO DE POSTVENTAS:  ",GENERAL!W19))</f>
        <v>OK
ESTADO DE POSTVENTAS:  POSTVENTA CORREGIDA</v>
      </c>
      <c r="W18" s="51" t="str">
        <f>+IF(GENERAL!V19=GENERAL!$AI$2,GENERAL!$AI$2,CONCATENATE(OBSERVACIONES!W18,"
ESTADO DE POSTVENTAS:  ",GENERAL!V19))</f>
        <v>OK
ESTADO DE POSTVENTAS:  POSTVENTA CORREGIDA</v>
      </c>
      <c r="X18" s="51" t="str">
        <f>+IF(GENERAL!W19=GENERAL!$AI$2,GENERAL!$AI$2,CONCATENATE(OBSERVACIONES!X18,"
ESTADO DE POSTVENTAS:  ",GENERAL!W19))</f>
        <v>OK
ESTADO DE POSTVENTAS:  POSTVENTA CORREGIDA</v>
      </c>
      <c r="Y18" s="51" t="str">
        <f>+IF(GENERAL!Z19=GENERAL!$AI$2,GENERAL!$AI$2,CONCATENATE(OBSERVACIONES!Y18,"
ESTADO DE POSTVENTAS:  ",GENERAL!Z19))</f>
        <v>OK
ESTADO DE POSTVENTAS:  POSTVENTA CORREGIDA</v>
      </c>
      <c r="Z18" s="51" t="str">
        <f>+IF(GENERAL!AA19=GENERAL!$AI$2,GENERAL!$AI$2,CONCATENATE(OBSERVACIONES!Z18,"
ESTADO DE POSTVENTAS:  ",GENERAL!AA19))</f>
        <v>OK
ESTADO DE POSTVENTAS:  POSTVENTA CORREGIDA</v>
      </c>
      <c r="AA18" s="51" t="str">
        <f>+IF(GENERAL!AB19=GENERAL!$AI$2,GENERAL!$AI$2,CONCATENATE(OBSERVACIONES!AA18,"
ESTADO DE POSTVENTAS:  ",GENERAL!AB19))</f>
        <v>OK
ESTADO DE POSTVENTAS:  POSTVENTA CORREGIDA</v>
      </c>
      <c r="AB18" s="51" t="str">
        <f>+IF(GENERAL!AC19=GENERAL!$AI$2,GENERAL!$AI$2,CONCATENATE(OBSERVACIONES!AB18,"
ESTADO DE POSTVENTAS:  ",GENERAL!AC19))</f>
        <v>OK
ESTADO DE POSTVENTAS:  POSTVENTA CORREGIDA</v>
      </c>
      <c r="AC18" s="51" t="str">
        <f>+IF(GENERAL!AD19=GENERAL!$AI$2,GENERAL!$AI$2,CONCATENATE(OBSERVACIONES!AC18,"
ESTADO DE POSTVENTAS:  ",GENERAL!AD19))</f>
        <v>OK
ESTADO DE POSTVENTAS:  POSTVENTA CORREGIDA</v>
      </c>
      <c r="AD18" s="51" t="str">
        <f>+IF(GENERAL!AE19=GENERAL!$AI$2,GENERAL!$AI$2,CONCATENATE(OBSERVACIONES!AD18,"
ESTADO DE POSTVENTAS:  ",GENERAL!AE19))</f>
        <v>OK
ESTADO DE POSTVENTAS:  POSTVENTA CORREGIDA</v>
      </c>
      <c r="AE18" s="51" t="str">
        <f>+IF(GENERAL!AF19=GENERAL!$AI$2,GENERAL!$AI$2,CONCATENATE(OBSERVACIONES!AE18,"
ESTADO DE POSTVENTAS:  ",GENERAL!AF19))</f>
        <v>OK
ESTADO DE POSTVENTAS:  POSTVENTA CORREGIDA</v>
      </c>
      <c r="AF18" s="51" t="str">
        <f>+IF(GENERAL!AG19=GENERAL!$AI$2,GENERAL!$AI$2,CONCATENATE(OBSERVACIONES!AF18,"
ESTADO DE POSTVENTAS:  ",GENERAL!AG19))</f>
        <v>OK
ESTADO DE POSTVENTAS:  POSTVENTA CORREGIDA</v>
      </c>
      <c r="AG18" s="51" t="str">
        <f>+IF(GENERAL!AH19=GENERAL!$AI$2,GENERAL!$AI$2,CONCATENATE(OBSERVACIONES!AG18,"
ESTADO DE POSTVENTAS:  ",GENERAL!AH19))</f>
        <v>OK
ESTADO DE POSTVENTAS:  POSTVENTA CORREGIDA</v>
      </c>
      <c r="AH18" s="51" t="str">
        <f>+IF(GENERAL!AI19=GENERAL!$AI$2,GENERAL!$AI$2,CONCATENATE(OBSERVACIONES!AH18,"
ESTADO DE POSTVENTAS:  ",GENERAL!AI19))</f>
        <v>OK
ESTADO DE POSTVENTAS:  POSTVENTA CORREGIDA</v>
      </c>
      <c r="AI18" s="51" t="str">
        <f>+IF(GENERAL!AG19=GENERAL!$AI$2,GENERAL!$AI$2,CONCATENATE(OBSERVACIONES!AF18,"
ESTADO DE POSTVENTAS:  ",GENERAL!AG19))</f>
        <v>OK
ESTADO DE POSTVENTAS:  POSTVENTA CORREGIDA</v>
      </c>
      <c r="AJ18" s="51" t="str">
        <f>+IF(GENERAL!AI19=GENERAL!$AI$2,GENERAL!$AI$2,CONCATENATE(OBSERVACIONES!AH18,"
ESTADO DE POSTVENTAS:  ",GENERAL!AI19))</f>
        <v>OK
ESTADO DE POSTVENTAS:  POSTVENTA CORREGIDA</v>
      </c>
      <c r="AK18" s="51" t="str">
        <f>+IF(GENERAL!AJ19=GENERAL!$AI$2,GENERAL!$AI$2,CONCATENATE(OBSERVACIONES!AI18,"
ESTADO DE POSTVENTAS:  ",GENERAL!AJ19))</f>
        <v>OK
ESTADO DE POSTVENTAS:  POSTVENTA CORREGIDA</v>
      </c>
      <c r="AL18" s="51" t="str">
        <f>+IF(GENERAL!AK19=GENERAL!$AI$2,GENERAL!$AI$2,CONCATENATE(OBSERVACIONES!AJ18,"
ESTADO DE POSTVENTAS:  ",GENERAL!AK19))</f>
        <v>OK
ESTADO DE POSTVENTAS:  POSTVENTA CORREGIDA</v>
      </c>
      <c r="AM18" s="51" t="str">
        <f>+IF(GENERAL!AN19=GENERAL!$AI$2,GENERAL!$AI$2,CONCATENATE(OBSERVACIONES!AM18,"
ESTADO DE POSTVENTAS:  ",GENERAL!AN19))</f>
        <v>OK
ESTADO DE POSTVENTAS:  POSTVENTA CORREGIDA</v>
      </c>
      <c r="AN18" s="37">
        <v>0</v>
      </c>
      <c r="AO18" s="37">
        <v>11</v>
      </c>
      <c r="AP18" s="37">
        <v>3</v>
      </c>
      <c r="AQ18" s="37">
        <v>1</v>
      </c>
      <c r="AR18" s="43">
        <v>13</v>
      </c>
      <c r="AS18" s="40">
        <v>12</v>
      </c>
      <c r="AT18" s="37">
        <f>COUNTIFS($D$5:$AM$5,"&lt;&gt;"&amp;CODICIONALES!$A$1,$D$5:$AM$5,"&lt;&gt;"&amp;CODICIONALES!$A$2,$D$5:$AM$5,"&lt;&gt;"&amp;CODICIONALES!$B$2,$D$5:$AM$5,"&lt;&gt;"&amp;CODICIONALES!$C$2)</f>
        <v>6</v>
      </c>
      <c r="AU18" s="43">
        <f>COUNTIFS(D18:AM18,CODICIONALES!$A$2)</f>
        <v>34</v>
      </c>
      <c r="AV18" s="40">
        <f t="shared" si="0"/>
        <v>-4</v>
      </c>
    </row>
    <row r="19" spans="1:48" ht="51" customHeight="1" x14ac:dyDescent="0.25">
      <c r="A19" s="110"/>
      <c r="B19" s="2">
        <v>15</v>
      </c>
      <c r="C19" s="21" t="s">
        <v>57</v>
      </c>
      <c r="D19" s="51" t="str">
        <f>+IF(GENERAL!E20=GENERAL!$AI$2,GENERAL!$AI$2,CONCATENATE(OBSERVACIONES!D19,"
ESTADO DE POSTVENTAS:  ",GENERAL!E20))</f>
        <v>NO ENTREGADO
ESTADO DE POSTVENTAS:  TIENE POSTVENTA</v>
      </c>
      <c r="E19" s="51" t="str">
        <f>+IF(GENERAL!F20=GENERAL!$AI$2,GENERAL!$AI$2,CONCATENATE(OBSERVACIONES!E19,"
ESTADO DE POSTVENTAS:  ",GENERAL!F20))</f>
        <v>OK
ESTADO DE POSTVENTAS:  POSTVENTA CORREGIDA</v>
      </c>
      <c r="F19" s="51" t="str">
        <f>+IF(GENERAL!G20=GENERAL!$AI$2,GENERAL!$AI$2,CONCATENATE(OBSERVACIONES!F19,"
ESTADO DE POSTVENTAS:  ",GENERAL!G20))</f>
        <v>OK
ESTADO DE POSTVENTAS:  POSTVENTA CORREGIDA</v>
      </c>
      <c r="G19" s="51" t="str">
        <f>+IF(GENERAL!H20=GENERAL!$AI$2,GENERAL!$AI$2,CONCATENATE(OBSERVACIONES!G19,"
ESTADO DE POSTVENTAS:  ",GENERAL!H20))</f>
        <v>NO ENTREGADO
ESTADO DE POSTVENTAS:  TIENE POSTVENTA</v>
      </c>
      <c r="H19" s="51" t="str">
        <f>+IF(GENERAL!I20=GENERAL!$AI$2,GENERAL!$AI$2,CONCATENATE(OBSERVACIONES!H19,"
ESTADO DE POSTVENTAS:  ",GENERAL!I20))</f>
        <v>OK
ESTADO DE POSTVENTAS:  POSTVENTA CORREGIDA</v>
      </c>
      <c r="I19" s="51" t="str">
        <f>+IF(GENERAL!J20=GENERAL!$AI$2,GENERAL!$AI$2,CONCATENATE(OBSERVACIONES!I19,"
ESTADO DE POSTVENTAS:  ",GENERAL!J20))</f>
        <v>OK
ESTADO DE POSTVENTAS:  POSTVENTA CORREGIDA</v>
      </c>
      <c r="J19" s="51" t="str">
        <f>+IF(GENERAL!K20=GENERAL!$AI$2,GENERAL!$AI$2,CONCATENATE(OBSERVACIONES!J19,"
ESTADO DE POSTVENTAS:  ",GENERAL!K20))</f>
        <v>OK
ESTADO DE POSTVENTAS:  POSTVENTA CORREGIDA</v>
      </c>
      <c r="K19" s="51" t="str">
        <f>+IF(GENERAL!L20=GENERAL!$AI$2,GENERAL!$AI$2,CONCATENATE(OBSERVACIONES!K19,"
ESTADO DE POSTVENTAS:  ",GENERAL!L20))</f>
        <v>OK
ESTADO DE POSTVENTAS:  POSTVENTA CORREGIDA</v>
      </c>
      <c r="L19" s="51" t="str">
        <f>+IF(GENERAL!M20=GENERAL!$AI$2,GENERAL!$AI$2,CONCATENATE(OBSERVACIONES!L19,"
ESTADO DE POSTVENTAS:  ",GENERAL!M20))</f>
        <v>OK
ESTADO DE POSTVENTAS:  POSTVENTA CORREGIDA</v>
      </c>
      <c r="M19" s="70" t="str">
        <f>+IF(GENERAL!N20=GENERAL!$AI$2,GENERAL!$AI$2,CONCATENATE(OBSERVACIONES!M19,"
ESTADO DE POSTVENTAS:  ",GENERAL!N20))</f>
        <v>OK
ESTADO DE POSTVENTAS:  POSTVENTA CORREGIDA</v>
      </c>
      <c r="N19" s="51" t="str">
        <f>+IF(GENERAL!O20=GENERAL!$AI$2,GENERAL!$AI$2,CONCATENATE(OBSERVACIONES!N19,"
ESTADO DE POSTVENTAS:  ",GENERAL!O20))</f>
        <v>OK
ESTADO DE POSTVENTAS:  POSTVENTA CORREGIDA</v>
      </c>
      <c r="O19" s="51" t="str">
        <f>+IF(GENERAL!P20=GENERAL!$AI$2,GENERAL!$AI$2,CONCATENATE(OBSERVACIONES!O19,"
ESTADO DE POSTVENTAS:  ",GENERAL!P20))</f>
        <v>OK
ESTADO DE POSTVENTAS:  POSTVENTA CORREGIDA</v>
      </c>
      <c r="P19" s="70" t="str">
        <f>+IF(GENERAL!Q20=GENERAL!$AI$2,GENERAL!$AI$2,CONCATENATE(OBSERVACIONES!P19,"
ESTADO DE POSTVENTAS:  ",GENERAL!Q20))</f>
        <v>OK
ESTADO DE POSTVENTAS:  POSTVENTA CORREGIDA</v>
      </c>
      <c r="Q19" s="70" t="str">
        <f>+IF(GENERAL!R20=GENERAL!$AI$2,GENERAL!$AI$2,CONCATENATE(OBSERVACIONES!Q19,"
ESTADO DE POSTVENTAS:  ",GENERAL!R20))</f>
        <v>OK
ESTADO DE POSTVENTAS:  POSTVENTA CORREGIDA</v>
      </c>
      <c r="R19" s="51" t="str">
        <f>+IF(GENERAL!S20=GENERAL!$AI$2,GENERAL!$AI$2,CONCATENATE(OBSERVACIONES!R19,"
ESTADO DE POSTVENTAS:  ",GENERAL!S20))</f>
        <v>OK
ESTADO DE POSTVENTAS:  POSTVENTA CORREGIDA</v>
      </c>
      <c r="S19" s="51" t="str">
        <f>+IF(GENERAL!T20=GENERAL!$AI$2,GENERAL!$AI$2,CONCATENATE(OBSERVACIONES!S19,"
ESTADO DE POSTVENTAS:  ",GENERAL!T20))</f>
        <v>OK
ESTADO DE POSTVENTAS:  POSTVENTA CORREGIDA</v>
      </c>
      <c r="T19" s="51" t="str">
        <f>+IF(GENERAL!U20=GENERAL!$AI$2,GENERAL!$AI$2,CONCATENATE(OBSERVACIONES!T19,"
ESTADO DE POSTVENTAS:  ",GENERAL!U20))</f>
        <v>OK
ESTADO DE POSTVENTAS:  POSTVENTA CORREGIDA</v>
      </c>
      <c r="U19" s="51" t="str">
        <f>+IF(GENERAL!V20=GENERAL!$AI$2,GENERAL!$AI$2,CONCATENATE(OBSERVACIONES!U19,"
ESTADO DE POSTVENTAS:  ",GENERAL!V20))</f>
        <v>OK
ESTADO DE POSTVENTAS:  POSTVENTA CORREGIDA</v>
      </c>
      <c r="V19" s="51" t="str">
        <f>+IF(GENERAL!W20=GENERAL!$AI$2,GENERAL!$AI$2,CONCATENATE(OBSERVACIONES!V19,"
ESTADO DE POSTVENTAS:  ",GENERAL!W20))</f>
        <v>OK
ESTADO DE POSTVENTAS:  POSTVENTA CORREGIDA</v>
      </c>
      <c r="W19" s="51" t="str">
        <f>+IF(GENERAL!V20=GENERAL!$AI$2,GENERAL!$AI$2,CONCATENATE(OBSERVACIONES!W19,"
ESTADO DE POSTVENTAS:  ",GENERAL!V20))</f>
        <v>OK
ESTADO DE POSTVENTAS:  POSTVENTA CORREGIDA</v>
      </c>
      <c r="X19" s="51" t="str">
        <f>+IF(GENERAL!W20=GENERAL!$AI$2,GENERAL!$AI$2,CONCATENATE(OBSERVACIONES!X19,"
ESTADO DE POSTVENTAS:  ",GENERAL!W20))</f>
        <v>OK
ESTADO DE POSTVENTAS:  POSTVENTA CORREGIDA</v>
      </c>
      <c r="Y19" s="51" t="str">
        <f>+IF(GENERAL!Z20=GENERAL!$AI$2,GENERAL!$AI$2,CONCATENATE(OBSERVACIONES!Y19,"
ESTADO DE POSTVENTAS:  ",GENERAL!Z20))</f>
        <v>OK
ESTADO DE POSTVENTAS:  POSTVENTA CORREGIDA</v>
      </c>
      <c r="Z19" s="51" t="str">
        <f>+IF(GENERAL!AA20=GENERAL!$AI$2,GENERAL!$AI$2,CONCATENATE(OBSERVACIONES!Z19,"
ESTADO DE POSTVENTAS:  ",GENERAL!AA20))</f>
        <v>OK
ESTADO DE POSTVENTAS:  POSTVENTA CORREGIDA</v>
      </c>
      <c r="AA19" s="51" t="str">
        <f>+IF(GENERAL!AB20=GENERAL!$AI$2,GENERAL!$AI$2,CONCATENATE(OBSERVACIONES!AA19,"
ESTADO DE POSTVENTAS:  ",GENERAL!AB20))</f>
        <v>OK
ESTADO DE POSTVENTAS:  POSTVENTA CORREGIDA</v>
      </c>
      <c r="AB19" s="51" t="str">
        <f>+IF(GENERAL!AC20=GENERAL!$AI$2,GENERAL!$AI$2,CONCATENATE(OBSERVACIONES!AB19,"
ESTADO DE POSTVENTAS:  ",GENERAL!AC20))</f>
        <v>OK
ESTADO DE POSTVENTAS:  POSTVENTA CORREGIDA</v>
      </c>
      <c r="AC19" s="51" t="str">
        <f>+IF(GENERAL!AD20=GENERAL!$AI$2,GENERAL!$AI$2,CONCATENATE(OBSERVACIONES!AC19,"
ESTADO DE POSTVENTAS:  ",GENERAL!AD20))</f>
        <v>OK
ESTADO DE POSTVENTAS:  POSTVENTA CORREGIDA</v>
      </c>
      <c r="AD19" s="51" t="str">
        <f>+IF(GENERAL!AE20=GENERAL!$AI$2,GENERAL!$AI$2,CONCATENATE(OBSERVACIONES!AD19,"
ESTADO DE POSTVENTAS:  ",GENERAL!AE20))</f>
        <v>OK
ESTADO DE POSTVENTAS:  POSTVENTA CORREGIDA</v>
      </c>
      <c r="AE19" s="51" t="str">
        <f>+IF(GENERAL!AF20=GENERAL!$AI$2,GENERAL!$AI$2,CONCATENATE(OBSERVACIONES!AE19,"
ESTADO DE POSTVENTAS:  ",GENERAL!AF20))</f>
        <v>OK
ESTADO DE POSTVENTAS:  POSTVENTA CORREGIDA</v>
      </c>
      <c r="AF19" s="51" t="str">
        <f>+IF(GENERAL!AG20=GENERAL!$AI$2,GENERAL!$AI$2,CONCATENATE(OBSERVACIONES!AF19,"
ESTADO DE POSTVENTAS:  ",GENERAL!AG20))</f>
        <v>OK
ESTADO DE POSTVENTAS:  POSTVENTA CORREGIDA</v>
      </c>
      <c r="AG19" s="51" t="str">
        <f>+IF(GENERAL!AH20=GENERAL!$AI$2,GENERAL!$AI$2,CONCATENATE(OBSERVACIONES!AG19,"
ESTADO DE POSTVENTAS:  ",GENERAL!AH20))</f>
        <v>OK
ESTADO DE POSTVENTAS:  POSTVENTA CORREGIDA</v>
      </c>
      <c r="AH19" s="51" t="str">
        <f>+IF(GENERAL!AI20=GENERAL!$AI$2,GENERAL!$AI$2,CONCATENATE(OBSERVACIONES!AH19,"
ESTADO DE POSTVENTAS:  ",GENERAL!AI20))</f>
        <v>OK
ESTADO DE POSTVENTAS:  POSTVENTA CORREGIDA</v>
      </c>
      <c r="AI19" s="51" t="str">
        <f>+IF(GENERAL!AG20=GENERAL!$AI$2,GENERAL!$AI$2,CONCATENATE(OBSERVACIONES!AF19,"
ESTADO DE POSTVENTAS:  ",GENERAL!AG20))</f>
        <v>OK
ESTADO DE POSTVENTAS:  POSTVENTA CORREGIDA</v>
      </c>
      <c r="AJ19" s="51" t="str">
        <f>+IF(GENERAL!AI20=GENERAL!$AI$2,GENERAL!$AI$2,CONCATENATE(OBSERVACIONES!AH19,"
ESTADO DE POSTVENTAS:  ",GENERAL!AI20))</f>
        <v>OK
ESTADO DE POSTVENTAS:  POSTVENTA CORREGIDA</v>
      </c>
      <c r="AK19" s="51" t="str">
        <f>+IF(GENERAL!AJ20=GENERAL!$AI$2,GENERAL!$AI$2,CONCATENATE(OBSERVACIONES!AI19,"
ESTADO DE POSTVENTAS:  ",GENERAL!AJ20))</f>
        <v>OK
ESTADO DE POSTVENTAS:  POSTVENTA CORREGIDA</v>
      </c>
      <c r="AL19" s="51" t="str">
        <f>+IF(GENERAL!AK20=GENERAL!$AI$2,GENERAL!$AI$2,CONCATENATE(OBSERVACIONES!AJ19,"
ESTADO DE POSTVENTAS:  ",GENERAL!AK20))</f>
        <v>OK
ESTADO DE POSTVENTAS:  POSTVENTA CORREGIDA</v>
      </c>
      <c r="AM19" s="51" t="str">
        <f>+IF(GENERAL!AN20=GENERAL!$AI$2,GENERAL!$AI$2,CONCATENATE(OBSERVACIONES!AM19,"
ESTADO DE POSTVENTAS:  ",GENERAL!AN20))</f>
        <v>OK
ESTADO DE POSTVENTAS:  POSTVENTA CORREGIDA</v>
      </c>
      <c r="AN19" s="37">
        <v>0</v>
      </c>
      <c r="AO19" s="37">
        <v>11</v>
      </c>
      <c r="AP19" s="37">
        <v>3</v>
      </c>
      <c r="AQ19" s="37">
        <v>0</v>
      </c>
      <c r="AR19" s="43">
        <v>14</v>
      </c>
      <c r="AS19" s="40">
        <v>12</v>
      </c>
      <c r="AT19" s="37">
        <f>COUNTIFS($D$5:$AM$5,"&lt;&gt;"&amp;CODICIONALES!$A$1,$D$5:$AM$5,"&lt;&gt;"&amp;CODICIONALES!$A$2,$D$5:$AM$5,"&lt;&gt;"&amp;CODICIONALES!$B$2,$D$5:$AM$5,"&lt;&gt;"&amp;CODICIONALES!$C$2)</f>
        <v>6</v>
      </c>
      <c r="AU19" s="43">
        <f>COUNTIFS(D19:AM19,CODICIONALES!$A$2)</f>
        <v>34</v>
      </c>
      <c r="AV19" s="40">
        <f t="shared" si="0"/>
        <v>-4</v>
      </c>
    </row>
    <row r="20" spans="1:48" ht="51" customHeight="1" x14ac:dyDescent="0.25">
      <c r="A20" s="110"/>
      <c r="B20" s="2">
        <v>16</v>
      </c>
      <c r="C20" s="21" t="s">
        <v>59</v>
      </c>
      <c r="D20" s="51" t="str">
        <f>+IF(GENERAL!E21=GENERAL!$AI$2,GENERAL!$AI$2,CONCATENATE(OBSERVACIONES!D20,"
ESTADO DE POSTVENTAS:  ",GENERAL!E21))</f>
        <v>NO ENTREGADO
ESTADO DE POSTVENTAS:  TIENE POSTVENTA</v>
      </c>
      <c r="E20" s="51" t="str">
        <f>+IF(GENERAL!F21=GENERAL!$AI$2,GENERAL!$AI$2,CONCATENATE(OBSERVACIONES!E20,"
ESTADO DE POSTVENTAS:  ",GENERAL!F21))</f>
        <v>OK
ESTADO DE POSTVENTAS:  POSTVENTA CORREGIDA</v>
      </c>
      <c r="F20" s="51" t="str">
        <f>+IF(GENERAL!G21=GENERAL!$AI$2,GENERAL!$AI$2,CONCATENATE(OBSERVACIONES!F20,"
ESTADO DE POSTVENTAS:  ",GENERAL!G21))</f>
        <v>OK
ESTADO DE POSTVENTAS:  POSTVENTA CORREGIDA</v>
      </c>
      <c r="G20" s="51" t="str">
        <f>+IF(GENERAL!H21=GENERAL!$AI$2,GENERAL!$AI$2,CONCATENATE(OBSERVACIONES!G20,"
ESTADO DE POSTVENTAS:  ",GENERAL!H21))</f>
        <v>NO ENTREGADO
ESTADO DE POSTVENTAS:  TIENE POSTVENTA</v>
      </c>
      <c r="H20" s="51" t="str">
        <f>+IF(GENERAL!I21=GENERAL!$AI$2,GENERAL!$AI$2,CONCATENATE(OBSERVACIONES!H20,"
ESTADO DE POSTVENTAS:  ",GENERAL!I21))</f>
        <v>OK
ESTADO DE POSTVENTAS:  POSTVENTA CORREGIDA</v>
      </c>
      <c r="I20" s="51" t="str">
        <f>+IF(GENERAL!J21=GENERAL!$AI$2,GENERAL!$AI$2,CONCATENATE(OBSERVACIONES!I20,"
ESTADO DE POSTVENTAS:  ",GENERAL!J21))</f>
        <v>OK
ESTADO DE POSTVENTAS:  POSTVENTA CORREGIDA</v>
      </c>
      <c r="J20" s="51" t="str">
        <f>+IF(GENERAL!K21=GENERAL!$AI$2,GENERAL!$AI$2,CONCATENATE(OBSERVACIONES!J20,"
ESTADO DE POSTVENTAS:  ",GENERAL!K21))</f>
        <v>OK
ESTADO DE POSTVENTAS:  POSTVENTA CORREGIDA</v>
      </c>
      <c r="K20" s="51" t="str">
        <f>+IF(GENERAL!L21=GENERAL!$AI$2,GENERAL!$AI$2,CONCATENATE(OBSERVACIONES!K20,"
ESTADO DE POSTVENTAS:  ",GENERAL!L21))</f>
        <v>DETALLE BALDOSA
ESTADO DE POSTVENTAS:  TIENE POSTVENTA</v>
      </c>
      <c r="L20" s="51" t="str">
        <f>+IF(GENERAL!M21=GENERAL!$AI$2,GENERAL!$AI$2,CONCATENATE(OBSERVACIONES!L20,"
ESTADO DE POSTVENTAS:  ",GENERAL!M21))</f>
        <v>OK
ESTADO DE POSTVENTAS:  POSTVENTA CORREGIDA</v>
      </c>
      <c r="M20" s="70" t="str">
        <f>+IF(GENERAL!N21=GENERAL!$AI$2,GENERAL!$AI$2,CONCATENATE(OBSERVACIONES!M20,"
ESTADO DE POSTVENTAS:  ",GENERAL!N21))</f>
        <v>OK
ESTADO DE POSTVENTAS:  POSTVENTA CORREGIDA</v>
      </c>
      <c r="N20" s="70" t="str">
        <f>+IF(GENERAL!O21=GENERAL!$AI$2,GENERAL!$AI$2,CONCATENATE(OBSERVACIONES!N20,"
ESTADO DE POSTVENTAS:  ",GENERAL!O21))</f>
        <v>DETALLES BALDOSAS
ESTADO DE POSTVENTAS:  TIENE POSTVENTA</v>
      </c>
      <c r="O20" s="51" t="str">
        <f>+IF(GENERAL!P21=GENERAL!$AI$2,GENERAL!$AI$2,CONCATENATE(OBSERVACIONES!O20,"
ESTADO DE POSTVENTAS:  ",GENERAL!P21))</f>
        <v>OK
ESTADO DE POSTVENTAS:  POSTVENTA CORREGIDA</v>
      </c>
      <c r="P20" s="70" t="str">
        <f>+IF(GENERAL!Q21=GENERAL!$AI$2,GENERAL!$AI$2,CONCATENATE(OBSERVACIONES!P20,"
ESTADO DE POSTVENTAS:  ",GENERAL!Q21))</f>
        <v>DETALLE BOQUILLA
ESTADO DE POSTVENTAS:  TIENE POSTVENTA</v>
      </c>
      <c r="Q20" s="70" t="str">
        <f>+IF(GENERAL!R21=GENERAL!$AI$2,GENERAL!$AI$2,CONCATENATE(OBSERVACIONES!Q20,"
ESTADO DE POSTVENTAS:  ",GENERAL!R21))</f>
        <v>OK
ESTADO DE POSTVENTAS:  POSTVENTA CORREGIDA</v>
      </c>
      <c r="R20" s="51" t="str">
        <f>+IF(GENERAL!S21=GENERAL!$AI$2,GENERAL!$AI$2,CONCATENATE(OBSERVACIONES!R20,"
ESTADO DE POSTVENTAS:  ",GENERAL!S21))</f>
        <v>OK
ESTADO DE POSTVENTAS:  POSTVENTA CORREGIDA</v>
      </c>
      <c r="S20" s="51" t="str">
        <f>+IF(GENERAL!T21=GENERAL!$AI$2,GENERAL!$AI$2,CONCATENATE(OBSERVACIONES!S20,"
ESTADO DE POSTVENTAS:  ",GENERAL!T21))</f>
        <v>OK
ESTADO DE POSTVENTAS:  POSTVENTA CORREGIDA</v>
      </c>
      <c r="T20" s="51" t="str">
        <f>+IF(GENERAL!U21=GENERAL!$AI$2,GENERAL!$AI$2,CONCATENATE(OBSERVACIONES!T20,"
ESTADO DE POSTVENTAS:  ",GENERAL!U21))</f>
        <v>OK
ESTADO DE POSTVENTAS:  POSTVENTA CORREGIDA</v>
      </c>
      <c r="U20" s="51" t="str">
        <f>+IF(GENERAL!V21=GENERAL!$AI$2,GENERAL!$AI$2,CONCATENATE(OBSERVACIONES!U20,"
ESTADO DE POSTVENTAS:  ",GENERAL!V21))</f>
        <v>OK
ESTADO DE POSTVENTAS:  POSTVENTA CORREGIDA</v>
      </c>
      <c r="V20" s="70" t="str">
        <f>+IF(GENERAL!W21=GENERAL!$AI$2,GENERAL!$AI$2,CONCATENATE(OBSERVACIONES!V20,"
ESTADO DE POSTVENTAS:  ",GENERAL!W21))</f>
        <v>DETALLE BALDOSAS
ESTADO DE POSTVENTAS:  TIENE POSTVENTA</v>
      </c>
      <c r="W20" s="51" t="str">
        <f>+IF(GENERAL!V21=GENERAL!$AI$2,GENERAL!$AI$2,CONCATENATE(OBSERVACIONES!W20,"
ESTADO DE POSTVENTAS:  ",GENERAL!V21))</f>
        <v>OK
ESTADO DE POSTVENTAS:  POSTVENTA CORREGIDA</v>
      </c>
      <c r="X20" s="51" t="str">
        <f>+IF(GENERAL!W21=GENERAL!$AI$2,GENERAL!$AI$2,CONCATENATE(OBSERVACIONES!X20,"
ESTADO DE POSTVENTAS:  ",GENERAL!W21))</f>
        <v>OK
ESTADO DE POSTVENTAS:  TIENE POSTVENTA</v>
      </c>
      <c r="Y20" s="51" t="str">
        <f>+IF(GENERAL!Z21=GENERAL!$AI$2,GENERAL!$AI$2,CONCATENATE(OBSERVACIONES!Y20,"
ESTADO DE POSTVENTAS:  ",GENERAL!Z21))</f>
        <v>OK
ESTADO DE POSTVENTAS:  POSTVENTA CORREGIDA</v>
      </c>
      <c r="Z20" s="51" t="str">
        <f>+IF(GENERAL!AA21=GENERAL!$AI$2,GENERAL!$AI$2,CONCATENATE(OBSERVACIONES!Z20,"
ESTADO DE POSTVENTAS:  ",GENERAL!AA21))</f>
        <v>OK
ESTADO DE POSTVENTAS:  POSTVENTA CORREGIDA</v>
      </c>
      <c r="AA20" s="70" t="str">
        <f>+IF(GENERAL!AB21=GENERAL!$AI$2,GENERAL!$AI$2,CONCATENATE(OBSERVACIONES!AA20,"
ESTADO DE POSTVENTAS:  ",GENERAL!AB21))</f>
        <v>DETALLE BALDOSAS
ESTADO DE POSTVENTAS:  TIENE POSTVENTA</v>
      </c>
      <c r="AB20" s="51" t="str">
        <f>+IF(GENERAL!AC21=GENERAL!$AI$2,GENERAL!$AI$2,CONCATENATE(OBSERVACIONES!AB20,"
ESTADO DE POSTVENTAS:  ",GENERAL!AC21))</f>
        <v>OK
ESTADO DE POSTVENTAS:  POSTVENTA CORREGIDA</v>
      </c>
      <c r="AC20" s="51" t="str">
        <f>+IF(GENERAL!AD21=GENERAL!$AI$2,GENERAL!$AI$2,CONCATENATE(OBSERVACIONES!AC20,"
ESTADO DE POSTVENTAS:  ",GENERAL!AD21))</f>
        <v>OK
ESTADO DE POSTVENTAS:  POSTVENTA CORREGIDA</v>
      </c>
      <c r="AD20" s="51" t="str">
        <f>+IF(GENERAL!AE21=GENERAL!$AI$2,GENERAL!$AI$2,CONCATENATE(OBSERVACIONES!AD20,"
ESTADO DE POSTVENTAS:  ",GENERAL!AE21))</f>
        <v>DETALLE CAMBIO
ESTADO DE POSTVENTAS:  TIENE POSTVENTA</v>
      </c>
      <c r="AE20" s="51" t="str">
        <f>+IF(GENERAL!AF21=GENERAL!$AI$2,GENERAL!$AI$2,CONCATENATE(OBSERVACIONES!AE20,"
ESTADO DE POSTVENTAS:  ",GENERAL!AF21))</f>
        <v>OK
ESTADO DE POSTVENTAS:  POSTVENTA CORREGIDA</v>
      </c>
      <c r="AF20" s="51" t="str">
        <f>+IF(GENERAL!AG21=GENERAL!$AI$2,GENERAL!$AI$2,CONCATENATE(OBSERVACIONES!AF20,"
ESTADO DE POSTVENTAS:  ",GENERAL!AG21))</f>
        <v>OK
ESTADO DE POSTVENTAS:  POSTVENTA CORREGIDA</v>
      </c>
      <c r="AG20" s="51" t="str">
        <f>+IF(GENERAL!AH21=GENERAL!$AI$2,GENERAL!$AI$2,CONCATENATE(OBSERVACIONES!AG20,"
ESTADO DE POSTVENTAS:  ",GENERAL!AH21))</f>
        <v>DETALLE JUNTAS
ESTADO DE POSTVENTAS:  TIENE POSTVENTA</v>
      </c>
      <c r="AH20" s="51" t="str">
        <f>+IF(GENERAL!AI21=GENERAL!$AI$2,GENERAL!$AI$2,CONCATENATE(OBSERVACIONES!AH20,"
ESTADO DE POSTVENTAS:  ",GENERAL!AI21))</f>
        <v>OK
ESTADO DE POSTVENTAS:  POSTVENTA CORREGIDA</v>
      </c>
      <c r="AI20" s="51" t="str">
        <f>+IF(GENERAL!AG21=GENERAL!$AI$2,GENERAL!$AI$2,CONCATENATE(OBSERVACIONES!AF20,"
ESTADO DE POSTVENTAS:  ",GENERAL!AG21))</f>
        <v>OK
ESTADO DE POSTVENTAS:  POSTVENTA CORREGIDA</v>
      </c>
      <c r="AJ20" s="51" t="str">
        <f>+IF(GENERAL!AI21=GENERAL!$AI$2,GENERAL!$AI$2,CONCATENATE(OBSERVACIONES!AH20,"
ESTADO DE POSTVENTAS:  ",GENERAL!AI21))</f>
        <v>OK
ESTADO DE POSTVENTAS:  POSTVENTA CORREGIDA</v>
      </c>
      <c r="AK20" s="70" t="str">
        <f>+IF(GENERAL!AJ21=GENERAL!$AI$2,GENERAL!$AI$2,CONCATENATE(OBSERVACIONES!AI20,"
ESTADO DE POSTVENTAS:  ",GENERAL!AJ21))</f>
        <v>DETALLE BALDOSAS
ESTADO DE POSTVENTAS:  TIENE POSTVENTA</v>
      </c>
      <c r="AL20" s="51" t="str">
        <f>+IF(GENERAL!AK21=GENERAL!$AI$2,GENERAL!$AI$2,CONCATENATE(OBSERVACIONES!AJ20,"
ESTADO DE POSTVENTAS:  ",GENERAL!AK21))</f>
        <v>OK
ESTADO DE POSTVENTAS:  POSTVENTA CORREGIDA</v>
      </c>
      <c r="AM20" s="70" t="str">
        <f>+IF(GENERAL!AN21=GENERAL!$AI$2,GENERAL!$AI$2,CONCATENATE(OBSERVACIONES!AM20,"
ESTADO DE POSTVENTAS:  ",GENERAL!AN21))</f>
        <v>DETALLE BALDOSAS
ESTADO DE POSTVENTAS:  TIENE POSTVENTA</v>
      </c>
      <c r="AN20" s="37">
        <v>5</v>
      </c>
      <c r="AO20" s="37">
        <v>6</v>
      </c>
      <c r="AP20" s="37">
        <v>3</v>
      </c>
      <c r="AQ20" s="37">
        <v>1</v>
      </c>
      <c r="AR20" s="43">
        <v>13</v>
      </c>
      <c r="AS20" s="40">
        <v>12</v>
      </c>
      <c r="AT20" s="37">
        <f>COUNTIFS($D$5:$AM$5,"&lt;&gt;"&amp;CODICIONALES!$A$1,$D$5:$AM$5,"&lt;&gt;"&amp;CODICIONALES!$A$2,$D$5:$AM$5,"&lt;&gt;"&amp;CODICIONALES!$B$2,$D$5:$AM$5,"&lt;&gt;"&amp;CODICIONALES!$C$2)</f>
        <v>6</v>
      </c>
      <c r="AU20" s="43">
        <f>COUNTIFS(D20:AM20,CODICIONALES!$A$2)</f>
        <v>24</v>
      </c>
      <c r="AV20" s="40">
        <f t="shared" si="0"/>
        <v>6</v>
      </c>
    </row>
    <row r="21" spans="1:48" ht="51" customHeight="1" x14ac:dyDescent="0.25">
      <c r="A21" s="110"/>
      <c r="B21" s="2">
        <v>17</v>
      </c>
      <c r="C21" s="21" t="s">
        <v>61</v>
      </c>
      <c r="D21" s="51" t="str">
        <f>+IF(GENERAL!E22=GENERAL!$AI$2,GENERAL!$AI$2,CONCATENATE(OBSERVACIONES!D21,"
ESTADO DE POSTVENTAS:  ",GENERAL!E22))</f>
        <v>NO ENTREGADO
ESTADO DE POSTVENTAS:  TIENE POSTVENTA</v>
      </c>
      <c r="E21" s="51" t="str">
        <f>+IF(GENERAL!F22=GENERAL!$AI$2,GENERAL!$AI$2,CONCATENATE(OBSERVACIONES!E21,"
ESTADO DE POSTVENTAS:  ",GENERAL!F22))</f>
        <v>OK
ESTADO DE POSTVENTAS:  POSTVENTA CORREGIDA</v>
      </c>
      <c r="F21" s="51" t="str">
        <f>+IF(GENERAL!G22=GENERAL!$AI$2,GENERAL!$AI$2,CONCATENATE(OBSERVACIONES!F21,"
ESTADO DE POSTVENTAS:  ",GENERAL!G22))</f>
        <v>OK
ESTADO DE POSTVENTAS:  POSTVENTA CORREGIDA</v>
      </c>
      <c r="G21" s="51" t="str">
        <f>+IF(GENERAL!H22=GENERAL!$AI$2,GENERAL!$AI$2,CONCATENATE(OBSERVACIONES!G21,"
ESTADO DE POSTVENTAS:  ",GENERAL!H22))</f>
        <v>NO ENTREGADO
ESTADO DE POSTVENTAS:  TIENE POSTVENTA</v>
      </c>
      <c r="H21" s="51" t="str">
        <f>+IF(GENERAL!I22=GENERAL!$AI$2,GENERAL!$AI$2,CONCATENATE(OBSERVACIONES!H21,"
ESTADO DE POSTVENTAS:  ",GENERAL!I22))</f>
        <v>OK
ESTADO DE POSTVENTAS:  POSTVENTA CORREGIDA</v>
      </c>
      <c r="I21" s="51" t="str">
        <f>+IF(GENERAL!J22=GENERAL!$AI$2,GENERAL!$AI$2,CONCATENATE(OBSERVACIONES!I21,"
ESTADO DE POSTVENTAS:  ",GENERAL!J22))</f>
        <v>OK
ESTADO DE POSTVENTAS:  POSTVENTA CORREGIDA</v>
      </c>
      <c r="J21" s="51" t="str">
        <f>+IF(GENERAL!K22=GENERAL!$AI$2,GENERAL!$AI$2,CONCATENATE(OBSERVACIONES!J21,"
ESTADO DE POSTVENTAS:  ",GENERAL!K22))</f>
        <v>OK
ESTADO DE POSTVENTAS:  POSTVENTA CORREGIDA</v>
      </c>
      <c r="K21" s="51" t="str">
        <f>+IF(GENERAL!L22=GENERAL!$AI$2,GENERAL!$AI$2,CONCATENATE(OBSERVACIONES!K21,"
ESTADO DE POSTVENTAS:  ",GENERAL!L22))</f>
        <v>OK
ESTADO DE POSTVENTAS:  POSTVENTA CORREGIDA</v>
      </c>
      <c r="L21" s="51" t="str">
        <f>+IF(GENERAL!M22=GENERAL!$AI$2,GENERAL!$AI$2,CONCATENATE(OBSERVACIONES!L21,"
ESTADO DE POSTVENTAS:  ",GENERAL!M22))</f>
        <v>OK
ESTADO DE POSTVENTAS:  POSTVENTA CORREGIDA</v>
      </c>
      <c r="M21" s="70" t="str">
        <f>+IF(GENERAL!N22=GENERAL!$AI$2,GENERAL!$AI$2,CONCATENATE(OBSERVACIONES!M21,"
ESTADO DE POSTVENTAS:  ",GENERAL!N22))</f>
        <v>OK
ESTADO DE POSTVENTAS:  POSTVENTA CORREGIDA</v>
      </c>
      <c r="N21" s="51" t="str">
        <f>+IF(GENERAL!O22=GENERAL!$AI$2,GENERAL!$AI$2,CONCATENATE(OBSERVACIONES!N21,"
ESTADO DE POSTVENTAS:  ",GENERAL!O22))</f>
        <v>OK
ESTADO DE POSTVENTAS:  POSTVENTA CORREGIDA</v>
      </c>
      <c r="O21" s="51" t="str">
        <f>+IF(GENERAL!P22=GENERAL!$AI$2,GENERAL!$AI$2,CONCATENATE(OBSERVACIONES!O21,"
ESTADO DE POSTVENTAS:  ",GENERAL!P22))</f>
        <v>OK
ESTADO DE POSTVENTAS:  POSTVENTA CORREGIDA</v>
      </c>
      <c r="P21" s="70" t="str">
        <f>+IF(GENERAL!Q22=GENERAL!$AI$2,GENERAL!$AI$2,CONCATENATE(OBSERVACIONES!P21,"
ESTADO DE POSTVENTAS:  ",GENERAL!Q22))</f>
        <v>OK
ESTADO DE POSTVENTAS:  POSTVENTA CORREGIDA</v>
      </c>
      <c r="Q21" s="70" t="str">
        <f>+IF(GENERAL!R22=GENERAL!$AI$2,GENERAL!$AI$2,CONCATENATE(OBSERVACIONES!Q21,"
ESTADO DE POSTVENTAS:  ",GENERAL!R22))</f>
        <v>OK
ESTADO DE POSTVENTAS:  POSTVENTA CORREGIDA</v>
      </c>
      <c r="R21" s="51" t="str">
        <f>+IF(GENERAL!S22=GENERAL!$AI$2,GENERAL!$AI$2,CONCATENATE(OBSERVACIONES!R21,"
ESTADO DE POSTVENTAS:  ",GENERAL!S22))</f>
        <v>OK
ESTADO DE POSTVENTAS:  POSTVENTA CORREGIDA</v>
      </c>
      <c r="S21" s="51" t="str">
        <f>+IF(GENERAL!T22=GENERAL!$AI$2,GENERAL!$AI$2,CONCATENATE(OBSERVACIONES!S21,"
ESTADO DE POSTVENTAS:  ",GENERAL!T22))</f>
        <v>OK
ESTADO DE POSTVENTAS:  POSTVENTA CORREGIDA</v>
      </c>
      <c r="T21" s="51" t="str">
        <f>+IF(GENERAL!U22=GENERAL!$AI$2,GENERAL!$AI$2,CONCATENATE(OBSERVACIONES!T21,"
ESTADO DE POSTVENTAS:  ",GENERAL!U22))</f>
        <v>OK
ESTADO DE POSTVENTAS:  POSTVENTA CORREGIDA</v>
      </c>
      <c r="U21" s="51" t="str">
        <f>+IF(GENERAL!V22=GENERAL!$AI$2,GENERAL!$AI$2,CONCATENATE(OBSERVACIONES!U21,"
ESTADO DE POSTVENTAS:  ",GENERAL!V22))</f>
        <v>OK
ESTADO DE POSTVENTAS:  POSTVENTA CORREGIDA</v>
      </c>
      <c r="V21" s="51" t="str">
        <f>+IF(GENERAL!W22=GENERAL!$AI$2,GENERAL!$AI$2,CONCATENATE(OBSERVACIONES!V21,"
ESTADO DE POSTVENTAS:  ",GENERAL!W22))</f>
        <v>OK
ESTADO DE POSTVENTAS:  POSTVENTA CORREGIDA</v>
      </c>
      <c r="W21" s="51" t="str">
        <f>+IF(GENERAL!V22=GENERAL!$AI$2,GENERAL!$AI$2,CONCATENATE(OBSERVACIONES!W21,"
ESTADO DE POSTVENTAS:  ",GENERAL!V22))</f>
        <v>OK
ESTADO DE POSTVENTAS:  POSTVENTA CORREGIDA</v>
      </c>
      <c r="X21" s="51" t="str">
        <f>+IF(GENERAL!W22=GENERAL!$AI$2,GENERAL!$AI$2,CONCATENATE(OBSERVACIONES!X21,"
ESTADO DE POSTVENTAS:  ",GENERAL!W22))</f>
        <v>OK
ESTADO DE POSTVENTAS:  POSTVENTA CORREGIDA</v>
      </c>
      <c r="Y21" s="51" t="str">
        <f>+IF(GENERAL!Z22=GENERAL!$AI$2,GENERAL!$AI$2,CONCATENATE(OBSERVACIONES!Y21,"
ESTADO DE POSTVENTAS:  ",GENERAL!Z22))</f>
        <v>OK
ESTADO DE POSTVENTAS:  POSTVENTA CORREGIDA</v>
      </c>
      <c r="Z21" s="51" t="str">
        <f>+IF(GENERAL!AA22=GENERAL!$AI$2,GENERAL!$AI$2,CONCATENATE(OBSERVACIONES!Z21,"
ESTADO DE POSTVENTAS:  ",GENERAL!AA22))</f>
        <v>OK
ESTADO DE POSTVENTAS:  POSTVENTA CORREGIDA</v>
      </c>
      <c r="AA21" s="51" t="str">
        <f>+IF(GENERAL!AB22=GENERAL!$AI$2,GENERAL!$AI$2,CONCATENATE(OBSERVACIONES!AA21,"
ESTADO DE POSTVENTAS:  ",GENERAL!AB22))</f>
        <v>OK
ESTADO DE POSTVENTAS:  POSTVENTA CORREGIDA</v>
      </c>
      <c r="AB21" s="70" t="str">
        <f>+IF(GENERAL!AC22=GENERAL!$AI$2,GENERAL!$AI$2,CONCATENATE(OBSERVACIONES!AB21,"
ESTADO DE POSTVENTAS:  ",GENERAL!AC22))</f>
        <v>OK
ESTADO DE POSTVENTAS:  POSTVENTA CORREGIDA</v>
      </c>
      <c r="AC21" s="70" t="str">
        <f>+IF(GENERAL!AD22=GENERAL!$AI$2,GENERAL!$AI$2,CONCATENATE(OBSERVACIONES!AC21,"
ESTADO DE POSTVENTAS:  ",GENERAL!AD22))</f>
        <v>OK
ESTADO DE POSTVENTAS:  POSTVENTA CORREGIDA</v>
      </c>
      <c r="AD21" s="51" t="str">
        <f>+IF(GENERAL!AE22=GENERAL!$AI$2,GENERAL!$AI$2,CONCATENATE(OBSERVACIONES!AD21,"
ESTADO DE POSTVENTAS:  ",GENERAL!AE22))</f>
        <v>OK
ESTADO DE POSTVENTAS:  POSTVENTA CORREGIDA</v>
      </c>
      <c r="AE21" s="51" t="str">
        <f>+IF(GENERAL!AF22=GENERAL!$AI$2,GENERAL!$AI$2,CONCATENATE(OBSERVACIONES!AE21,"
ESTADO DE POSTVENTAS:  ",GENERAL!AF22))</f>
        <v>OK
ESTADO DE POSTVENTAS:  POSTVENTA CORREGIDA</v>
      </c>
      <c r="AF21" s="51" t="str">
        <f>+IF(GENERAL!AG22=GENERAL!$AI$2,GENERAL!$AI$2,CONCATENATE(OBSERVACIONES!AF21,"
ESTADO DE POSTVENTAS:  ",GENERAL!AG22))</f>
        <v>OK
ESTADO DE POSTVENTAS:  POSTVENTA CORREGIDA</v>
      </c>
      <c r="AG21" s="51" t="str">
        <f>+IF(GENERAL!AH22=GENERAL!$AI$2,GENERAL!$AI$2,CONCATENATE(OBSERVACIONES!AG21,"
ESTADO DE POSTVENTAS:  ",GENERAL!AH22))</f>
        <v>DETALLE ACABADO
ESTADO DE POSTVENTAS:  TIENE POSTVENTA</v>
      </c>
      <c r="AH21" s="51" t="str">
        <f>+IF(GENERAL!AI22=GENERAL!$AI$2,GENERAL!$AI$2,CONCATENATE(OBSERVACIONES!AH21,"
ESTADO DE POSTVENTAS:  ",GENERAL!AI22))</f>
        <v>OK
ESTADO DE POSTVENTAS:  POSTVENTA CORREGIDA</v>
      </c>
      <c r="AI21" s="51" t="str">
        <f>+IF(GENERAL!AG22=GENERAL!$AI$2,GENERAL!$AI$2,CONCATENATE(OBSERVACIONES!AF21,"
ESTADO DE POSTVENTAS:  ",GENERAL!AG22))</f>
        <v>OK
ESTADO DE POSTVENTAS:  POSTVENTA CORREGIDA</v>
      </c>
      <c r="AJ21" s="51" t="str">
        <f>+IF(GENERAL!AI22=GENERAL!$AI$2,GENERAL!$AI$2,CONCATENATE(OBSERVACIONES!AH21,"
ESTADO DE POSTVENTAS:  ",GENERAL!AI22))</f>
        <v>OK
ESTADO DE POSTVENTAS:  POSTVENTA CORREGIDA</v>
      </c>
      <c r="AK21" s="51" t="str">
        <f>+IF(GENERAL!AJ22=GENERAL!$AI$2,GENERAL!$AI$2,CONCATENATE(OBSERVACIONES!AI21,"
ESTADO DE POSTVENTAS:  ",GENERAL!AJ22))</f>
        <v>OK
ESTADO DE POSTVENTAS:  POSTVENTA CORREGIDA</v>
      </c>
      <c r="AL21" s="51" t="str">
        <f>+IF(GENERAL!AK22=GENERAL!$AI$2,GENERAL!$AI$2,CONCATENATE(OBSERVACIONES!AJ21,"
ESTADO DE POSTVENTAS:  ",GENERAL!AK22))</f>
        <v>OK
ESTADO DE POSTVENTAS:  POSTVENTA CORREGIDA</v>
      </c>
      <c r="AM21" s="51" t="str">
        <f>+IF(GENERAL!AN22=GENERAL!$AI$2,GENERAL!$AI$2,CONCATENATE(OBSERVACIONES!AM21,"
ESTADO DE POSTVENTAS:  ",GENERAL!AN22))</f>
        <v>OK
ESTADO DE POSTVENTAS:  POSTVENTA CORREGIDA</v>
      </c>
      <c r="AN21" s="37">
        <v>4</v>
      </c>
      <c r="AO21" s="37">
        <v>7</v>
      </c>
      <c r="AP21" s="37">
        <v>3</v>
      </c>
      <c r="AQ21" s="37">
        <v>1</v>
      </c>
      <c r="AR21" s="43">
        <v>13</v>
      </c>
      <c r="AS21" s="40">
        <v>12</v>
      </c>
      <c r="AT21" s="37">
        <f>COUNTIFS($D$5:$AM$5,"&lt;&gt;"&amp;CODICIONALES!$A$1,$D$5:$AM$5,"&lt;&gt;"&amp;CODICIONALES!$A$2,$D$5:$AM$5,"&lt;&gt;"&amp;CODICIONALES!$B$2,$D$5:$AM$5,"&lt;&gt;"&amp;CODICIONALES!$C$2)</f>
        <v>6</v>
      </c>
      <c r="AU21" s="43">
        <f>COUNTIFS(D21:AM21,CODICIONALES!$A$2)</f>
        <v>33</v>
      </c>
      <c r="AV21" s="40">
        <f t="shared" si="0"/>
        <v>-3</v>
      </c>
    </row>
    <row r="22" spans="1:48" ht="51" customHeight="1" x14ac:dyDescent="0.25">
      <c r="A22" s="110"/>
      <c r="B22" s="2">
        <v>18</v>
      </c>
      <c r="C22" s="21" t="s">
        <v>62</v>
      </c>
      <c r="D22" s="51" t="str">
        <f>+IF(GENERAL!E23=GENERAL!$AI$2,GENERAL!$AI$2,CONCATENATE(OBSERVACIONES!D22,"
ESTADO DE POSTVENTAS:  ",GENERAL!E23))</f>
        <v>NO ENTREGADO
ESTADO DE POSTVENTAS:  TIENE POSTVENTA</v>
      </c>
      <c r="E22" s="70" t="str">
        <f>+IF(GENERAL!F23=GENERAL!$AI$2,GENERAL!$AI$2,CONCATENATE(OBSERVACIONES!E22,"
ESTADO DE POSTVENTAS:  ",GENERAL!F23))</f>
        <v>OK
ESTADO DE POSTVENTAS:  POSTVENTA CORREGIDA</v>
      </c>
      <c r="F22" s="70" t="str">
        <f>+IF(GENERAL!G23=GENERAL!$AI$2,GENERAL!$AI$2,CONCATENATE(OBSERVACIONES!F22,"
ESTADO DE POSTVENTAS:  ",GENERAL!G23))</f>
        <v>OK
ESTADO DE POSTVENTAS:  POSTVENTA CORREGIDA</v>
      </c>
      <c r="G22" s="51" t="str">
        <f>+IF(GENERAL!H23=GENERAL!$AI$2,GENERAL!$AI$2,CONCATENATE(OBSERVACIONES!G22,"
ESTADO DE POSTVENTAS:  ",GENERAL!H23))</f>
        <v>NO ENTREGADO
ESTADO DE POSTVENTAS:  TIENE POSTVENTA</v>
      </c>
      <c r="H22" s="51" t="str">
        <f>+IF(GENERAL!I23=GENERAL!$AI$2,GENERAL!$AI$2,CONCATENATE(OBSERVACIONES!H22,"
ESTADO DE POSTVENTAS:  ",GENERAL!I23))</f>
        <v>OK
ESTADO DE POSTVENTAS:  POSTVENTA CORREGIDA</v>
      </c>
      <c r="I22" s="51" t="str">
        <f>+IF(GENERAL!J23=GENERAL!$AI$2,GENERAL!$AI$2,CONCATENATE(OBSERVACIONES!I22,"
ESTADO DE POSTVENTAS:  ",GENERAL!J23))</f>
        <v>OK
ESTADO DE POSTVENTAS:  POSTVENTA CORREGIDA</v>
      </c>
      <c r="J22" s="51" t="str">
        <f>+IF(GENERAL!K23=GENERAL!$AI$2,GENERAL!$AI$2,CONCATENATE(OBSERVACIONES!J22,"
ESTADO DE POSTVENTAS:  ",GENERAL!K23))</f>
        <v>OK
ESTADO DE POSTVENTAS:  POSTVENTA CORREGIDA</v>
      </c>
      <c r="K22" s="51" t="str">
        <f>+IF(GENERAL!L23=GENERAL!$AI$2,GENERAL!$AI$2,CONCATENATE(OBSERVACIONES!K22,"
ESTADO DE POSTVENTAS:  ",GENERAL!L23))</f>
        <v>OK
ESTADO DE POSTVENTAS:  POSTVENTA CORREGIDA</v>
      </c>
      <c r="L22" s="51" t="str">
        <f>+IF(GENERAL!M23=GENERAL!$AI$2,GENERAL!$AI$2,CONCATENATE(OBSERVACIONES!L22,"
ESTADO DE POSTVENTAS:  ",GENERAL!M23))</f>
        <v>OK
ESTADO DE POSTVENTAS:  POSTVENTA CORREGIDA</v>
      </c>
      <c r="M22" s="70" t="str">
        <f>+IF(GENERAL!N23=GENERAL!$AI$2,GENERAL!$AI$2,CONCATENATE(OBSERVACIONES!M22,"
ESTADO DE POSTVENTAS:  ",GENERAL!N23))</f>
        <v>OK
ESTADO DE POSTVENTAS:  POSTVENTA CORREGIDA</v>
      </c>
      <c r="N22" s="51" t="str">
        <f>+IF(GENERAL!O23=GENERAL!$AI$2,GENERAL!$AI$2,CONCATENATE(OBSERVACIONES!N22,"
ESTADO DE POSTVENTAS:  ",GENERAL!O23))</f>
        <v>OK
ESTADO DE POSTVENTAS:  POSTVENTA CORREGIDA</v>
      </c>
      <c r="O22" s="51" t="str">
        <f>+IF(GENERAL!P23=GENERAL!$AI$2,GENERAL!$AI$2,CONCATENATE(OBSERVACIONES!O22,"
ESTADO DE POSTVENTAS:  ",GENERAL!P23))</f>
        <v>OK
ESTADO DE POSTVENTAS:  POSTVENTA CORREGIDA</v>
      </c>
      <c r="P22" s="70" t="str">
        <f>+IF(GENERAL!Q23=GENERAL!$AI$2,GENERAL!$AI$2,CONCATENATE(OBSERVACIONES!P22,"
ESTADO DE POSTVENTAS:  ",GENERAL!Q23))</f>
        <v>DETALLE DESCOLGADO
ESTADO DE POSTVENTAS:  TIENE POSTVENTA</v>
      </c>
      <c r="Q22" s="70" t="str">
        <f>+IF(GENERAL!R23=GENERAL!$AI$2,GENERAL!$AI$2,CONCATENATE(OBSERVACIONES!Q22,"
ESTADO DE POSTVENTAS:  ",GENERAL!R23))</f>
        <v>OK
ESTADO DE POSTVENTAS:  POSTVENTA CORREGIDA</v>
      </c>
      <c r="R22" s="51" t="str">
        <f>+IF(GENERAL!S23=GENERAL!$AI$2,GENERAL!$AI$2,CONCATENATE(OBSERVACIONES!R22,"
ESTADO DE POSTVENTAS:  ",GENERAL!S23))</f>
        <v>OK
ESTADO DE POSTVENTAS:  POSTVENTA CORREGIDA</v>
      </c>
      <c r="S22" s="51" t="str">
        <f>+IF(GENERAL!T23=GENERAL!$AI$2,GENERAL!$AI$2,CONCATENATE(OBSERVACIONES!S22,"
ESTADO DE POSTVENTAS:  ",GENERAL!T23))</f>
        <v>OK
ESTADO DE POSTVENTAS:  POSTVENTA CORREGIDA</v>
      </c>
      <c r="T22" s="70" t="str">
        <f>+IF(GENERAL!U23=GENERAL!$AI$2,GENERAL!$AI$2,CONCATENATE(OBSERVACIONES!T22,"
ESTADO DE POSTVENTAS:  ",GENERAL!U23))</f>
        <v>OK
ESTADO DE POSTVENTAS:  POSTVENTA CORREGIDA</v>
      </c>
      <c r="U22" s="70" t="str">
        <f>+IF(GENERAL!V23=GENERAL!$AI$2,GENERAL!$AI$2,CONCATENATE(OBSERVACIONES!U22,"
ESTADO DE POSTVENTAS:  ",GENERAL!V23))</f>
        <v>OK
ESTADO DE POSTVENTAS:  TIENE POSTVENTA</v>
      </c>
      <c r="V22" s="51" t="str">
        <f>+IF(GENERAL!W23=GENERAL!$AI$2,GENERAL!$AI$2,CONCATENATE(OBSERVACIONES!V22,"
ESTADO DE POSTVENTAS:  ",GENERAL!W23))</f>
        <v>OK
ESTADO DE POSTVENTAS:  POSTVENTA CORREGIDA</v>
      </c>
      <c r="W22" s="70" t="str">
        <f>+IF(GENERAL!V23=GENERAL!$AI$2,GENERAL!$AI$2,CONCATENATE(OBSERVACIONES!W22,"
ESTADO DE POSTVENTAS:  ",GENERAL!V23))</f>
        <v>OK
ESTADO DE POSTVENTAS:  TIENE POSTVENTA</v>
      </c>
      <c r="X22" s="51" t="str">
        <f>+IF(GENERAL!W23=GENERAL!$AI$2,GENERAL!$AI$2,CONCATENATE(OBSERVACIONES!X22,"
ESTADO DE POSTVENTAS:  ",GENERAL!W23))</f>
        <v>DETALLE PINTURA
ESTADO DE POSTVENTAS:  POSTVENTA CORREGIDA</v>
      </c>
      <c r="Y22" s="70" t="str">
        <f>+IF(GENERAL!Z23=GENERAL!$AI$2,GENERAL!$AI$2,CONCATENATE(OBSERVACIONES!Y22,"
ESTADO DE POSTVENTAS:  ",GENERAL!Z23))</f>
        <v>OK
ESTADO DE POSTVENTAS:  POSTVENTA CORREGIDA</v>
      </c>
      <c r="Z22" s="51" t="str">
        <f>+IF(GENERAL!AA23=GENERAL!$AI$2,GENERAL!$AI$2,CONCATENATE(OBSERVACIONES!Z22,"
ESTADO DE POSTVENTAS:  ",GENERAL!AA23))</f>
        <v>OK
ESTADO DE POSTVENTAS:  POSTVENTA CORREGIDA</v>
      </c>
      <c r="AA22" s="51" t="str">
        <f>+IF(GENERAL!AB23=GENERAL!$AI$2,GENERAL!$AI$2,CONCATENATE(OBSERVACIONES!AA22,"
ESTADO DE POSTVENTAS:  ",GENERAL!AB23))</f>
        <v>OK
ESTADO DE POSTVENTAS:  POSTVENTA CORREGIDA</v>
      </c>
      <c r="AB22" s="51" t="str">
        <f>+IF(GENERAL!AC23=GENERAL!$AI$2,GENERAL!$AI$2,CONCATENATE(OBSERVACIONES!AB22,"
ESTADO DE POSTVENTAS:  ",GENERAL!AC23))</f>
        <v>OK
ESTADO DE POSTVENTAS:  POSTVENTA CORREGIDA</v>
      </c>
      <c r="AC22" s="51" t="str">
        <f>+IF(GENERAL!AD23=GENERAL!$AI$2,GENERAL!$AI$2,CONCATENATE(OBSERVACIONES!AC22,"
ESTADO DE POSTVENTAS:  ",GENERAL!AD23))</f>
        <v>OK
ESTADO DE POSTVENTAS:  POSTVENTA CORREGIDA</v>
      </c>
      <c r="AD22" s="51" t="str">
        <f>+IF(GENERAL!AE23=GENERAL!$AI$2,GENERAL!$AI$2,CONCATENATE(OBSERVACIONES!AD22,"
ESTADO DE POSTVENTAS:  ",GENERAL!AE23))</f>
        <v>OK
ESTADO DE POSTVENTAS:  POSTVENTA CORREGIDA</v>
      </c>
      <c r="AE22" s="51" t="str">
        <f>+IF(GENERAL!AF23=GENERAL!$AI$2,GENERAL!$AI$2,CONCATENATE(OBSERVACIONES!AE22,"
ESTADO DE POSTVENTAS:  ",GENERAL!AF23))</f>
        <v>OK
ESTADO DE POSTVENTAS:  POSTVENTA CORREGIDA</v>
      </c>
      <c r="AF22" s="51" t="str">
        <f>+IF(GENERAL!AG23=GENERAL!$AI$2,GENERAL!$AI$2,CONCATENATE(OBSERVACIONES!AF22,"
ESTADO DE POSTVENTAS:  ",GENERAL!AG23))</f>
        <v>OK
ESTADO DE POSTVENTAS:  POSTVENTA CORREGIDA</v>
      </c>
      <c r="AG22" s="51" t="str">
        <f>+IF(GENERAL!AH23=GENERAL!$AI$2,GENERAL!$AI$2,CONCATENATE(OBSERVACIONES!AG22,"
ESTADO DE POSTVENTAS:  ",GENERAL!AH23))</f>
        <v>DETALLE PINTURA
ESTADO DE POSTVENTAS:  TIENE POSTVENTA</v>
      </c>
      <c r="AH22" s="51" t="str">
        <f>+IF(GENERAL!AI23=GENERAL!$AI$2,GENERAL!$AI$2,CONCATENATE(OBSERVACIONES!AH22,"
ESTADO DE POSTVENTAS:  ",GENERAL!AI23))</f>
        <v>OK
ESTADO DE POSTVENTAS:  POSTVENTA CORREGIDA</v>
      </c>
      <c r="AI22" s="51" t="str">
        <f>+IF(GENERAL!AG23=GENERAL!$AI$2,GENERAL!$AI$2,CONCATENATE(OBSERVACIONES!AF22,"
ESTADO DE POSTVENTAS:  ",GENERAL!AG23))</f>
        <v>OK
ESTADO DE POSTVENTAS:  POSTVENTA CORREGIDA</v>
      </c>
      <c r="AJ22" s="51" t="str">
        <f>+IF(GENERAL!AI23=GENERAL!$AI$2,GENERAL!$AI$2,CONCATENATE(OBSERVACIONES!AH22,"
ESTADO DE POSTVENTAS:  ",GENERAL!AI23))</f>
        <v>OK
ESTADO DE POSTVENTAS:  POSTVENTA CORREGIDA</v>
      </c>
      <c r="AK22" s="51" t="str">
        <f>+IF(GENERAL!AJ23=GENERAL!$AI$2,GENERAL!$AI$2,CONCATENATE(OBSERVACIONES!AI22,"
ESTADO DE POSTVENTAS:  ",GENERAL!AJ23))</f>
        <v>OK
ESTADO DE POSTVENTAS:  POSTVENTA CORREGIDA</v>
      </c>
      <c r="AL22" s="51" t="str">
        <f>+IF(GENERAL!AK23=GENERAL!$AI$2,GENERAL!$AI$2,CONCATENATE(OBSERVACIONES!AJ22,"
ESTADO DE POSTVENTAS:  ",GENERAL!AK23))</f>
        <v>OK
ESTADO DE POSTVENTAS:  POSTVENTA CORREGIDA</v>
      </c>
      <c r="AM22" s="51" t="str">
        <f>+IF(GENERAL!AN23=GENERAL!$AI$2,GENERAL!$AI$2,CONCATENATE(OBSERVACIONES!AM22,"
ESTADO DE POSTVENTAS:  ",GENERAL!AN23))</f>
        <v>OK
ESTADO DE POSTVENTAS:  POSTVENTA CORREGIDA</v>
      </c>
      <c r="AN22" s="37">
        <v>1</v>
      </c>
      <c r="AO22" s="37">
        <v>10</v>
      </c>
      <c r="AP22" s="37">
        <v>3</v>
      </c>
      <c r="AQ22" s="37">
        <v>2</v>
      </c>
      <c r="AR22" s="43">
        <v>13</v>
      </c>
      <c r="AS22" s="40">
        <v>11</v>
      </c>
      <c r="AT22" s="37">
        <f>COUNTIFS($D$5:$AM$5,"&lt;&gt;"&amp;CODICIONALES!$A$1,$D$5:$AM$5,"&lt;&gt;"&amp;CODICIONALES!$A$2,$D$5:$AM$5,"&lt;&gt;"&amp;CODICIONALES!$B$2,$D$5:$AM$5,"&lt;&gt;"&amp;CODICIONALES!$C$2)</f>
        <v>6</v>
      </c>
      <c r="AU22" s="43">
        <f>COUNTIFS(D22:AM22,CODICIONALES!$A$2)</f>
        <v>29</v>
      </c>
      <c r="AV22" s="40">
        <f t="shared" si="0"/>
        <v>1</v>
      </c>
    </row>
    <row r="23" spans="1:48" ht="51" customHeight="1" x14ac:dyDescent="0.25">
      <c r="A23" s="111"/>
      <c r="B23" s="2">
        <v>19</v>
      </c>
      <c r="C23" s="22" t="s">
        <v>64</v>
      </c>
      <c r="D23" s="51" t="str">
        <f>+IF(GENERAL!E24=GENERAL!$AI$2,GENERAL!$AI$2,CONCATENATE(OBSERVACIONES!D23,"
ESTADO DE POSTVENTAS:  ",GENERAL!E24))</f>
        <v>NO ENTREGADO
ESTADO DE POSTVENTAS:  TIENE POSTVENTA</v>
      </c>
      <c r="E23" s="70" t="str">
        <f>+IF(GENERAL!F24=GENERAL!$AI$2,GENERAL!$AI$2,CONCATENATE(OBSERVACIONES!E23,"
ESTADO DE POSTVENTAS:  ",GENERAL!F24))</f>
        <v>OK
ESTADO DE POSTVENTAS:  POSTVENTA CORREGIDA</v>
      </c>
      <c r="F23" s="51" t="str">
        <f>+IF(GENERAL!G24=GENERAL!$AI$2,GENERAL!$AI$2,CONCATENATE(OBSERVACIONES!F23,"
ESTADO DE POSTVENTAS:  ",GENERAL!G24))</f>
        <v>OK
ESTADO DE POSTVENTAS:  POSTVENTA CORREGIDA</v>
      </c>
      <c r="G23" s="51" t="str">
        <f>+IF(GENERAL!H24=GENERAL!$AI$2,GENERAL!$AI$2,CONCATENATE(OBSERVACIONES!G23,"
ESTADO DE POSTVENTAS:  ",GENERAL!H24))</f>
        <v>NO ENTREGADO
ESTADO DE POSTVENTAS:  TIENE POSTVENTA</v>
      </c>
      <c r="H23" s="51" t="str">
        <f>+IF(GENERAL!I24=GENERAL!$AI$2,GENERAL!$AI$2,CONCATENATE(OBSERVACIONES!H23,"
ESTADO DE POSTVENTAS:  ",GENERAL!I24))</f>
        <v>OK
ESTADO DE POSTVENTAS:  POSTVENTA CORREGIDA</v>
      </c>
      <c r="I23" s="51" t="str">
        <f>+IF(GENERAL!J24=GENERAL!$AI$2,GENERAL!$AI$2,CONCATENATE(OBSERVACIONES!I23,"
ESTADO DE POSTVENTAS:  ",GENERAL!J24))</f>
        <v>OK
ESTADO DE POSTVENTAS:  POSTVENTA CORREGIDA</v>
      </c>
      <c r="J23" s="51" t="str">
        <f>+IF(GENERAL!K24=GENERAL!$AI$2,GENERAL!$AI$2,CONCATENATE(OBSERVACIONES!J23,"
ESTADO DE POSTVENTAS:  ",GENERAL!K24))</f>
        <v>OK
ESTADO DE POSTVENTAS:  POSTVENTA CORREGIDA</v>
      </c>
      <c r="K23" s="51" t="str">
        <f>+IF(GENERAL!L24=GENERAL!$AI$2,GENERAL!$AI$2,CONCATENATE(OBSERVACIONES!K23,"
ESTADO DE POSTVENTAS:  ",GENERAL!L24))</f>
        <v>DETALLE PINTURA ESTUCO
ESTADO DE POSTVENTAS:  TIENE POSTVENTA</v>
      </c>
      <c r="L23" s="51" t="str">
        <f>+IF(GENERAL!M24=GENERAL!$AI$2,GENERAL!$AI$2,CONCATENATE(OBSERVACIONES!L23,"
ESTADO DE POSTVENTAS:  ",GENERAL!M24))</f>
        <v>OK
ESTADO DE POSTVENTAS:  POSTVENTA CORREGIDA</v>
      </c>
      <c r="M23" s="70" t="str">
        <f>+IF(GENERAL!N24=GENERAL!$AI$2,GENERAL!$AI$2,CONCATENATE(OBSERVACIONES!M23,"
ESTADO DE POSTVENTAS:  ",GENERAL!N24))</f>
        <v>OK
ESTADO DE POSTVENTAS:  POSTVENTA CORREGIDA</v>
      </c>
      <c r="N23" s="51" t="str">
        <f>+IF(GENERAL!O24=GENERAL!$AI$2,GENERAL!$AI$2,CONCATENATE(OBSERVACIONES!N23,"
ESTADO DE POSTVENTAS:  ",GENERAL!O24))</f>
        <v>OK
ESTADO DE POSTVENTAS:  POSTVENTA CORREGIDA</v>
      </c>
      <c r="O23" s="51" t="str">
        <f>+IF(GENERAL!P24=GENERAL!$AI$2,GENERAL!$AI$2,CONCATENATE(OBSERVACIONES!O23,"
ESTADO DE POSTVENTAS:  ",GENERAL!P24))</f>
        <v>OK
ESTADO DE POSTVENTAS:  POSTVENTA CORREGIDA</v>
      </c>
      <c r="P23" s="70" t="str">
        <f>+IF(GENERAL!Q24=GENERAL!$AI$2,GENERAL!$AI$2,CONCATENATE(OBSERVACIONES!P23,"
ESTADO DE POSTVENTAS:  ",GENERAL!Q24))</f>
        <v>DETALLES MURO EXTERIOR
ESTADO DE POSTVENTAS:  TIENE POSTVENTA</v>
      </c>
      <c r="Q23" s="70" t="str">
        <f>+IF(GENERAL!R24=GENERAL!$AI$2,GENERAL!$AI$2,CONCATENATE(OBSERVACIONES!Q23,"
ESTADO DE POSTVENTAS:  ",GENERAL!R24))</f>
        <v>OK
ESTADO DE POSTVENTAS:  POSTVENTA CORREGIDA</v>
      </c>
      <c r="R23" s="51" t="str">
        <f>+IF(GENERAL!S24=GENERAL!$AI$2,GENERAL!$AI$2,CONCATENATE(OBSERVACIONES!R23,"
ESTADO DE POSTVENTAS:  ",GENERAL!S24))</f>
        <v>OK
ESTADO DE POSTVENTAS:  POSTVENTA CORREGIDA</v>
      </c>
      <c r="S23" s="51" t="str">
        <f>+IF(GENERAL!T24=GENERAL!$AI$2,GENERAL!$AI$2,CONCATENATE(OBSERVACIONES!S23,"
ESTADO DE POSTVENTAS:  ",GENERAL!T24))</f>
        <v>DETALLE HUMEDAD
ESTADO DE POSTVENTAS:  TIENE POSTVENTA</v>
      </c>
      <c r="T23" s="51" t="str">
        <f>+IF(GENERAL!U24=GENERAL!$AI$2,GENERAL!$AI$2,CONCATENATE(OBSERVACIONES!T23,"
ESTADO DE POSTVENTAS:  ",GENERAL!U24))</f>
        <v>DETALLE HUMEDAD
ESTADO DE POSTVENTAS:  TIENE POSTVENTA</v>
      </c>
      <c r="U23" s="70" t="str">
        <f>+IF(GENERAL!V24=GENERAL!$AI$2,GENERAL!$AI$2,CONCATENATE(OBSERVACIONES!U23,"
ESTADO DE POSTVENTAS:  ",GENERAL!V24))</f>
        <v>DETALLE PINTURA Y ESTUCO
ESTADO DE POSTVENTAS:  TIENE POSTVENTA</v>
      </c>
      <c r="V23" s="70" t="str">
        <f>+IF(GENERAL!W24=GENERAL!$AI$2,GENERAL!$AI$2,CONCATENATE(OBSERVACIONES!V23,"
ESTADO DE POSTVENTAS:  ",GENERAL!W24))</f>
        <v>DETALLE PINTURA Y ESTUCO
ESTADO DE POSTVENTAS:  TIENE POSTVENTA</v>
      </c>
      <c r="W23" s="70" t="str">
        <f>+IF(GENERAL!V24=GENERAL!$AI$2,GENERAL!$AI$2,CONCATENATE(OBSERVACIONES!W23,"
ESTADO DE POSTVENTAS:  ",GENERAL!V24))</f>
        <v>DETALLE PINTURA
ESTADO DE POSTVENTAS:  TIENE POSTVENTA</v>
      </c>
      <c r="X23" s="51" t="str">
        <f>+IF(GENERAL!W24=GENERAL!$AI$2,GENERAL!$AI$2,CONCATENATE(OBSERVACIONES!X23,"
ESTADO DE POSTVENTAS:  ",GENERAL!W24))</f>
        <v>DETALLE PINTURA
ESTADO DE POSTVENTAS:  TIENE POSTVENTA</v>
      </c>
      <c r="Y23" s="70" t="str">
        <f>+IF(GENERAL!Z24=GENERAL!$AI$2,GENERAL!$AI$2,CONCATENATE(OBSERVACIONES!Y23,"
ESTADO DE POSTVENTAS:  ",GENERAL!Z24))</f>
        <v>OK
ESTADO DE POSTVENTAS:  POSTVENTA CORREGIDA</v>
      </c>
      <c r="Z23" s="51" t="str">
        <f>+IF(GENERAL!AA24=GENERAL!$AI$2,GENERAL!$AI$2,CONCATENATE(OBSERVACIONES!Z23,"
ESTADO DE POSTVENTAS:  ",GENERAL!AA24))</f>
        <v>OK
ESTADO DE POSTVENTAS:  POSTVENTA CORREGIDA</v>
      </c>
      <c r="AA23" s="51" t="str">
        <f>+IF(GENERAL!AB24=GENERAL!$AI$2,GENERAL!$AI$2,CONCATENATE(OBSERVACIONES!AA23,"
ESTADO DE POSTVENTAS:  ",GENERAL!AB24))</f>
        <v>OK
ESTADO DE POSTVENTAS:  POSTVENTA CORREGIDA</v>
      </c>
      <c r="AB23" s="70" t="str">
        <f>+IF(GENERAL!AC24=GENERAL!$AI$2,GENERAL!$AI$2,CONCATENATE(OBSERVACIONES!AB23,"
ESTADO DE POSTVENTAS:  ",GENERAL!AC24))</f>
        <v>OK
ESTADO DE POSTVENTAS:  POSTVENTA CORREGIDA</v>
      </c>
      <c r="AC23" s="70" t="str">
        <f>+IF(GENERAL!AD24=GENERAL!$AI$2,GENERAL!$AI$2,CONCATENATE(OBSERVACIONES!AC23,"
ESTADO DE POSTVENTAS:  ",GENERAL!AD24))</f>
        <v>OK
ESTADO DE POSTVENTAS:  POSTVENTA CORREGIDA</v>
      </c>
      <c r="AD23" s="51" t="str">
        <f>+IF(GENERAL!AE24=GENERAL!$AI$2,GENERAL!$AI$2,CONCATENATE(OBSERVACIONES!AD23,"
ESTADO DE POSTVENTAS:  ",GENERAL!AE24))</f>
        <v>OK
ESTADO DE POSTVENTAS:  POSTVENTA CORREGIDA</v>
      </c>
      <c r="AE23" s="70" t="str">
        <f>+IF(GENERAL!AF24=GENERAL!$AI$2,GENERAL!$AI$2,CONCATENATE(OBSERVACIONES!AE23,"
ESTADO DE POSTVENTAS:  ",GENERAL!AF24))</f>
        <v>DETALLE PINTURA
ESTADO DE POSTVENTAS:  TIENE POSTVENTA</v>
      </c>
      <c r="AF23" s="51" t="str">
        <f>+IF(GENERAL!AG24=GENERAL!$AI$2,GENERAL!$AI$2,CONCATENATE(OBSERVACIONES!AF23,"
ESTADO DE POSTVENTAS:  ",GENERAL!AG24))</f>
        <v>OK
ESTADO DE POSTVENTAS:  POSTVENTA CORREGIDA</v>
      </c>
      <c r="AG23" s="51" t="str">
        <f>+IF(GENERAL!AH24=GENERAL!$AI$2,GENERAL!$AI$2,CONCATENATE(OBSERVACIONES!AG23,"
ESTADO DE POSTVENTAS:  ",GENERAL!AH24))</f>
        <v>OK
ESTADO DE POSTVENTAS:  POSTVENTA CORREGIDA</v>
      </c>
      <c r="AH23" s="70" t="str">
        <f>+IF(GENERAL!AI24=GENERAL!$AI$2,GENERAL!$AI$2,CONCATENATE(OBSERVACIONES!AH23,"
ESTADO DE POSTVENTAS:  ",GENERAL!AI24))</f>
        <v>DETALLE PINTURA
ESTADO DE POSTVENTAS:  TIENE POSTVENTA</v>
      </c>
      <c r="AI23" s="51" t="str">
        <f>+IF(GENERAL!AG24=GENERAL!$AI$2,GENERAL!$AI$2,CONCATENATE(OBSERVACIONES!AF23,"
ESTADO DE POSTVENTAS:  ",GENERAL!AG24))</f>
        <v>OK
ESTADO DE POSTVENTAS:  POSTVENTA CORREGIDA</v>
      </c>
      <c r="AJ23" s="70" t="str">
        <f>+IF(GENERAL!AI24=GENERAL!$AI$2,GENERAL!$AI$2,CONCATENATE(OBSERVACIONES!AH23,"
ESTADO DE POSTVENTAS:  ",GENERAL!AI24))</f>
        <v>DETALLE PINTURA
ESTADO DE POSTVENTAS:  TIENE POSTVENTA</v>
      </c>
      <c r="AK23" s="51" t="str">
        <f>+IF(GENERAL!AJ24=GENERAL!$AI$2,GENERAL!$AI$2,CONCATENATE(OBSERVACIONES!AI23,"
ESTADO DE POSTVENTAS:  ",GENERAL!AJ24))</f>
        <v>OK
ESTADO DE POSTVENTAS:  POSTVENTA CORREGIDA</v>
      </c>
      <c r="AL23" s="70" t="str">
        <f>+IF(GENERAL!AK24=GENERAL!$AI$2,GENERAL!$AI$2,CONCATENATE(OBSERVACIONES!AJ23,"
ESTADO DE POSTVENTAS:  ",GENERAL!AK24))</f>
        <v>DETALLE PINTURAS
ESTADO DE POSTVENTAS:  TIENE POSTVENTA</v>
      </c>
      <c r="AM23" s="51" t="str">
        <f>+IF(GENERAL!AN24=GENERAL!$AI$2,GENERAL!$AI$2,CONCATENATE(OBSERVACIONES!AM23,"
ESTADO DE POSTVENTAS:  ",GENERAL!AN24))</f>
        <v>OK
ESTADO DE POSTVENTAS:  POSTVENTA CORREGIDA</v>
      </c>
      <c r="AN23" s="37">
        <v>2</v>
      </c>
      <c r="AO23" s="37">
        <v>9</v>
      </c>
      <c r="AP23" s="37">
        <v>3</v>
      </c>
      <c r="AQ23" s="37">
        <v>3</v>
      </c>
      <c r="AR23" s="43">
        <v>12</v>
      </c>
      <c r="AS23" s="40">
        <v>11</v>
      </c>
      <c r="AT23" s="37">
        <f>COUNTIFS($D$5:$AM$5,"&lt;&gt;"&amp;CODICIONALES!$A$1,$D$5:$AM$5,"&lt;&gt;"&amp;CODICIONALES!$A$2,$D$5:$AM$5,"&lt;&gt;"&amp;CODICIONALES!$B$2,$D$5:$AM$5,"&lt;&gt;"&amp;CODICIONALES!$C$2)</f>
        <v>6</v>
      </c>
      <c r="AU23" s="43">
        <f>COUNTIFS(D23:AM23,CODICIONALES!$A$2)</f>
        <v>22</v>
      </c>
      <c r="AV23" s="40">
        <f t="shared" si="0"/>
        <v>8</v>
      </c>
    </row>
    <row r="24" spans="1:48" ht="51" customHeight="1" x14ac:dyDescent="0.25">
      <c r="A24" s="110" t="s">
        <v>66</v>
      </c>
      <c r="B24" s="2">
        <v>20</v>
      </c>
      <c r="C24" s="23" t="s">
        <v>45</v>
      </c>
      <c r="D24" s="51" t="str">
        <f>+IF(GENERAL!E25=GENERAL!$AI$2,GENERAL!$AI$2,CONCATENATE(OBSERVACIONES!D24,"
ESTADO DE POSTVENTAS:  ",GENERAL!E25))</f>
        <v>NO ENTREGADO
ESTADO DE POSTVENTAS:  TIENE POSTVENTA</v>
      </c>
      <c r="E24" s="51" t="str">
        <f>+IF(GENERAL!F25=GENERAL!$AI$2,GENERAL!$AI$2,CONCATENATE(OBSERVACIONES!E24,"
ESTADO DE POSTVENTAS:  ",GENERAL!F25))</f>
        <v>OK
ESTADO DE POSTVENTAS:  POSTVENTA CORREGIDA</v>
      </c>
      <c r="F24" s="51" t="str">
        <f>+IF(GENERAL!G25=GENERAL!$AI$2,GENERAL!$AI$2,CONCATENATE(OBSERVACIONES!F24,"
ESTADO DE POSTVENTAS:  ",GENERAL!G25))</f>
        <v>OK
ESTADO DE POSTVENTAS:  POSTVENTA CORREGIDA</v>
      </c>
      <c r="G24" s="51" t="str">
        <f>+IF(GENERAL!H25=GENERAL!$AI$2,GENERAL!$AI$2,CONCATENATE(OBSERVACIONES!G24,"
ESTADO DE POSTVENTAS:  ",GENERAL!H25))</f>
        <v>NO ENTREGADO
ESTADO DE POSTVENTAS:  TIENE POSTVENTA</v>
      </c>
      <c r="H24" s="51" t="str">
        <f>+IF(GENERAL!I25=GENERAL!$AI$2,GENERAL!$AI$2,CONCATENATE(OBSERVACIONES!H24,"
ESTADO DE POSTVENTAS:  ",GENERAL!I25))</f>
        <v>OK
ESTADO DE POSTVENTAS:  POSTVENTA CORREGIDA</v>
      </c>
      <c r="I24" s="51" t="str">
        <f>+IF(GENERAL!J25=GENERAL!$AI$2,GENERAL!$AI$2,CONCATENATE(OBSERVACIONES!I24,"
ESTADO DE POSTVENTAS:  ",GENERAL!J25))</f>
        <v>OK
ESTADO DE POSTVENTAS:  POSTVENTA CORREGIDA</v>
      </c>
      <c r="J24" s="51" t="str">
        <f>+IF(GENERAL!K25=GENERAL!$AI$2,GENERAL!$AI$2,CONCATENATE(OBSERVACIONES!J24,"
ESTADO DE POSTVENTAS:  ",GENERAL!K25))</f>
        <v>OK
ESTADO DE POSTVENTAS:  POSTVENTA CORREGIDA</v>
      </c>
      <c r="K24" s="51" t="str">
        <f>+IF(GENERAL!L25=GENERAL!$AI$2,GENERAL!$AI$2,CONCATENATE(OBSERVACIONES!K24,"
ESTADO DE POSTVENTAS:  ",GENERAL!L25))</f>
        <v>OK
ESTADO DE POSTVENTAS:  POSTVENTA CORREGIDA</v>
      </c>
      <c r="L24" s="51" t="str">
        <f>+IF(GENERAL!M25=GENERAL!$AI$2,GENERAL!$AI$2,CONCATENATE(OBSERVACIONES!L24,"
ESTADO DE POSTVENTAS:  ",GENERAL!M25))</f>
        <v>OK
ESTADO DE POSTVENTAS:  POSTVENTA CORREGIDA</v>
      </c>
      <c r="M24" s="70" t="str">
        <f>+IF(GENERAL!N25=GENERAL!$AI$2,GENERAL!$AI$2,CONCATENATE(OBSERVACIONES!M24,"
ESTADO DE POSTVENTAS:  ",GENERAL!N25))</f>
        <v>OK
ESTADO DE POSTVENTAS:  POSTVENTA CORREGIDA</v>
      </c>
      <c r="N24" s="51" t="str">
        <f>+IF(GENERAL!O25=GENERAL!$AI$2,GENERAL!$AI$2,CONCATENATE(OBSERVACIONES!N24,"
ESTADO DE POSTVENTAS:  ",GENERAL!O25))</f>
        <v>OK
ESTADO DE POSTVENTAS:  POSTVENTA CORREGIDA</v>
      </c>
      <c r="O24" s="51" t="str">
        <f>+IF(GENERAL!P25=GENERAL!$AI$2,GENERAL!$AI$2,CONCATENATE(OBSERVACIONES!O24,"
ESTADO DE POSTVENTAS:  ",GENERAL!P25))</f>
        <v>OK
ESTADO DE POSTVENTAS:  POSTVENTA CORREGIDA</v>
      </c>
      <c r="P24" s="70" t="str">
        <f>+IF(GENERAL!Q25=GENERAL!$AI$2,GENERAL!$AI$2,CONCATENATE(OBSERVACIONES!P24,"
ESTADO DE POSTVENTAS:  ",GENERAL!Q25))</f>
        <v>OK
ESTADO DE POSTVENTAS:  POSTVENTA CORREGIDA</v>
      </c>
      <c r="Q24" s="70" t="str">
        <f>+IF(GENERAL!R25=GENERAL!$AI$2,GENERAL!$AI$2,CONCATENATE(OBSERVACIONES!Q24,"
ESTADO DE POSTVENTAS:  ",GENERAL!R25))</f>
        <v>OK
ESTADO DE POSTVENTAS:  POSTVENTA CORREGIDA</v>
      </c>
      <c r="R24" s="51" t="str">
        <f>+IF(GENERAL!S25=GENERAL!$AI$2,GENERAL!$AI$2,CONCATENATE(OBSERVACIONES!R24,"
ESTADO DE POSTVENTAS:  ",GENERAL!S25))</f>
        <v>OK
ESTADO DE POSTVENTAS:  POSTVENTA CORREGIDA</v>
      </c>
      <c r="S24" s="51" t="str">
        <f>+IF(GENERAL!T25=GENERAL!$AI$2,GENERAL!$AI$2,CONCATENATE(OBSERVACIONES!S24,"
ESTADO DE POSTVENTAS:  ",GENERAL!T25))</f>
        <v>OK
ESTADO DE POSTVENTAS:  POSTVENTA CORREGIDA</v>
      </c>
      <c r="T24" s="51" t="str">
        <f>+IF(GENERAL!U25=GENERAL!$AI$2,GENERAL!$AI$2,CONCATENATE(OBSERVACIONES!T24,"
ESTADO DE POSTVENTAS:  ",GENERAL!U25))</f>
        <v>OK
ESTADO DE POSTVENTAS:  POSTVENTA CORREGIDA</v>
      </c>
      <c r="U24" s="51" t="str">
        <f>+IF(GENERAL!V25=GENERAL!$AI$2,GENERAL!$AI$2,CONCATENATE(OBSERVACIONES!U24,"
ESTADO DE POSTVENTAS:  ",GENERAL!V25))</f>
        <v>OK
ESTADO DE POSTVENTAS:  POSTVENTA CORREGIDA</v>
      </c>
      <c r="V24" s="51" t="str">
        <f>+IF(GENERAL!W25=GENERAL!$AI$2,GENERAL!$AI$2,CONCATENATE(OBSERVACIONES!V24,"
ESTADO DE POSTVENTAS:  ",GENERAL!W25))</f>
        <v>OK
ESTADO DE POSTVENTAS:  POSTVENTA CORREGIDA</v>
      </c>
      <c r="W24" s="51" t="str">
        <f>+IF(GENERAL!V25=GENERAL!$AI$2,GENERAL!$AI$2,CONCATENATE(OBSERVACIONES!W24,"
ESTADO DE POSTVENTAS:  ",GENERAL!V25))</f>
        <v>OK
ESTADO DE POSTVENTAS:  POSTVENTA CORREGIDA</v>
      </c>
      <c r="X24" s="51" t="str">
        <f>+IF(GENERAL!W25=GENERAL!$AI$2,GENERAL!$AI$2,CONCATENATE(OBSERVACIONES!X24,"
ESTADO DE POSTVENTAS:  ",GENERAL!W25))</f>
        <v>OK
ESTADO DE POSTVENTAS:  POSTVENTA CORREGIDA</v>
      </c>
      <c r="Y24" s="51" t="str">
        <f>+IF(GENERAL!Z25=GENERAL!$AI$2,GENERAL!$AI$2,CONCATENATE(OBSERVACIONES!Y24,"
ESTADO DE POSTVENTAS:  ",GENERAL!Z25))</f>
        <v>OK
ESTADO DE POSTVENTAS:  POSTVENTA CORREGIDA</v>
      </c>
      <c r="Z24" s="51" t="str">
        <f>+IF(GENERAL!AA25=GENERAL!$AI$2,GENERAL!$AI$2,CONCATENATE(OBSERVACIONES!Z24,"
ESTADO DE POSTVENTAS:  ",GENERAL!AA25))</f>
        <v>OK
ESTADO DE POSTVENTAS:  POSTVENTA CORREGIDA</v>
      </c>
      <c r="AA24" s="51" t="str">
        <f>+IF(GENERAL!AB25=GENERAL!$AI$2,GENERAL!$AI$2,CONCATENATE(OBSERVACIONES!AA24,"
ESTADO DE POSTVENTAS:  ",GENERAL!AB25))</f>
        <v>OK
ESTADO DE POSTVENTAS:  POSTVENTA CORREGIDA</v>
      </c>
      <c r="AB24" s="51" t="str">
        <f>+IF(GENERAL!AC25=GENERAL!$AI$2,GENERAL!$AI$2,CONCATENATE(OBSERVACIONES!AB24,"
ESTADO DE POSTVENTAS:  ",GENERAL!AC25))</f>
        <v>OK
ESTADO DE POSTVENTAS:  POSTVENTA CORREGIDA</v>
      </c>
      <c r="AC24" s="51" t="str">
        <f>+IF(GENERAL!AD25=GENERAL!$AI$2,GENERAL!$AI$2,CONCATENATE(OBSERVACIONES!AC24,"
ESTADO DE POSTVENTAS:  ",GENERAL!AD25))</f>
        <v>OK
ESTADO DE POSTVENTAS:  POSTVENTA CORREGIDA</v>
      </c>
      <c r="AD24" s="51" t="str">
        <f>+IF(GENERAL!AE25=GENERAL!$AI$2,GENERAL!$AI$2,CONCATENATE(OBSERVACIONES!AD24,"
ESTADO DE POSTVENTAS:  ",GENERAL!AE25))</f>
        <v>OK
ESTADO DE POSTVENTAS:  POSTVENTA CORREGIDA</v>
      </c>
      <c r="AE24" s="51" t="str">
        <f>+IF(GENERAL!AF25=GENERAL!$AI$2,GENERAL!$AI$2,CONCATENATE(OBSERVACIONES!AE24,"
ESTADO DE POSTVENTAS:  ",GENERAL!AF25))</f>
        <v>OK
ESTADO DE POSTVENTAS:  POSTVENTA CORREGIDA</v>
      </c>
      <c r="AF24" s="51" t="str">
        <f>+IF(GENERAL!AG25=GENERAL!$AI$2,GENERAL!$AI$2,CONCATENATE(OBSERVACIONES!AF24,"
ESTADO DE POSTVENTAS:  ",GENERAL!AG25))</f>
        <v>OK
ESTADO DE POSTVENTAS:  POSTVENTA CORREGIDA</v>
      </c>
      <c r="AG24" s="51" t="str">
        <f>+IF(GENERAL!AH25=GENERAL!$AI$2,GENERAL!$AI$2,CONCATENATE(OBSERVACIONES!AG24,"
ESTADO DE POSTVENTAS:  ",GENERAL!AH25))</f>
        <v>OK
ESTADO DE POSTVENTAS:  POSTVENTA CORREGIDA</v>
      </c>
      <c r="AH24" s="51" t="str">
        <f>+IF(GENERAL!AI25=GENERAL!$AI$2,GENERAL!$AI$2,CONCATENATE(OBSERVACIONES!AH24,"
ESTADO DE POSTVENTAS:  ",GENERAL!AI25))</f>
        <v>OK
ESTADO DE POSTVENTAS:  POSTVENTA CORREGIDA</v>
      </c>
      <c r="AI24" s="51" t="str">
        <f>+IF(GENERAL!AG25=GENERAL!$AI$2,GENERAL!$AI$2,CONCATENATE(OBSERVACIONES!AF24,"
ESTADO DE POSTVENTAS:  ",GENERAL!AG25))</f>
        <v>OK
ESTADO DE POSTVENTAS:  POSTVENTA CORREGIDA</v>
      </c>
      <c r="AJ24" s="51" t="str">
        <f>+IF(GENERAL!AI25=GENERAL!$AI$2,GENERAL!$AI$2,CONCATENATE(OBSERVACIONES!AH24,"
ESTADO DE POSTVENTAS:  ",GENERAL!AI25))</f>
        <v>OK
ESTADO DE POSTVENTAS:  POSTVENTA CORREGIDA</v>
      </c>
      <c r="AK24" s="51" t="str">
        <f>+IF(GENERAL!AJ25=GENERAL!$AI$2,GENERAL!$AI$2,CONCATENATE(OBSERVACIONES!AI24,"
ESTADO DE POSTVENTAS:  ",GENERAL!AJ25))</f>
        <v>OK
ESTADO DE POSTVENTAS:  POSTVENTA CORREGIDA</v>
      </c>
      <c r="AL24" s="51" t="str">
        <f>+IF(GENERAL!AK25=GENERAL!$AI$2,GENERAL!$AI$2,CONCATENATE(OBSERVACIONES!AJ24,"
ESTADO DE POSTVENTAS:  ",GENERAL!AK25))</f>
        <v>OK
ESTADO DE POSTVENTAS:  POSTVENTA CORREGIDA</v>
      </c>
      <c r="AM24" s="51" t="str">
        <f>+IF(GENERAL!AN25=GENERAL!$AI$2,GENERAL!$AI$2,CONCATENATE(OBSERVACIONES!AM24,"
ESTADO DE POSTVENTAS:  ",GENERAL!AN25))</f>
        <v>OK
ESTADO DE POSTVENTAS:  POSTVENTA CORREGIDA</v>
      </c>
      <c r="AN24" s="37">
        <v>2</v>
      </c>
      <c r="AO24" s="37">
        <v>9</v>
      </c>
      <c r="AP24" s="37">
        <v>3</v>
      </c>
      <c r="AQ24" s="37">
        <v>0</v>
      </c>
      <c r="AR24" s="43">
        <v>14</v>
      </c>
      <c r="AS24" s="40">
        <v>12</v>
      </c>
      <c r="AT24" s="37">
        <f>COUNTIFS($D$5:$AM$5,"&lt;&gt;"&amp;CODICIONALES!$A$1,$D$5:$AM$5,"&lt;&gt;"&amp;CODICIONALES!$A$2,$D$5:$AM$5,"&lt;&gt;"&amp;CODICIONALES!$B$2,$D$5:$AM$5,"&lt;&gt;"&amp;CODICIONALES!$C$2)</f>
        <v>6</v>
      </c>
      <c r="AU24" s="43">
        <f>COUNTIFS(D24:AM24,CODICIONALES!$A$2)</f>
        <v>34</v>
      </c>
      <c r="AV24" s="40">
        <f t="shared" si="0"/>
        <v>-4</v>
      </c>
    </row>
    <row r="25" spans="1:48" ht="51" customHeight="1" x14ac:dyDescent="0.25">
      <c r="A25" s="110"/>
      <c r="B25" s="2">
        <v>21</v>
      </c>
      <c r="C25" s="21" t="s">
        <v>47</v>
      </c>
      <c r="D25" s="51" t="str">
        <f>+IF(GENERAL!E26=GENERAL!$AI$2,GENERAL!$AI$2,CONCATENATE(OBSERVACIONES!D25,"
ESTADO DE POSTVENTAS:  ",GENERAL!E26))</f>
        <v>NO ENTREGADO
ESTADO DE POSTVENTAS:  TIENE POSTVENTA</v>
      </c>
      <c r="E25" s="51" t="str">
        <f>+IF(GENERAL!F26=GENERAL!$AI$2,GENERAL!$AI$2,CONCATENATE(OBSERVACIONES!E25,"
ESTADO DE POSTVENTAS:  ",GENERAL!F26))</f>
        <v>OK
ESTADO DE POSTVENTAS:  POSTVENTA CORREGIDA</v>
      </c>
      <c r="F25" s="51" t="str">
        <f>+IF(GENERAL!G26=GENERAL!$AI$2,GENERAL!$AI$2,CONCATENATE(OBSERVACIONES!F25,"
ESTADO DE POSTVENTAS:  ",GENERAL!G26))</f>
        <v>OK
ESTADO DE POSTVENTAS:  POSTVENTA CORREGIDA</v>
      </c>
      <c r="G25" s="51" t="str">
        <f>+IF(GENERAL!H26=GENERAL!$AI$2,GENERAL!$AI$2,CONCATENATE(OBSERVACIONES!G25,"
ESTADO DE POSTVENTAS:  ",GENERAL!H26))</f>
        <v>NO ENTREGADO
ESTADO DE POSTVENTAS:  TIENE POSTVENTA</v>
      </c>
      <c r="H25" s="51" t="str">
        <f>+IF(GENERAL!I26=GENERAL!$AI$2,GENERAL!$AI$2,CONCATENATE(OBSERVACIONES!H25,"
ESTADO DE POSTVENTAS:  ",GENERAL!I26))</f>
        <v>OK
ESTADO DE POSTVENTAS:  POSTVENTA CORREGIDA</v>
      </c>
      <c r="I25" s="51" t="str">
        <f>+IF(GENERAL!J26=GENERAL!$AI$2,GENERAL!$AI$2,CONCATENATE(OBSERVACIONES!I25,"
ESTADO DE POSTVENTAS:  ",GENERAL!J26))</f>
        <v>OK
ESTADO DE POSTVENTAS:  POSTVENTA CORREGIDA</v>
      </c>
      <c r="J25" s="51" t="str">
        <f>+IF(GENERAL!K26=GENERAL!$AI$2,GENERAL!$AI$2,CONCATENATE(OBSERVACIONES!J25,"
ESTADO DE POSTVENTAS:  ",GENERAL!K26))</f>
        <v>OK
ESTADO DE POSTVENTAS:  POSTVENTA CORREGIDA</v>
      </c>
      <c r="K25" s="51" t="str">
        <f>+IF(GENERAL!L26=GENERAL!$AI$2,GENERAL!$AI$2,CONCATENATE(OBSERVACIONES!K25,"
ESTADO DE POSTVENTAS:  ",GENERAL!L26))</f>
        <v>OK
ESTADO DE POSTVENTAS:  POSTVENTA CORREGIDA</v>
      </c>
      <c r="L25" s="51" t="str">
        <f>+IF(GENERAL!M26=GENERAL!$AI$2,GENERAL!$AI$2,CONCATENATE(OBSERVACIONES!L25,"
ESTADO DE POSTVENTAS:  ",GENERAL!M26))</f>
        <v>OK
ESTADO DE POSTVENTAS:  POSTVENTA CORREGIDA</v>
      </c>
      <c r="M25" s="70" t="str">
        <f>+IF(GENERAL!N26=GENERAL!$AI$2,GENERAL!$AI$2,CONCATENATE(OBSERVACIONES!M25,"
ESTADO DE POSTVENTAS:  ",GENERAL!N26))</f>
        <v>OK
ESTADO DE POSTVENTAS:  POSTVENTA CORREGIDA</v>
      </c>
      <c r="N25" s="51" t="str">
        <f>+IF(GENERAL!O26=GENERAL!$AI$2,GENERAL!$AI$2,CONCATENATE(OBSERVACIONES!N25,"
ESTADO DE POSTVENTAS:  ",GENERAL!O26))</f>
        <v>OK
ESTADO DE POSTVENTAS:  POSTVENTA CORREGIDA</v>
      </c>
      <c r="O25" s="51" t="str">
        <f>+IF(GENERAL!P26=GENERAL!$AI$2,GENERAL!$AI$2,CONCATENATE(OBSERVACIONES!O25,"
ESTADO DE POSTVENTAS:  ",GENERAL!P26))</f>
        <v>OK
ESTADO DE POSTVENTAS:  POSTVENTA CORREGIDA</v>
      </c>
      <c r="P25" s="70" t="str">
        <f>+IF(GENERAL!Q26=GENERAL!$AI$2,GENERAL!$AI$2,CONCATENATE(OBSERVACIONES!P25,"
ESTADO DE POSTVENTAS:  ",GENERAL!Q26))</f>
        <v>OK
ESTADO DE POSTVENTAS:  POSTVENTA CORREGIDA</v>
      </c>
      <c r="Q25" s="70" t="str">
        <f>+IF(GENERAL!R26=GENERAL!$AI$2,GENERAL!$AI$2,CONCATENATE(OBSERVACIONES!Q25,"
ESTADO DE POSTVENTAS:  ",GENERAL!R26))</f>
        <v>OK
ESTADO DE POSTVENTAS:  POSTVENTA CORREGIDA</v>
      </c>
      <c r="R25" s="51" t="str">
        <f>+IF(GENERAL!S26=GENERAL!$AI$2,GENERAL!$AI$2,CONCATENATE(OBSERVACIONES!R25,"
ESTADO DE POSTVENTAS:  ",GENERAL!S26))</f>
        <v>OK
ESTADO DE POSTVENTAS:  POSTVENTA CORREGIDA</v>
      </c>
      <c r="S25" s="51" t="str">
        <f>+IF(GENERAL!T26=GENERAL!$AI$2,GENERAL!$AI$2,CONCATENATE(OBSERVACIONES!S25,"
ESTADO DE POSTVENTAS:  ",GENERAL!T26))</f>
        <v>OK
ESTADO DE POSTVENTAS:  POSTVENTA CORREGIDA</v>
      </c>
      <c r="T25" s="51" t="str">
        <f>+IF(GENERAL!U26=GENERAL!$AI$2,GENERAL!$AI$2,CONCATENATE(OBSERVACIONES!T25,"
ESTADO DE POSTVENTAS:  ",GENERAL!U26))</f>
        <v>OK
ESTADO DE POSTVENTAS:  POSTVENTA CORREGIDA</v>
      </c>
      <c r="U25" s="51" t="str">
        <f>+IF(GENERAL!V26=GENERAL!$AI$2,GENERAL!$AI$2,CONCATENATE(OBSERVACIONES!U25,"
ESTADO DE POSTVENTAS:  ",GENERAL!V26))</f>
        <v>OK
ESTADO DE POSTVENTAS:  POSTVENTA CORREGIDA</v>
      </c>
      <c r="V25" s="51" t="str">
        <f>+IF(GENERAL!W26=GENERAL!$AI$2,GENERAL!$AI$2,CONCATENATE(OBSERVACIONES!V25,"
ESTADO DE POSTVENTAS:  ",GENERAL!W26))</f>
        <v>OK
ESTADO DE POSTVENTAS:  POSTVENTA CORREGIDA</v>
      </c>
      <c r="W25" s="51" t="str">
        <f>+IF(GENERAL!V26=GENERAL!$AI$2,GENERAL!$AI$2,CONCATENATE(OBSERVACIONES!W25,"
ESTADO DE POSTVENTAS:  ",GENERAL!V26))</f>
        <v>OK
ESTADO DE POSTVENTAS:  POSTVENTA CORREGIDA</v>
      </c>
      <c r="X25" s="51" t="str">
        <f>+IF(GENERAL!W26=GENERAL!$AI$2,GENERAL!$AI$2,CONCATENATE(OBSERVACIONES!X25,"
ESTADO DE POSTVENTAS:  ",GENERAL!W26))</f>
        <v>OK
ESTADO DE POSTVENTAS:  POSTVENTA CORREGIDA</v>
      </c>
      <c r="Y25" s="51" t="str">
        <f>+IF(GENERAL!Z26=GENERAL!$AI$2,GENERAL!$AI$2,CONCATENATE(OBSERVACIONES!Y25,"
ESTADO DE POSTVENTAS:  ",GENERAL!Z26))</f>
        <v>OK
ESTADO DE POSTVENTAS:  POSTVENTA CORREGIDA</v>
      </c>
      <c r="Z25" s="51" t="str">
        <f>+IF(GENERAL!AA26=GENERAL!$AI$2,GENERAL!$AI$2,CONCATENATE(OBSERVACIONES!Z25,"
ESTADO DE POSTVENTAS:  ",GENERAL!AA26))</f>
        <v>OK
ESTADO DE POSTVENTAS:  POSTVENTA CORREGIDA</v>
      </c>
      <c r="AA25" s="51" t="str">
        <f>+IF(GENERAL!AB26=GENERAL!$AI$2,GENERAL!$AI$2,CONCATENATE(OBSERVACIONES!AA25,"
ESTADO DE POSTVENTAS:  ",GENERAL!AB26))</f>
        <v>OK
ESTADO DE POSTVENTAS:  POSTVENTA CORREGIDA</v>
      </c>
      <c r="AB25" s="51" t="str">
        <f>+IF(GENERAL!AC26=GENERAL!$AI$2,GENERAL!$AI$2,CONCATENATE(OBSERVACIONES!AB25,"
ESTADO DE POSTVENTAS:  ",GENERAL!AC26))</f>
        <v>OK
ESTADO DE POSTVENTAS:  POSTVENTA CORREGIDA</v>
      </c>
      <c r="AC25" s="51" t="str">
        <f>+IF(GENERAL!AD26=GENERAL!$AI$2,GENERAL!$AI$2,CONCATENATE(OBSERVACIONES!AC25,"
ESTADO DE POSTVENTAS:  ",GENERAL!AD26))</f>
        <v>OK
ESTADO DE POSTVENTAS:  POSTVENTA CORREGIDA</v>
      </c>
      <c r="AD25" s="51" t="str">
        <f>+IF(GENERAL!AE26=GENERAL!$AI$2,GENERAL!$AI$2,CONCATENATE(OBSERVACIONES!AD25,"
ESTADO DE POSTVENTAS:  ",GENERAL!AE26))</f>
        <v>OK
ESTADO DE POSTVENTAS:  POSTVENTA CORREGIDA</v>
      </c>
      <c r="AE25" s="51" t="str">
        <f>+IF(GENERAL!AF26=GENERAL!$AI$2,GENERAL!$AI$2,CONCATENATE(OBSERVACIONES!AE25,"
ESTADO DE POSTVENTAS:  ",GENERAL!AF26))</f>
        <v>OK
ESTADO DE POSTVENTAS:  POSTVENTA CORREGIDA</v>
      </c>
      <c r="AF25" s="51" t="str">
        <f>+IF(GENERAL!AG26=GENERAL!$AI$2,GENERAL!$AI$2,CONCATENATE(OBSERVACIONES!AF25,"
ESTADO DE POSTVENTAS:  ",GENERAL!AG26))</f>
        <v>OK
ESTADO DE POSTVENTAS:  POSTVENTA CORREGIDA</v>
      </c>
      <c r="AG25" s="51" t="str">
        <f>+IF(GENERAL!AH26=GENERAL!$AI$2,GENERAL!$AI$2,CONCATENATE(OBSERVACIONES!AG25,"
ESTADO DE POSTVENTAS:  ",GENERAL!AH26))</f>
        <v>OK
ESTADO DE POSTVENTAS:  POSTVENTA CORREGIDA</v>
      </c>
      <c r="AH25" s="51" t="str">
        <f>+IF(GENERAL!AI26=GENERAL!$AI$2,GENERAL!$AI$2,CONCATENATE(OBSERVACIONES!AH25,"
ESTADO DE POSTVENTAS:  ",GENERAL!AI26))</f>
        <v>OK
ESTADO DE POSTVENTAS:  POSTVENTA CORREGIDA</v>
      </c>
      <c r="AI25" s="51" t="str">
        <f>+IF(GENERAL!AG26=GENERAL!$AI$2,GENERAL!$AI$2,CONCATENATE(OBSERVACIONES!AF25,"
ESTADO DE POSTVENTAS:  ",GENERAL!AG26))</f>
        <v>OK
ESTADO DE POSTVENTAS:  POSTVENTA CORREGIDA</v>
      </c>
      <c r="AJ25" s="51" t="str">
        <f>+IF(GENERAL!AI26=GENERAL!$AI$2,GENERAL!$AI$2,CONCATENATE(OBSERVACIONES!AH25,"
ESTADO DE POSTVENTAS:  ",GENERAL!AI26))</f>
        <v>OK
ESTADO DE POSTVENTAS:  POSTVENTA CORREGIDA</v>
      </c>
      <c r="AK25" s="51" t="str">
        <f>+IF(GENERAL!AJ26=GENERAL!$AI$2,GENERAL!$AI$2,CONCATENATE(OBSERVACIONES!AI25,"
ESTADO DE POSTVENTAS:  ",GENERAL!AJ26))</f>
        <v>OK
ESTADO DE POSTVENTAS:  POSTVENTA CORREGIDA</v>
      </c>
      <c r="AL25" s="51" t="str">
        <f>+IF(GENERAL!AK26=GENERAL!$AI$2,GENERAL!$AI$2,CONCATENATE(OBSERVACIONES!AJ25,"
ESTADO DE POSTVENTAS:  ",GENERAL!AK26))</f>
        <v>OK
ESTADO DE POSTVENTAS:  POSTVENTA CORREGIDA</v>
      </c>
      <c r="AM25" s="51" t="str">
        <f>+IF(GENERAL!AN26=GENERAL!$AI$2,GENERAL!$AI$2,CONCATENATE(OBSERVACIONES!AM25,"
ESTADO DE POSTVENTAS:  ",GENERAL!AN26))</f>
        <v>OK
ESTADO DE POSTVENTAS:  POSTVENTA CORREGIDA</v>
      </c>
      <c r="AN25" s="37">
        <v>0</v>
      </c>
      <c r="AO25" s="37">
        <v>11</v>
      </c>
      <c r="AP25" s="37">
        <v>3</v>
      </c>
      <c r="AQ25" s="37">
        <v>0</v>
      </c>
      <c r="AR25" s="43">
        <v>14</v>
      </c>
      <c r="AS25" s="40">
        <v>12</v>
      </c>
      <c r="AT25" s="37">
        <f>COUNTIFS($D$5:$AM$5,"&lt;&gt;"&amp;CODICIONALES!$A$1,$D$5:$AM$5,"&lt;&gt;"&amp;CODICIONALES!$A$2,$D$5:$AM$5,"&lt;&gt;"&amp;CODICIONALES!$B$2,$D$5:$AM$5,"&lt;&gt;"&amp;CODICIONALES!$C$2)</f>
        <v>6</v>
      </c>
      <c r="AU25" s="43">
        <f>COUNTIFS(D25:AM25,CODICIONALES!$A$2)</f>
        <v>34</v>
      </c>
      <c r="AV25" s="40">
        <f t="shared" si="0"/>
        <v>-4</v>
      </c>
    </row>
    <row r="26" spans="1:48" ht="51" customHeight="1" x14ac:dyDescent="0.25">
      <c r="A26" s="110"/>
      <c r="B26" s="2">
        <v>22</v>
      </c>
      <c r="C26" s="21" t="s">
        <v>67</v>
      </c>
      <c r="D26" s="51" t="str">
        <f>+IF(GENERAL!E27=GENERAL!$AI$2,GENERAL!$AI$2,CONCATENATE(OBSERVACIONES!D26,"
ESTADO DE POSTVENTAS:  ",GENERAL!E27))</f>
        <v>NO ENTREGADO
ESTADO DE POSTVENTAS:  TIENE POSTVENTA</v>
      </c>
      <c r="E26" s="51" t="str">
        <f>+IF(GENERAL!F27=GENERAL!$AI$2,GENERAL!$AI$2,CONCATENATE(OBSERVACIONES!E26,"
ESTADO DE POSTVENTAS:  ",GENERAL!F27))</f>
        <v>OK
ESTADO DE POSTVENTAS:  POSTVENTA CORREGIDA</v>
      </c>
      <c r="F26" s="51" t="str">
        <f>+IF(GENERAL!G27=GENERAL!$AI$2,GENERAL!$AI$2,CONCATENATE(OBSERVACIONES!F26,"
ESTADO DE POSTVENTAS:  ",GENERAL!G27))</f>
        <v>OK
ESTADO DE POSTVENTAS:  POSTVENTA CORREGIDA</v>
      </c>
      <c r="G26" s="51" t="str">
        <f>+IF(GENERAL!H27=GENERAL!$AI$2,GENERAL!$AI$2,CONCATENATE(OBSERVACIONES!G26,"
ESTADO DE POSTVENTAS:  ",GENERAL!H27))</f>
        <v>NO ENTREGADO
ESTADO DE POSTVENTAS:  TIENE POSTVENTA</v>
      </c>
      <c r="H26" s="51" t="str">
        <f>+IF(GENERAL!I27=GENERAL!$AI$2,GENERAL!$AI$2,CONCATENATE(OBSERVACIONES!H26,"
ESTADO DE POSTVENTAS:  ",GENERAL!I27))</f>
        <v>OK
ESTADO DE POSTVENTAS:  POSTVENTA CORREGIDA</v>
      </c>
      <c r="I26" s="51" t="str">
        <f>+IF(GENERAL!J27=GENERAL!$AI$2,GENERAL!$AI$2,CONCATENATE(OBSERVACIONES!I26,"
ESTADO DE POSTVENTAS:  ",GENERAL!J27))</f>
        <v>OK
ESTADO DE POSTVENTAS:  POSTVENTA CORREGIDA</v>
      </c>
      <c r="J26" s="51" t="str">
        <f>+IF(GENERAL!K27=GENERAL!$AI$2,GENERAL!$AI$2,CONCATENATE(OBSERVACIONES!J26,"
ESTADO DE POSTVENTAS:  ",GENERAL!K27))</f>
        <v>OK
ESTADO DE POSTVENTAS:  POSTVENTA CORREGIDA</v>
      </c>
      <c r="K26" s="51" t="str">
        <f>+IF(GENERAL!L27=GENERAL!$AI$2,GENERAL!$AI$2,CONCATENATE(OBSERVACIONES!K26,"
ESTADO DE POSTVENTAS:  ",GENERAL!L27))</f>
        <v>OK
ESTADO DE POSTVENTAS:  POSTVENTA CORREGIDA</v>
      </c>
      <c r="L26" s="51" t="str">
        <f>+IF(GENERAL!M27=GENERAL!$AI$2,GENERAL!$AI$2,CONCATENATE(OBSERVACIONES!L26,"
ESTADO DE POSTVENTAS:  ",GENERAL!M27))</f>
        <v>OK
ESTADO DE POSTVENTAS:  POSTVENTA CORREGIDA</v>
      </c>
      <c r="M26" s="70" t="str">
        <f>+IF(GENERAL!N27=GENERAL!$AI$2,GENERAL!$AI$2,CONCATENATE(OBSERVACIONES!M26,"
ESTADO DE POSTVENTAS:  ",GENERAL!N27))</f>
        <v>OK
ESTADO DE POSTVENTAS:  POSTVENTA CORREGIDA</v>
      </c>
      <c r="N26" s="51" t="str">
        <f>+IF(GENERAL!O27=GENERAL!$AI$2,GENERAL!$AI$2,CONCATENATE(OBSERVACIONES!N26,"
ESTADO DE POSTVENTAS:  ",GENERAL!O27))</f>
        <v>OK
ESTADO DE POSTVENTAS:  POSTVENTA CORREGIDA</v>
      </c>
      <c r="O26" s="51" t="str">
        <f>+IF(GENERAL!P27=GENERAL!$AI$2,GENERAL!$AI$2,CONCATENATE(OBSERVACIONES!O26,"
ESTADO DE POSTVENTAS:  ",GENERAL!P27))</f>
        <v>OK
ESTADO DE POSTVENTAS:  POSTVENTA CORREGIDA</v>
      </c>
      <c r="P26" s="70" t="str">
        <f>+IF(GENERAL!Q27=GENERAL!$AI$2,GENERAL!$AI$2,CONCATENATE(OBSERVACIONES!P26,"
ESTADO DE POSTVENTAS:  ",GENERAL!Q27))</f>
        <v>OK
ESTADO DE POSTVENTAS:  POSTVENTA CORREGIDA</v>
      </c>
      <c r="Q26" s="70" t="str">
        <f>+IF(GENERAL!R27=GENERAL!$AI$2,GENERAL!$AI$2,CONCATENATE(OBSERVACIONES!Q26,"
ESTADO DE POSTVENTAS:  ",GENERAL!R27))</f>
        <v>OK
ESTADO DE POSTVENTAS:  POSTVENTA CORREGIDA</v>
      </c>
      <c r="R26" s="51" t="str">
        <f>+IF(GENERAL!S27=GENERAL!$AI$2,GENERAL!$AI$2,CONCATENATE(OBSERVACIONES!R26,"
ESTADO DE POSTVENTAS:  ",GENERAL!S27))</f>
        <v>OK
ESTADO DE POSTVENTAS:  POSTVENTA CORREGIDA</v>
      </c>
      <c r="S26" s="51" t="str">
        <f>+IF(GENERAL!T27=GENERAL!$AI$2,GENERAL!$AI$2,CONCATENATE(OBSERVACIONES!S26,"
ESTADO DE POSTVENTAS:  ",GENERAL!T27))</f>
        <v>OK
ESTADO DE POSTVENTAS:  POSTVENTA CORREGIDA</v>
      </c>
      <c r="T26" s="51" t="str">
        <f>+IF(GENERAL!U27=GENERAL!$AI$2,GENERAL!$AI$2,CONCATENATE(OBSERVACIONES!T26,"
ESTADO DE POSTVENTAS:  ",GENERAL!U27))</f>
        <v>OK
ESTADO DE POSTVENTAS:  POSTVENTA CORREGIDA</v>
      </c>
      <c r="U26" s="51" t="str">
        <f>+IF(GENERAL!V27=GENERAL!$AI$2,GENERAL!$AI$2,CONCATENATE(OBSERVACIONES!U26,"
ESTADO DE POSTVENTAS:  ",GENERAL!V27))</f>
        <v>OK
ESTADO DE POSTVENTAS:  POSTVENTA CORREGIDA</v>
      </c>
      <c r="V26" s="51" t="str">
        <f>+IF(GENERAL!W27=GENERAL!$AI$2,GENERAL!$AI$2,CONCATENATE(OBSERVACIONES!V26,"
ESTADO DE POSTVENTAS:  ",GENERAL!W27))</f>
        <v>OK
ESTADO DE POSTVENTAS:  POSTVENTA CORREGIDA</v>
      </c>
      <c r="W26" s="51" t="str">
        <f>+IF(GENERAL!V27=GENERAL!$AI$2,GENERAL!$AI$2,CONCATENATE(OBSERVACIONES!W26,"
ESTADO DE POSTVENTAS:  ",GENERAL!V27))</f>
        <v>OK
ESTADO DE POSTVENTAS:  POSTVENTA CORREGIDA</v>
      </c>
      <c r="X26" s="51" t="str">
        <f>+IF(GENERAL!W27=GENERAL!$AI$2,GENERAL!$AI$2,CONCATENATE(OBSERVACIONES!X26,"
ESTADO DE POSTVENTAS:  ",GENERAL!W27))</f>
        <v>OK
ESTADO DE POSTVENTAS:  POSTVENTA CORREGIDA</v>
      </c>
      <c r="Y26" s="51" t="str">
        <f>+IF(GENERAL!Z27=GENERAL!$AI$2,GENERAL!$AI$2,CONCATENATE(OBSERVACIONES!Y26,"
ESTADO DE POSTVENTAS:  ",GENERAL!Z27))</f>
        <v>OK
ESTADO DE POSTVENTAS:  POSTVENTA CORREGIDA</v>
      </c>
      <c r="Z26" s="51" t="str">
        <f>+IF(GENERAL!AA27=GENERAL!$AI$2,GENERAL!$AI$2,CONCATENATE(OBSERVACIONES!Z26,"
ESTADO DE POSTVENTAS:  ",GENERAL!AA27))</f>
        <v>OK
ESTADO DE POSTVENTAS:  POSTVENTA CORREGIDA</v>
      </c>
      <c r="AA26" s="51" t="str">
        <f>+IF(GENERAL!AB27=GENERAL!$AI$2,GENERAL!$AI$2,CONCATENATE(OBSERVACIONES!AA26,"
ESTADO DE POSTVENTAS:  ",GENERAL!AB27))</f>
        <v>OK
ESTADO DE POSTVENTAS:  POSTVENTA CORREGIDA</v>
      </c>
      <c r="AB26" s="51" t="str">
        <f>+IF(GENERAL!AC27=GENERAL!$AI$2,GENERAL!$AI$2,CONCATENATE(OBSERVACIONES!AB26,"
ESTADO DE POSTVENTAS:  ",GENERAL!AC27))</f>
        <v>OK
ESTADO DE POSTVENTAS:  POSTVENTA CORREGIDA</v>
      </c>
      <c r="AC26" s="51" t="str">
        <f>+IF(GENERAL!AD27=GENERAL!$AI$2,GENERAL!$AI$2,CONCATENATE(OBSERVACIONES!AC26,"
ESTADO DE POSTVENTAS:  ",GENERAL!AD27))</f>
        <v>OK
ESTADO DE POSTVENTAS:  POSTVENTA CORREGIDA</v>
      </c>
      <c r="AD26" s="51" t="str">
        <f>+IF(GENERAL!AE27=GENERAL!$AI$2,GENERAL!$AI$2,CONCATENATE(OBSERVACIONES!AD26,"
ESTADO DE POSTVENTAS:  ",GENERAL!AE27))</f>
        <v>OK
ESTADO DE POSTVENTAS:  POSTVENTA CORREGIDA</v>
      </c>
      <c r="AE26" s="51" t="str">
        <f>+IF(GENERAL!AF27=GENERAL!$AI$2,GENERAL!$AI$2,CONCATENATE(OBSERVACIONES!AE26,"
ESTADO DE POSTVENTAS:  ",GENERAL!AF27))</f>
        <v>OK
ESTADO DE POSTVENTAS:  POSTVENTA CORREGIDA</v>
      </c>
      <c r="AF26" s="51" t="str">
        <f>+IF(GENERAL!AG27=GENERAL!$AI$2,GENERAL!$AI$2,CONCATENATE(OBSERVACIONES!AF26,"
ESTADO DE POSTVENTAS:  ",GENERAL!AG27))</f>
        <v>OK
ESTADO DE POSTVENTAS:  POSTVENTA CORREGIDA</v>
      </c>
      <c r="AG26" s="51" t="str">
        <f>+IF(GENERAL!AH27=GENERAL!$AI$2,GENERAL!$AI$2,CONCATENATE(OBSERVACIONES!AG26,"
ESTADO DE POSTVENTAS:  ",GENERAL!AH27))</f>
        <v>OK
ESTADO DE POSTVENTAS:  POSTVENTA CORREGIDA</v>
      </c>
      <c r="AH26" s="51" t="str">
        <f>+IF(GENERAL!AI27=GENERAL!$AI$2,GENERAL!$AI$2,CONCATENATE(OBSERVACIONES!AH26,"
ESTADO DE POSTVENTAS:  ",GENERAL!AI27))</f>
        <v>OK
ESTADO DE POSTVENTAS:  POSTVENTA CORREGIDA</v>
      </c>
      <c r="AI26" s="51" t="str">
        <f>+IF(GENERAL!AG27=GENERAL!$AI$2,GENERAL!$AI$2,CONCATENATE(OBSERVACIONES!AF26,"
ESTADO DE POSTVENTAS:  ",GENERAL!AG27))</f>
        <v>OK
ESTADO DE POSTVENTAS:  POSTVENTA CORREGIDA</v>
      </c>
      <c r="AJ26" s="51" t="str">
        <f>+IF(GENERAL!AI27=GENERAL!$AI$2,GENERAL!$AI$2,CONCATENATE(OBSERVACIONES!AH26,"
ESTADO DE POSTVENTAS:  ",GENERAL!AI27))</f>
        <v>OK
ESTADO DE POSTVENTAS:  POSTVENTA CORREGIDA</v>
      </c>
      <c r="AK26" s="51" t="str">
        <f>+IF(GENERAL!AJ27=GENERAL!$AI$2,GENERAL!$AI$2,CONCATENATE(OBSERVACIONES!AI26,"
ESTADO DE POSTVENTAS:  ",GENERAL!AJ27))</f>
        <v>OK
ESTADO DE POSTVENTAS:  POSTVENTA CORREGIDA</v>
      </c>
      <c r="AL26" s="51" t="str">
        <f>+IF(GENERAL!AK27=GENERAL!$AI$2,GENERAL!$AI$2,CONCATENATE(OBSERVACIONES!AJ26,"
ESTADO DE POSTVENTAS:  ",GENERAL!AK27))</f>
        <v>OK
ESTADO DE POSTVENTAS:  POSTVENTA CORREGIDA</v>
      </c>
      <c r="AM26" s="51" t="str">
        <f>+IF(GENERAL!AN27=GENERAL!$AI$2,GENERAL!$AI$2,CONCATENATE(OBSERVACIONES!AM26,"
ESTADO DE POSTVENTAS:  ",GENERAL!AN27))</f>
        <v>OK
ESTADO DE POSTVENTAS:  POSTVENTA CORREGIDA</v>
      </c>
      <c r="AN26" s="37">
        <v>2</v>
      </c>
      <c r="AO26" s="37">
        <v>9</v>
      </c>
      <c r="AP26" s="37">
        <v>3</v>
      </c>
      <c r="AQ26" s="37">
        <v>0</v>
      </c>
      <c r="AR26" s="43">
        <v>14</v>
      </c>
      <c r="AS26" s="40">
        <v>12</v>
      </c>
      <c r="AT26" s="37">
        <f>COUNTIFS($D$5:$AM$5,"&lt;&gt;"&amp;CODICIONALES!$A$1,$D$5:$AM$5,"&lt;&gt;"&amp;CODICIONALES!$A$2,$D$5:$AM$5,"&lt;&gt;"&amp;CODICIONALES!$B$2,$D$5:$AM$5,"&lt;&gt;"&amp;CODICIONALES!$C$2)</f>
        <v>6</v>
      </c>
      <c r="AU26" s="43">
        <f>COUNTIFS(D26:AM26,CODICIONALES!$A$2)</f>
        <v>34</v>
      </c>
      <c r="AV26" s="40">
        <f t="shared" si="0"/>
        <v>-4</v>
      </c>
    </row>
    <row r="27" spans="1:48" ht="51" customHeight="1" x14ac:dyDescent="0.25">
      <c r="A27" s="110"/>
      <c r="B27" s="2">
        <v>23</v>
      </c>
      <c r="C27" s="21" t="s">
        <v>68</v>
      </c>
      <c r="D27" s="51" t="str">
        <f>+IF(GENERAL!E28=GENERAL!$AI$2,GENERAL!$AI$2,CONCATENATE(OBSERVACIONES!D27,"
ESTADO DE POSTVENTAS:  ",GENERAL!E28))</f>
        <v>NO ENTREGADO
ESTADO DE POSTVENTAS:  TIENE POSTVENTA</v>
      </c>
      <c r="E27" s="51" t="str">
        <f>+IF(GENERAL!F28=GENERAL!$AI$2,GENERAL!$AI$2,CONCATENATE(OBSERVACIONES!E27,"
ESTADO DE POSTVENTAS:  ",GENERAL!F28))</f>
        <v>OK
ESTADO DE POSTVENTAS:  POSTVENTA CORREGIDA</v>
      </c>
      <c r="F27" s="51" t="str">
        <f>+IF(GENERAL!G28=GENERAL!$AI$2,GENERAL!$AI$2,CONCATENATE(OBSERVACIONES!F27,"
ESTADO DE POSTVENTAS:  ",GENERAL!G28))</f>
        <v>OK
ESTADO DE POSTVENTAS:  POSTVENTA CORREGIDA</v>
      </c>
      <c r="G27" s="51" t="str">
        <f>+IF(GENERAL!H28=GENERAL!$AI$2,GENERAL!$AI$2,CONCATENATE(OBSERVACIONES!G27,"
ESTADO DE POSTVENTAS:  ",GENERAL!H28))</f>
        <v>NO ENTREGADO
ESTADO DE POSTVENTAS:  TIENE POSTVENTA</v>
      </c>
      <c r="H27" s="51" t="str">
        <f>+IF(GENERAL!I28=GENERAL!$AI$2,GENERAL!$AI$2,CONCATENATE(OBSERVACIONES!H27,"
ESTADO DE POSTVENTAS:  ",GENERAL!I28))</f>
        <v>OK
ESTADO DE POSTVENTAS:  POSTVENTA CORREGIDA</v>
      </c>
      <c r="I27" s="51" t="str">
        <f>+IF(GENERAL!J28=GENERAL!$AI$2,GENERAL!$AI$2,CONCATENATE(OBSERVACIONES!I27,"
ESTADO DE POSTVENTAS:  ",GENERAL!J28))</f>
        <v>OK
ESTADO DE POSTVENTAS:  POSTVENTA CORREGIDA</v>
      </c>
      <c r="J27" s="51" t="str">
        <f>+IF(GENERAL!K28=GENERAL!$AI$2,GENERAL!$AI$2,CONCATENATE(OBSERVACIONES!J27,"
ESTADO DE POSTVENTAS:  ",GENERAL!K28))</f>
        <v>OK
ESTADO DE POSTVENTAS:  POSTVENTA CORREGIDA</v>
      </c>
      <c r="K27" s="51" t="str">
        <f>+IF(GENERAL!L28=GENERAL!$AI$2,GENERAL!$AI$2,CONCATENATE(OBSERVACIONES!K27,"
ESTADO DE POSTVENTAS:  ",GENERAL!L28))</f>
        <v>OK
ESTADO DE POSTVENTAS:  POSTVENTA CORREGIDA</v>
      </c>
      <c r="L27" s="51" t="str">
        <f>+IF(GENERAL!M28=GENERAL!$AI$2,GENERAL!$AI$2,CONCATENATE(OBSERVACIONES!L27,"
ESTADO DE POSTVENTAS:  ",GENERAL!M28))</f>
        <v>OK
ESTADO DE POSTVENTAS:  POSTVENTA CORREGIDA</v>
      </c>
      <c r="M27" s="70" t="str">
        <f>+IF(GENERAL!N28=GENERAL!$AI$2,GENERAL!$AI$2,CONCATENATE(OBSERVACIONES!M27,"
ESTADO DE POSTVENTAS:  ",GENERAL!N28))</f>
        <v>OK
ESTADO DE POSTVENTAS:  POSTVENTA CORREGIDA</v>
      </c>
      <c r="N27" s="51" t="str">
        <f>+IF(GENERAL!O28=GENERAL!$AI$2,GENERAL!$AI$2,CONCATENATE(OBSERVACIONES!N27,"
ESTADO DE POSTVENTAS:  ",GENERAL!O28))</f>
        <v>OK
ESTADO DE POSTVENTAS:  POSTVENTA CORREGIDA</v>
      </c>
      <c r="O27" s="51" t="str">
        <f>+IF(GENERAL!P28=GENERAL!$AI$2,GENERAL!$AI$2,CONCATENATE(OBSERVACIONES!O27,"
ESTADO DE POSTVENTAS:  ",GENERAL!P28))</f>
        <v>OK
ESTADO DE POSTVENTAS:  POSTVENTA CORREGIDA</v>
      </c>
      <c r="P27" s="70" t="str">
        <f>+IF(GENERAL!Q28=GENERAL!$AI$2,GENERAL!$AI$2,CONCATENATE(OBSERVACIONES!P27,"
ESTADO DE POSTVENTAS:  ",GENERAL!Q28))</f>
        <v>OK
ESTADO DE POSTVENTAS:  POSTVENTA CORREGIDA</v>
      </c>
      <c r="Q27" s="70" t="str">
        <f>+IF(GENERAL!R28=GENERAL!$AI$2,GENERAL!$AI$2,CONCATENATE(OBSERVACIONES!Q27,"
ESTADO DE POSTVENTAS:  ",GENERAL!R28))</f>
        <v>OK
ESTADO DE POSTVENTAS:  POSTVENTA CORREGIDA</v>
      </c>
      <c r="R27" s="51" t="str">
        <f>+IF(GENERAL!S28=GENERAL!$AI$2,GENERAL!$AI$2,CONCATENATE(OBSERVACIONES!R27,"
ESTADO DE POSTVENTAS:  ",GENERAL!S28))</f>
        <v>OK
ESTADO DE POSTVENTAS:  POSTVENTA CORREGIDA</v>
      </c>
      <c r="S27" s="51" t="str">
        <f>+IF(GENERAL!T28=GENERAL!$AI$2,GENERAL!$AI$2,CONCATENATE(OBSERVACIONES!S27,"
ESTADO DE POSTVENTAS:  ",GENERAL!T28))</f>
        <v>OK
ESTADO DE POSTVENTAS:  POSTVENTA CORREGIDA</v>
      </c>
      <c r="T27" s="51" t="str">
        <f>+IF(GENERAL!U28=GENERAL!$AI$2,GENERAL!$AI$2,CONCATENATE(OBSERVACIONES!T27,"
ESTADO DE POSTVENTAS:  ",GENERAL!U28))</f>
        <v>OK
ESTADO DE POSTVENTAS:  POSTVENTA CORREGIDA</v>
      </c>
      <c r="U27" s="51" t="str">
        <f>+IF(GENERAL!V28=GENERAL!$AI$2,GENERAL!$AI$2,CONCATENATE(OBSERVACIONES!U27,"
ESTADO DE POSTVENTAS:  ",GENERAL!V28))</f>
        <v>OK
ESTADO DE POSTVENTAS:  POSTVENTA CORREGIDA</v>
      </c>
      <c r="V27" s="51" t="str">
        <f>+IF(GENERAL!W28=GENERAL!$AI$2,GENERAL!$AI$2,CONCATENATE(OBSERVACIONES!V27,"
ESTADO DE POSTVENTAS:  ",GENERAL!W28))</f>
        <v>OK
ESTADO DE POSTVENTAS:  POSTVENTA CORREGIDA</v>
      </c>
      <c r="W27" s="51" t="str">
        <f>+IF(GENERAL!V28=GENERAL!$AI$2,GENERAL!$AI$2,CONCATENATE(OBSERVACIONES!W27,"
ESTADO DE POSTVENTAS:  ",GENERAL!V28))</f>
        <v>OK
ESTADO DE POSTVENTAS:  POSTVENTA CORREGIDA</v>
      </c>
      <c r="X27" s="51" t="str">
        <f>+IF(GENERAL!W28=GENERAL!$AI$2,GENERAL!$AI$2,CONCATENATE(OBSERVACIONES!X27,"
ESTADO DE POSTVENTAS:  ",GENERAL!W28))</f>
        <v>OK
ESTADO DE POSTVENTAS:  POSTVENTA CORREGIDA</v>
      </c>
      <c r="Y27" s="51" t="str">
        <f>+IF(GENERAL!Z28=GENERAL!$AI$2,GENERAL!$AI$2,CONCATENATE(OBSERVACIONES!Y27,"
ESTADO DE POSTVENTAS:  ",GENERAL!Z28))</f>
        <v>OK
ESTADO DE POSTVENTAS:  POSTVENTA CORREGIDA</v>
      </c>
      <c r="Z27" s="51" t="str">
        <f>+IF(GENERAL!AA28=GENERAL!$AI$2,GENERAL!$AI$2,CONCATENATE(OBSERVACIONES!Z27,"
ESTADO DE POSTVENTAS:  ",GENERAL!AA28))</f>
        <v>OK
ESTADO DE POSTVENTAS:  POSTVENTA CORREGIDA</v>
      </c>
      <c r="AA27" s="51" t="str">
        <f>+IF(GENERAL!AB28=GENERAL!$AI$2,GENERAL!$AI$2,CONCATENATE(OBSERVACIONES!AA27,"
ESTADO DE POSTVENTAS:  ",GENERAL!AB28))</f>
        <v>OK
ESTADO DE POSTVENTAS:  POSTVENTA CORREGIDA</v>
      </c>
      <c r="AB27" s="51" t="str">
        <f>+IF(GENERAL!AC28=GENERAL!$AI$2,GENERAL!$AI$2,CONCATENATE(OBSERVACIONES!AB27,"
ESTADO DE POSTVENTAS:  ",GENERAL!AC28))</f>
        <v>OK
ESTADO DE POSTVENTAS:  POSTVENTA CORREGIDA</v>
      </c>
      <c r="AC27" s="51" t="str">
        <f>+IF(GENERAL!AD28=GENERAL!$AI$2,GENERAL!$AI$2,CONCATENATE(OBSERVACIONES!AC27,"
ESTADO DE POSTVENTAS:  ",GENERAL!AD28))</f>
        <v>OK
ESTADO DE POSTVENTAS:  POSTVENTA CORREGIDA</v>
      </c>
      <c r="AD27" s="51" t="str">
        <f>+IF(GENERAL!AE28=GENERAL!$AI$2,GENERAL!$AI$2,CONCATENATE(OBSERVACIONES!AD27,"
ESTADO DE POSTVENTAS:  ",GENERAL!AE28))</f>
        <v>OK
ESTADO DE POSTVENTAS:  POSTVENTA CORREGIDA</v>
      </c>
      <c r="AE27" s="51" t="str">
        <f>+IF(GENERAL!AF28=GENERAL!$AI$2,GENERAL!$AI$2,CONCATENATE(OBSERVACIONES!AE27,"
ESTADO DE POSTVENTAS:  ",GENERAL!AF28))</f>
        <v>OK
ESTADO DE POSTVENTAS:  POSTVENTA CORREGIDA</v>
      </c>
      <c r="AF27" s="51" t="str">
        <f>+IF(GENERAL!AG28=GENERAL!$AI$2,GENERAL!$AI$2,CONCATENATE(OBSERVACIONES!AF27,"
ESTADO DE POSTVENTAS:  ",GENERAL!AG28))</f>
        <v>OK
ESTADO DE POSTVENTAS:  POSTVENTA CORREGIDA</v>
      </c>
      <c r="AG27" s="51" t="str">
        <f>+IF(GENERAL!AH28=GENERAL!$AI$2,GENERAL!$AI$2,CONCATENATE(OBSERVACIONES!AG27,"
ESTADO DE POSTVENTAS:  ",GENERAL!AH28))</f>
        <v>OK
ESTADO DE POSTVENTAS:  POSTVENTA CORREGIDA</v>
      </c>
      <c r="AH27" s="51" t="str">
        <f>+IF(GENERAL!AI28=GENERAL!$AI$2,GENERAL!$AI$2,CONCATENATE(OBSERVACIONES!AH27,"
ESTADO DE POSTVENTAS:  ",GENERAL!AI28))</f>
        <v>OK
ESTADO DE POSTVENTAS:  POSTVENTA CORREGIDA</v>
      </c>
      <c r="AI27" s="51" t="str">
        <f>+IF(GENERAL!AG28=GENERAL!$AI$2,GENERAL!$AI$2,CONCATENATE(OBSERVACIONES!AF27,"
ESTADO DE POSTVENTAS:  ",GENERAL!AG28))</f>
        <v>OK
ESTADO DE POSTVENTAS:  POSTVENTA CORREGIDA</v>
      </c>
      <c r="AJ27" s="51" t="str">
        <f>+IF(GENERAL!AI28=GENERAL!$AI$2,GENERAL!$AI$2,CONCATENATE(OBSERVACIONES!AH27,"
ESTADO DE POSTVENTAS:  ",GENERAL!AI28))</f>
        <v>OK
ESTADO DE POSTVENTAS:  POSTVENTA CORREGIDA</v>
      </c>
      <c r="AK27" s="51" t="str">
        <f>+IF(GENERAL!AJ28=GENERAL!$AI$2,GENERAL!$AI$2,CONCATENATE(OBSERVACIONES!AI27,"
ESTADO DE POSTVENTAS:  ",GENERAL!AJ28))</f>
        <v>OK
ESTADO DE POSTVENTAS:  POSTVENTA CORREGIDA</v>
      </c>
      <c r="AL27" s="51" t="str">
        <f>+IF(GENERAL!AK28=GENERAL!$AI$2,GENERAL!$AI$2,CONCATENATE(OBSERVACIONES!AJ27,"
ESTADO DE POSTVENTAS:  ",GENERAL!AK28))</f>
        <v>OK
ESTADO DE POSTVENTAS:  POSTVENTA CORREGIDA</v>
      </c>
      <c r="AM27" s="51" t="str">
        <f>+IF(GENERAL!AN28=GENERAL!$AI$2,GENERAL!$AI$2,CONCATENATE(OBSERVACIONES!AM27,"
ESTADO DE POSTVENTAS:  ",GENERAL!AN28))</f>
        <v>OK
ESTADO DE POSTVENTAS:  POSTVENTA CORREGIDA</v>
      </c>
      <c r="AN27" s="37">
        <v>2</v>
      </c>
      <c r="AO27" s="37">
        <v>9</v>
      </c>
      <c r="AP27" s="37">
        <v>3</v>
      </c>
      <c r="AQ27" s="37">
        <v>0</v>
      </c>
      <c r="AR27" s="43">
        <v>14</v>
      </c>
      <c r="AS27" s="40">
        <v>12</v>
      </c>
      <c r="AT27" s="37">
        <f>COUNTIFS($D$5:$AM$5,"&lt;&gt;"&amp;CODICIONALES!$A$1,$D$5:$AM$5,"&lt;&gt;"&amp;CODICIONALES!$A$2,$D$5:$AM$5,"&lt;&gt;"&amp;CODICIONALES!$B$2,$D$5:$AM$5,"&lt;&gt;"&amp;CODICIONALES!$C$2)</f>
        <v>6</v>
      </c>
      <c r="AU27" s="43">
        <f>COUNTIFS(D27:AM27,CODICIONALES!$A$2)</f>
        <v>34</v>
      </c>
      <c r="AV27" s="40">
        <f t="shared" si="0"/>
        <v>-4</v>
      </c>
    </row>
    <row r="28" spans="1:48" ht="51" customHeight="1" x14ac:dyDescent="0.25">
      <c r="A28" s="110"/>
      <c r="B28" s="2">
        <v>24</v>
      </c>
      <c r="C28" s="21" t="s">
        <v>70</v>
      </c>
      <c r="D28" s="51" t="str">
        <f>+IF(GENERAL!E29=GENERAL!$AI$2,GENERAL!$AI$2,CONCATENATE(OBSERVACIONES!D28,"
ESTADO DE POSTVENTAS:  ",GENERAL!E29))</f>
        <v>NO ENTREGADO
ESTADO DE POSTVENTAS:  TIENE POSTVENTA</v>
      </c>
      <c r="E28" s="51" t="str">
        <f>+IF(GENERAL!F29=GENERAL!$AI$2,GENERAL!$AI$2,CONCATENATE(OBSERVACIONES!E28,"
ESTADO DE POSTVENTAS:  ",GENERAL!F29))</f>
        <v>OK
ESTADO DE POSTVENTAS:  POSTVENTA CORREGIDA</v>
      </c>
      <c r="F28" s="51" t="str">
        <f>+IF(GENERAL!G29=GENERAL!$AI$2,GENERAL!$AI$2,CONCATENATE(OBSERVACIONES!F28,"
ESTADO DE POSTVENTAS:  ",GENERAL!G29))</f>
        <v>OK
ESTADO DE POSTVENTAS:  POSTVENTA CORREGIDA</v>
      </c>
      <c r="G28" s="51" t="str">
        <f>+IF(GENERAL!H29=GENERAL!$AI$2,GENERAL!$AI$2,CONCATENATE(OBSERVACIONES!G28,"
ESTADO DE POSTVENTAS:  ",GENERAL!H29))</f>
        <v>NO ENTREGADO
ESTADO DE POSTVENTAS:  TIENE POSTVENTA</v>
      </c>
      <c r="H28" s="51" t="str">
        <f>+IF(GENERAL!I29=GENERAL!$AI$2,GENERAL!$AI$2,CONCATENATE(OBSERVACIONES!H28,"
ESTADO DE POSTVENTAS:  ",GENERAL!I29))</f>
        <v>OK
ESTADO DE POSTVENTAS:  POSTVENTA CORREGIDA</v>
      </c>
      <c r="I28" s="51" t="str">
        <f>+IF(GENERAL!J29=GENERAL!$AI$2,GENERAL!$AI$2,CONCATENATE(OBSERVACIONES!I28,"
ESTADO DE POSTVENTAS:  ",GENERAL!J29))</f>
        <v>OK
ESTADO DE POSTVENTAS:  POSTVENTA CORREGIDA</v>
      </c>
      <c r="J28" s="51" t="str">
        <f>+IF(GENERAL!K29=GENERAL!$AI$2,GENERAL!$AI$2,CONCATENATE(OBSERVACIONES!J28,"
ESTADO DE POSTVENTAS:  ",GENERAL!K29))</f>
        <v>OK
ESTADO DE POSTVENTAS:  POSTVENTA CORREGIDA</v>
      </c>
      <c r="K28" s="51" t="str">
        <f>+IF(GENERAL!L29=GENERAL!$AI$2,GENERAL!$AI$2,CONCATENATE(OBSERVACIONES!K28,"
ESTADO DE POSTVENTAS:  ",GENERAL!L29))</f>
        <v>OK
ESTADO DE POSTVENTAS:  POSTVENTA CORREGIDA</v>
      </c>
      <c r="L28" s="51" t="str">
        <f>+IF(GENERAL!M29=GENERAL!$AI$2,GENERAL!$AI$2,CONCATENATE(OBSERVACIONES!L28,"
ESTADO DE POSTVENTAS:  ",GENERAL!M29))</f>
        <v>OK
ESTADO DE POSTVENTAS:  POSTVENTA CORREGIDA</v>
      </c>
      <c r="M28" s="70" t="str">
        <f>+IF(GENERAL!N29=GENERAL!$AI$2,GENERAL!$AI$2,CONCATENATE(OBSERVACIONES!M28,"
ESTADO DE POSTVENTAS:  ",GENERAL!N29))</f>
        <v>OK
ESTADO DE POSTVENTAS:  POSTVENTA CORREGIDA</v>
      </c>
      <c r="N28" s="51" t="str">
        <f>+IF(GENERAL!O29=GENERAL!$AI$2,GENERAL!$AI$2,CONCATENATE(OBSERVACIONES!N28,"
ESTADO DE POSTVENTAS:  ",GENERAL!O29))</f>
        <v>OK
ESTADO DE POSTVENTAS:  POSTVENTA CORREGIDA</v>
      </c>
      <c r="O28" s="51" t="str">
        <f>+IF(GENERAL!P29=GENERAL!$AI$2,GENERAL!$AI$2,CONCATENATE(OBSERVACIONES!O28,"
ESTADO DE POSTVENTAS:  ",GENERAL!P29))</f>
        <v>OK
ESTADO DE POSTVENTAS:  POSTVENTA CORREGIDA</v>
      </c>
      <c r="P28" s="70" t="str">
        <f>+IF(GENERAL!Q29=GENERAL!$AI$2,GENERAL!$AI$2,CONCATENATE(OBSERVACIONES!P28,"
ESTADO DE POSTVENTAS:  ",GENERAL!Q29))</f>
        <v>OK
ESTADO DE POSTVENTAS:  POSTVENTA CORREGIDA</v>
      </c>
      <c r="Q28" s="70" t="str">
        <f>+IF(GENERAL!R29=GENERAL!$AI$2,GENERAL!$AI$2,CONCATENATE(OBSERVACIONES!Q28,"
ESTADO DE POSTVENTAS:  ",GENERAL!R29))</f>
        <v>OK
ESTADO DE POSTVENTAS:  POSTVENTA CORREGIDA</v>
      </c>
      <c r="R28" s="51" t="str">
        <f>+IF(GENERAL!S29=GENERAL!$AI$2,GENERAL!$AI$2,CONCATENATE(OBSERVACIONES!R28,"
ESTADO DE POSTVENTAS:  ",GENERAL!S29))</f>
        <v>OK
ESTADO DE POSTVENTAS:  POSTVENTA CORREGIDA</v>
      </c>
      <c r="S28" s="51" t="str">
        <f>+IF(GENERAL!T29=GENERAL!$AI$2,GENERAL!$AI$2,CONCATENATE(OBSERVACIONES!S28,"
ESTADO DE POSTVENTAS:  ",GENERAL!T29))</f>
        <v>OK
ESTADO DE POSTVENTAS:  POSTVENTA CORREGIDA</v>
      </c>
      <c r="T28" s="51" t="str">
        <f>+IF(GENERAL!U29=GENERAL!$AI$2,GENERAL!$AI$2,CONCATENATE(OBSERVACIONES!T28,"
ESTADO DE POSTVENTAS:  ",GENERAL!U29))</f>
        <v>OK
ESTADO DE POSTVENTAS:  POSTVENTA CORREGIDA</v>
      </c>
      <c r="U28" s="51" t="str">
        <f>+IF(GENERAL!V29=GENERAL!$AI$2,GENERAL!$AI$2,CONCATENATE(OBSERVACIONES!U28,"
ESTADO DE POSTVENTAS:  ",GENERAL!V29))</f>
        <v>OK
ESTADO DE POSTVENTAS:  POSTVENTA CORREGIDA</v>
      </c>
      <c r="V28" s="51" t="str">
        <f>+IF(GENERAL!W29=GENERAL!$AI$2,GENERAL!$AI$2,CONCATENATE(OBSERVACIONES!V28,"
ESTADO DE POSTVENTAS:  ",GENERAL!W29))</f>
        <v>OK
ESTADO DE POSTVENTAS:  POSTVENTA CORREGIDA</v>
      </c>
      <c r="W28" s="51" t="str">
        <f>+IF(GENERAL!V29=GENERAL!$AI$2,GENERAL!$AI$2,CONCATENATE(OBSERVACIONES!W28,"
ESTADO DE POSTVENTAS:  ",GENERAL!V29))</f>
        <v>OK
ESTADO DE POSTVENTAS:  POSTVENTA CORREGIDA</v>
      </c>
      <c r="X28" s="51" t="str">
        <f>+IF(GENERAL!W29=GENERAL!$AI$2,GENERAL!$AI$2,CONCATENATE(OBSERVACIONES!X28,"
ESTADO DE POSTVENTAS:  ",GENERAL!W29))</f>
        <v>OK
ESTADO DE POSTVENTAS:  POSTVENTA CORREGIDA</v>
      </c>
      <c r="Y28" s="51" t="str">
        <f>+IF(GENERAL!Z29=GENERAL!$AI$2,GENERAL!$AI$2,CONCATENATE(OBSERVACIONES!Y28,"
ESTADO DE POSTVENTAS:  ",GENERAL!Z29))</f>
        <v>OK
ESTADO DE POSTVENTAS:  POSTVENTA CORREGIDA</v>
      </c>
      <c r="Z28" s="51" t="str">
        <f>+IF(GENERAL!AA29=GENERAL!$AI$2,GENERAL!$AI$2,CONCATENATE(OBSERVACIONES!Z28,"
ESTADO DE POSTVENTAS:  ",GENERAL!AA29))</f>
        <v>OK
ESTADO DE POSTVENTAS:  POSTVENTA CORREGIDA</v>
      </c>
      <c r="AA28" s="51" t="str">
        <f>+IF(GENERAL!AB29=GENERAL!$AI$2,GENERAL!$AI$2,CONCATENATE(OBSERVACIONES!AA28,"
ESTADO DE POSTVENTAS:  ",GENERAL!AB29))</f>
        <v>OK
ESTADO DE POSTVENTAS:  POSTVENTA CORREGIDA</v>
      </c>
      <c r="AB28" s="51" t="str">
        <f>+IF(GENERAL!AC29=GENERAL!$AI$2,GENERAL!$AI$2,CONCATENATE(OBSERVACIONES!AB28,"
ESTADO DE POSTVENTAS:  ",GENERAL!AC29))</f>
        <v>OK
ESTADO DE POSTVENTAS:  POSTVENTA CORREGIDA</v>
      </c>
      <c r="AC28" s="51" t="str">
        <f>+IF(GENERAL!AD29=GENERAL!$AI$2,GENERAL!$AI$2,CONCATENATE(OBSERVACIONES!AC28,"
ESTADO DE POSTVENTAS:  ",GENERAL!AD29))</f>
        <v>OK
ESTADO DE POSTVENTAS:  POSTVENTA CORREGIDA</v>
      </c>
      <c r="AD28" s="51" t="str">
        <f>+IF(GENERAL!AE29=GENERAL!$AI$2,GENERAL!$AI$2,CONCATENATE(OBSERVACIONES!AD28,"
ESTADO DE POSTVENTAS:  ",GENERAL!AE29))</f>
        <v>OK
ESTADO DE POSTVENTAS:  POSTVENTA CORREGIDA</v>
      </c>
      <c r="AE28" s="51" t="str">
        <f>+IF(GENERAL!AF29=GENERAL!$AI$2,GENERAL!$AI$2,CONCATENATE(OBSERVACIONES!AE28,"
ESTADO DE POSTVENTAS:  ",GENERAL!AF29))</f>
        <v>OK
ESTADO DE POSTVENTAS:  POSTVENTA CORREGIDA</v>
      </c>
      <c r="AF28" s="51" t="str">
        <f>+IF(GENERAL!AG29=GENERAL!$AI$2,GENERAL!$AI$2,CONCATENATE(OBSERVACIONES!AF28,"
ESTADO DE POSTVENTAS:  ",GENERAL!AG29))</f>
        <v>OK
ESTADO DE POSTVENTAS:  POSTVENTA CORREGIDA</v>
      </c>
      <c r="AG28" s="51" t="str">
        <f>+IF(GENERAL!AH29=GENERAL!$AI$2,GENERAL!$AI$2,CONCATENATE(OBSERVACIONES!AG28,"
ESTADO DE POSTVENTAS:  ",GENERAL!AH29))</f>
        <v>DETALLE SILICONA Y CONEXIÓN
ESTADO DE POSTVENTAS:  TIENE POSTVENTA</v>
      </c>
      <c r="AH28" s="51" t="str">
        <f>+IF(GENERAL!AI29=GENERAL!$AI$2,GENERAL!$AI$2,CONCATENATE(OBSERVACIONES!AH28,"
ESTADO DE POSTVENTAS:  ",GENERAL!AI29))</f>
        <v>OK
ESTADO DE POSTVENTAS:  POSTVENTA CORREGIDA</v>
      </c>
      <c r="AI28" s="51" t="str">
        <f>+IF(GENERAL!AG29=GENERAL!$AI$2,GENERAL!$AI$2,CONCATENATE(OBSERVACIONES!AF28,"
ESTADO DE POSTVENTAS:  ",GENERAL!AG29))</f>
        <v>OK
ESTADO DE POSTVENTAS:  POSTVENTA CORREGIDA</v>
      </c>
      <c r="AJ28" s="51" t="str">
        <f>+IF(GENERAL!AI29=GENERAL!$AI$2,GENERAL!$AI$2,CONCATENATE(OBSERVACIONES!AH28,"
ESTADO DE POSTVENTAS:  ",GENERAL!AI29))</f>
        <v>OK
ESTADO DE POSTVENTAS:  POSTVENTA CORREGIDA</v>
      </c>
      <c r="AK28" s="51" t="str">
        <f>+IF(GENERAL!AJ29=GENERAL!$AI$2,GENERAL!$AI$2,CONCATENATE(OBSERVACIONES!AI28,"
ESTADO DE POSTVENTAS:  ",GENERAL!AJ29))</f>
        <v>OK
ESTADO DE POSTVENTAS:  POSTVENTA CORREGIDA</v>
      </c>
      <c r="AL28" s="51" t="str">
        <f>+IF(GENERAL!AK29=GENERAL!$AI$2,GENERAL!$AI$2,CONCATENATE(OBSERVACIONES!AJ28,"
ESTADO DE POSTVENTAS:  ",GENERAL!AK29))</f>
        <v>OK
ESTADO DE POSTVENTAS:  POSTVENTA CORREGIDA</v>
      </c>
      <c r="AM28" s="70" t="str">
        <f>+IF(GENERAL!AN29=GENERAL!$AI$2,GENERAL!$AI$2,CONCATENATE(OBSERVACIONES!AM28,"
ESTADO DE POSTVENTAS:  ",GENERAL!AN29))</f>
        <v>OK
ESTADO DE POSTVENTAS:  TIENE POSTVENTA</v>
      </c>
      <c r="AN28" s="37">
        <v>2</v>
      </c>
      <c r="AO28" s="37">
        <v>9</v>
      </c>
      <c r="AP28" s="37">
        <v>3</v>
      </c>
      <c r="AQ28" s="37">
        <v>0</v>
      </c>
      <c r="AR28" s="43">
        <v>14</v>
      </c>
      <c r="AS28" s="40">
        <v>12</v>
      </c>
      <c r="AT28" s="37">
        <f>COUNTIFS($D$5:$AM$5,"&lt;&gt;"&amp;CODICIONALES!$A$1,$D$5:$AM$5,"&lt;&gt;"&amp;CODICIONALES!$A$2,$D$5:$AM$5,"&lt;&gt;"&amp;CODICIONALES!$B$2,$D$5:$AM$5,"&lt;&gt;"&amp;CODICIONALES!$C$2)</f>
        <v>6</v>
      </c>
      <c r="AU28" s="43">
        <f>COUNTIFS(D28:AM28,CODICIONALES!$A$2)</f>
        <v>32</v>
      </c>
      <c r="AV28" s="40">
        <f t="shared" si="0"/>
        <v>-2</v>
      </c>
    </row>
    <row r="29" spans="1:48" ht="51" customHeight="1" x14ac:dyDescent="0.25">
      <c r="A29" s="110"/>
      <c r="B29" s="2">
        <v>25</v>
      </c>
      <c r="C29" s="21" t="s">
        <v>71</v>
      </c>
      <c r="D29" s="51" t="str">
        <f>+IF(GENERAL!E30=GENERAL!$AI$2,GENERAL!$AI$2,CONCATENATE(OBSERVACIONES!D29,"
ESTADO DE POSTVENTAS:  ",GENERAL!E30))</f>
        <v>NO ENTREGADO
ESTADO DE POSTVENTAS:  TIENE POSTVENTA</v>
      </c>
      <c r="E29" s="51" t="str">
        <f>+IF(GENERAL!F30=GENERAL!$AI$2,GENERAL!$AI$2,CONCATENATE(OBSERVACIONES!E29,"
ESTADO DE POSTVENTAS:  ",GENERAL!F30))</f>
        <v>OK
ESTADO DE POSTVENTAS:  POSTVENTA CORREGIDA</v>
      </c>
      <c r="F29" s="51" t="str">
        <f>+IF(GENERAL!G30=GENERAL!$AI$2,GENERAL!$AI$2,CONCATENATE(OBSERVACIONES!F29,"
ESTADO DE POSTVENTAS:  ",GENERAL!G30))</f>
        <v>OK
ESTADO DE POSTVENTAS:  POSTVENTA CORREGIDA</v>
      </c>
      <c r="G29" s="51" t="str">
        <f>+IF(GENERAL!H30=GENERAL!$AI$2,GENERAL!$AI$2,CONCATENATE(OBSERVACIONES!G29,"
ESTADO DE POSTVENTAS:  ",GENERAL!H30))</f>
        <v>NO ENTREGADO
ESTADO DE POSTVENTAS:  TIENE POSTVENTA</v>
      </c>
      <c r="H29" s="51" t="str">
        <f>+IF(GENERAL!I30=GENERAL!$AI$2,GENERAL!$AI$2,CONCATENATE(OBSERVACIONES!H29,"
ESTADO DE POSTVENTAS:  ",GENERAL!I30))</f>
        <v>OK
ESTADO DE POSTVENTAS:  POSTVENTA CORREGIDA</v>
      </c>
      <c r="I29" s="51" t="str">
        <f>+IF(GENERAL!J30=GENERAL!$AI$2,GENERAL!$AI$2,CONCATENATE(OBSERVACIONES!I29,"
ESTADO DE POSTVENTAS:  ",GENERAL!J30))</f>
        <v>OK
ESTADO DE POSTVENTAS:  POSTVENTA CORREGIDA</v>
      </c>
      <c r="J29" s="51" t="str">
        <f>+IF(GENERAL!K30=GENERAL!$AI$2,GENERAL!$AI$2,CONCATENATE(OBSERVACIONES!J29,"
ESTADO DE POSTVENTAS:  ",GENERAL!K30))</f>
        <v>OK
ESTADO DE POSTVENTAS:  POSTVENTA CORREGIDA</v>
      </c>
      <c r="K29" s="51" t="str">
        <f>+IF(GENERAL!L30=GENERAL!$AI$2,GENERAL!$AI$2,CONCATENATE(OBSERVACIONES!K29,"
ESTADO DE POSTVENTAS:  ",GENERAL!L30))</f>
        <v>OK
ESTADO DE POSTVENTAS:  POSTVENTA CORREGIDA</v>
      </c>
      <c r="L29" s="51" t="str">
        <f>+IF(GENERAL!M30=GENERAL!$AI$2,GENERAL!$AI$2,CONCATENATE(OBSERVACIONES!L29,"
ESTADO DE POSTVENTAS:  ",GENERAL!M30))</f>
        <v>OK
ESTADO DE POSTVENTAS:  POSTVENTA CORREGIDA</v>
      </c>
      <c r="M29" s="70" t="str">
        <f>+IF(GENERAL!N30=GENERAL!$AI$2,GENERAL!$AI$2,CONCATENATE(OBSERVACIONES!M29,"
ESTADO DE POSTVENTAS:  ",GENERAL!N30))</f>
        <v>OK
ESTADO DE POSTVENTAS:  POSTVENTA CORREGIDA</v>
      </c>
      <c r="N29" s="51" t="str">
        <f>+IF(GENERAL!O30=GENERAL!$AI$2,GENERAL!$AI$2,CONCATENATE(OBSERVACIONES!N29,"
ESTADO DE POSTVENTAS:  ",GENERAL!O30))</f>
        <v>OK
ESTADO DE POSTVENTAS:  POSTVENTA CORREGIDA</v>
      </c>
      <c r="O29" s="51" t="str">
        <f>+IF(GENERAL!P30=GENERAL!$AI$2,GENERAL!$AI$2,CONCATENATE(OBSERVACIONES!O29,"
ESTADO DE POSTVENTAS:  ",GENERAL!P30))</f>
        <v>OK
ESTADO DE POSTVENTAS:  POSTVENTA CORREGIDA</v>
      </c>
      <c r="P29" s="70" t="str">
        <f>+IF(GENERAL!Q30=GENERAL!$AI$2,GENERAL!$AI$2,CONCATENATE(OBSERVACIONES!P29,"
ESTADO DE POSTVENTAS:  ",GENERAL!Q30))</f>
        <v>OK
ESTADO DE POSTVENTAS:  POSTVENTA CORREGIDA</v>
      </c>
      <c r="Q29" s="70" t="str">
        <f>+IF(GENERAL!R30=GENERAL!$AI$2,GENERAL!$AI$2,CONCATENATE(OBSERVACIONES!Q29,"
ESTADO DE POSTVENTAS:  ",GENERAL!R30))</f>
        <v>OK
ESTADO DE POSTVENTAS:  POSTVENTA CORREGIDA</v>
      </c>
      <c r="R29" s="51" t="str">
        <f>+IF(GENERAL!S30=GENERAL!$AI$2,GENERAL!$AI$2,CONCATENATE(OBSERVACIONES!R29,"
ESTADO DE POSTVENTAS:  ",GENERAL!S30))</f>
        <v>OK
ESTADO DE POSTVENTAS:  POSTVENTA CORREGIDA</v>
      </c>
      <c r="S29" s="51" t="str">
        <f>+IF(GENERAL!T30=GENERAL!$AI$2,GENERAL!$AI$2,CONCATENATE(OBSERVACIONES!S29,"
ESTADO DE POSTVENTAS:  ",GENERAL!T30))</f>
        <v>OK
ESTADO DE POSTVENTAS:  POSTVENTA CORREGIDA</v>
      </c>
      <c r="T29" s="51" t="str">
        <f>+IF(GENERAL!U30=GENERAL!$AI$2,GENERAL!$AI$2,CONCATENATE(OBSERVACIONES!T29,"
ESTADO DE POSTVENTAS:  ",GENERAL!U30))</f>
        <v>OK
ESTADO DE POSTVENTAS:  POSTVENTA CORREGIDA</v>
      </c>
      <c r="U29" s="51" t="str">
        <f>+IF(GENERAL!V30=GENERAL!$AI$2,GENERAL!$AI$2,CONCATENATE(OBSERVACIONES!U29,"
ESTADO DE POSTVENTAS:  ",GENERAL!V30))</f>
        <v>OK
ESTADO DE POSTVENTAS:  POSTVENTA CORREGIDA</v>
      </c>
      <c r="V29" s="51" t="str">
        <f>+IF(GENERAL!W30=GENERAL!$AI$2,GENERAL!$AI$2,CONCATENATE(OBSERVACIONES!V29,"
ESTADO DE POSTVENTAS:  ",GENERAL!W30))</f>
        <v>OK
ESTADO DE POSTVENTAS:  POSTVENTA CORREGIDA</v>
      </c>
      <c r="W29" s="51" t="str">
        <f>+IF(GENERAL!V30=GENERAL!$AI$2,GENERAL!$AI$2,CONCATENATE(OBSERVACIONES!W29,"
ESTADO DE POSTVENTAS:  ",GENERAL!V30))</f>
        <v>OK
ESTADO DE POSTVENTAS:  POSTVENTA CORREGIDA</v>
      </c>
      <c r="X29" s="51" t="str">
        <f>+IF(GENERAL!W30=GENERAL!$AI$2,GENERAL!$AI$2,CONCATENATE(OBSERVACIONES!X29,"
ESTADO DE POSTVENTAS:  ",GENERAL!W30))</f>
        <v>OK
ESTADO DE POSTVENTAS:  POSTVENTA CORREGIDA</v>
      </c>
      <c r="Y29" s="51" t="str">
        <f>+IF(GENERAL!Z30=GENERAL!$AI$2,GENERAL!$AI$2,CONCATENATE(OBSERVACIONES!Y29,"
ESTADO DE POSTVENTAS:  ",GENERAL!Z30))</f>
        <v>OK
ESTADO DE POSTVENTAS:  POSTVENTA CORREGIDA</v>
      </c>
      <c r="Z29" s="51" t="str">
        <f>+IF(GENERAL!AA30=GENERAL!$AI$2,GENERAL!$AI$2,CONCATENATE(OBSERVACIONES!Z29,"
ESTADO DE POSTVENTAS:  ",GENERAL!AA30))</f>
        <v>OK
ESTADO DE POSTVENTAS:  POSTVENTA CORREGIDA</v>
      </c>
      <c r="AA29" s="51" t="str">
        <f>+IF(GENERAL!AB30=GENERAL!$AI$2,GENERAL!$AI$2,CONCATENATE(OBSERVACIONES!AA29,"
ESTADO DE POSTVENTAS:  ",GENERAL!AB30))</f>
        <v>OK
ESTADO DE POSTVENTAS:  POSTVENTA CORREGIDA</v>
      </c>
      <c r="AB29" s="51" t="str">
        <f>+IF(GENERAL!AC30=GENERAL!$AI$2,GENERAL!$AI$2,CONCATENATE(OBSERVACIONES!AB29,"
ESTADO DE POSTVENTAS:  ",GENERAL!AC30))</f>
        <v>OK
ESTADO DE POSTVENTAS:  POSTVENTA CORREGIDA</v>
      </c>
      <c r="AC29" s="51" t="str">
        <f>+IF(GENERAL!AD30=GENERAL!$AI$2,GENERAL!$AI$2,CONCATENATE(OBSERVACIONES!AC29,"
ESTADO DE POSTVENTAS:  ",GENERAL!AD30))</f>
        <v>OK
ESTADO DE POSTVENTAS:  POSTVENTA CORREGIDA</v>
      </c>
      <c r="AD29" s="51" t="str">
        <f>+IF(GENERAL!AE30=GENERAL!$AI$2,GENERAL!$AI$2,CONCATENATE(OBSERVACIONES!AD29,"
ESTADO DE POSTVENTAS:  ",GENERAL!AE30))</f>
        <v>OK
ESTADO DE POSTVENTAS:  POSTVENTA CORREGIDA</v>
      </c>
      <c r="AE29" s="51" t="str">
        <f>+IF(GENERAL!AF30=GENERAL!$AI$2,GENERAL!$AI$2,CONCATENATE(OBSERVACIONES!AE29,"
ESTADO DE POSTVENTAS:  ",GENERAL!AF30))</f>
        <v>OK
ESTADO DE POSTVENTAS:  POSTVENTA CORREGIDA</v>
      </c>
      <c r="AF29" s="51" t="str">
        <f>+IF(GENERAL!AG30=GENERAL!$AI$2,GENERAL!$AI$2,CONCATENATE(OBSERVACIONES!AF29,"
ESTADO DE POSTVENTAS:  ",GENERAL!AG30))</f>
        <v>OK
ESTADO DE POSTVENTAS:  POSTVENTA CORREGIDA</v>
      </c>
      <c r="AG29" s="51" t="str">
        <f>+IF(GENERAL!AH30=GENERAL!$AI$2,GENERAL!$AI$2,CONCATENATE(OBSERVACIONES!AG29,"
ESTADO DE POSTVENTAS:  ",GENERAL!AH30))</f>
        <v>OK
ESTADO DE POSTVENTAS:  POSTVENTA CORREGIDA</v>
      </c>
      <c r="AH29" s="51" t="str">
        <f>+IF(GENERAL!AI30=GENERAL!$AI$2,GENERAL!$AI$2,CONCATENATE(OBSERVACIONES!AH29,"
ESTADO DE POSTVENTAS:  ",GENERAL!AI30))</f>
        <v>OK
ESTADO DE POSTVENTAS:  POSTVENTA CORREGIDA</v>
      </c>
      <c r="AI29" s="51" t="str">
        <f>+IF(GENERAL!AG30=GENERAL!$AI$2,GENERAL!$AI$2,CONCATENATE(OBSERVACIONES!AF29,"
ESTADO DE POSTVENTAS:  ",GENERAL!AG30))</f>
        <v>OK
ESTADO DE POSTVENTAS:  POSTVENTA CORREGIDA</v>
      </c>
      <c r="AJ29" s="51" t="str">
        <f>+IF(GENERAL!AI30=GENERAL!$AI$2,GENERAL!$AI$2,CONCATENATE(OBSERVACIONES!AH29,"
ESTADO DE POSTVENTAS:  ",GENERAL!AI30))</f>
        <v>OK
ESTADO DE POSTVENTAS:  POSTVENTA CORREGIDA</v>
      </c>
      <c r="AK29" s="51" t="str">
        <f>+IF(GENERAL!AJ30=GENERAL!$AI$2,GENERAL!$AI$2,CONCATENATE(OBSERVACIONES!AI29,"
ESTADO DE POSTVENTAS:  ",GENERAL!AJ30))</f>
        <v>OK
ESTADO DE POSTVENTAS:  POSTVENTA CORREGIDA</v>
      </c>
      <c r="AL29" s="51" t="str">
        <f>+IF(GENERAL!AK30=GENERAL!$AI$2,GENERAL!$AI$2,CONCATENATE(OBSERVACIONES!AJ29,"
ESTADO DE POSTVENTAS:  ",GENERAL!AK30))</f>
        <v>OK
ESTADO DE POSTVENTAS:  POSTVENTA CORREGIDA</v>
      </c>
      <c r="AM29" s="51" t="str">
        <f>+IF(GENERAL!AN30=GENERAL!$AI$2,GENERAL!$AI$2,CONCATENATE(OBSERVACIONES!AM29,"
ESTADO DE POSTVENTAS:  ",GENERAL!AN30))</f>
        <v>OK
ESTADO DE POSTVENTAS:  POSTVENTA CORREGIDA</v>
      </c>
      <c r="AN29" s="37">
        <v>2</v>
      </c>
      <c r="AO29" s="37">
        <v>9</v>
      </c>
      <c r="AP29" s="37">
        <v>3</v>
      </c>
      <c r="AQ29" s="37">
        <v>1</v>
      </c>
      <c r="AR29" s="43">
        <v>13</v>
      </c>
      <c r="AS29" s="40">
        <v>12</v>
      </c>
      <c r="AT29" s="37">
        <f>COUNTIFS($D$5:$AM$5,"&lt;&gt;"&amp;CODICIONALES!$A$1,$D$5:$AM$5,"&lt;&gt;"&amp;CODICIONALES!$A$2,$D$5:$AM$5,"&lt;&gt;"&amp;CODICIONALES!$B$2,$D$5:$AM$5,"&lt;&gt;"&amp;CODICIONALES!$C$2)</f>
        <v>6</v>
      </c>
      <c r="AU29" s="43">
        <f>COUNTIFS(D29:AM29,CODICIONALES!$A$2)</f>
        <v>34</v>
      </c>
      <c r="AV29" s="40">
        <f t="shared" si="0"/>
        <v>-4</v>
      </c>
    </row>
    <row r="30" spans="1:48" ht="51" customHeight="1" x14ac:dyDescent="0.25">
      <c r="A30" s="110"/>
      <c r="B30" s="2">
        <v>26</v>
      </c>
      <c r="C30" s="21" t="s">
        <v>72</v>
      </c>
      <c r="D30" s="51" t="str">
        <f>+IF(GENERAL!E31=GENERAL!$AI$2,GENERAL!$AI$2,CONCATENATE(OBSERVACIONES!D30,"
ESTADO DE POSTVENTAS:  ",GENERAL!E31))</f>
        <v>NO ENTREGADO
ESTADO DE POSTVENTAS:  TIENE POSTVENTA</v>
      </c>
      <c r="E30" s="51" t="str">
        <f>+IF(GENERAL!F31=GENERAL!$AI$2,GENERAL!$AI$2,CONCATENATE(OBSERVACIONES!E30,"
ESTADO DE POSTVENTAS:  ",GENERAL!F31))</f>
        <v>OK
ESTADO DE POSTVENTAS:  POSTVENTA CORREGIDA</v>
      </c>
      <c r="F30" s="51" t="str">
        <f>+IF(GENERAL!G31=GENERAL!$AI$2,GENERAL!$AI$2,CONCATENATE(OBSERVACIONES!F30,"
ESTADO DE POSTVENTAS:  ",GENERAL!G31))</f>
        <v>OK
ESTADO DE POSTVENTAS:  POSTVENTA CORREGIDA</v>
      </c>
      <c r="G30" s="51" t="str">
        <f>+IF(GENERAL!H31=GENERAL!$AI$2,GENERAL!$AI$2,CONCATENATE(OBSERVACIONES!G30,"
ESTADO DE POSTVENTAS:  ",GENERAL!H31))</f>
        <v>NO ENTREGADO
ESTADO DE POSTVENTAS:  TIENE POSTVENTA</v>
      </c>
      <c r="H30" s="51" t="str">
        <f>+IF(GENERAL!I31=GENERAL!$AI$2,GENERAL!$AI$2,CONCATENATE(OBSERVACIONES!H30,"
ESTADO DE POSTVENTAS:  ",GENERAL!I31))</f>
        <v>OK
ESTADO DE POSTVENTAS:  POSTVENTA CORREGIDA</v>
      </c>
      <c r="I30" s="51" t="str">
        <f>+IF(GENERAL!J31=GENERAL!$AI$2,GENERAL!$AI$2,CONCATENATE(OBSERVACIONES!I30,"
ESTADO DE POSTVENTAS:  ",GENERAL!J31))</f>
        <v>OK
ESTADO DE POSTVENTAS:  POSTVENTA CORREGIDA</v>
      </c>
      <c r="J30" s="51" t="str">
        <f>+IF(GENERAL!K31=GENERAL!$AI$2,GENERAL!$AI$2,CONCATENATE(OBSERVACIONES!J30,"
ESTADO DE POSTVENTAS:  ",GENERAL!K31))</f>
        <v>OK
ESTADO DE POSTVENTAS:  POSTVENTA CORREGIDA</v>
      </c>
      <c r="K30" s="51" t="str">
        <f>+IF(GENERAL!L31=GENERAL!$AI$2,GENERAL!$AI$2,CONCATENATE(OBSERVACIONES!K30,"
ESTADO DE POSTVENTAS:  ",GENERAL!L31))</f>
        <v>OK
ESTADO DE POSTVENTAS:  POSTVENTA CORREGIDA</v>
      </c>
      <c r="L30" s="51" t="str">
        <f>+IF(GENERAL!M31=GENERAL!$AI$2,GENERAL!$AI$2,CONCATENATE(OBSERVACIONES!L30,"
ESTADO DE POSTVENTAS:  ",GENERAL!M31))</f>
        <v>OK
ESTADO DE POSTVENTAS:  POSTVENTA CORREGIDA</v>
      </c>
      <c r="M30" s="70" t="str">
        <f>+IF(GENERAL!N31=GENERAL!$AI$2,GENERAL!$AI$2,CONCATENATE(OBSERVACIONES!M30,"
ESTADO DE POSTVENTAS:  ",GENERAL!N31))</f>
        <v>OK
ESTADO DE POSTVENTAS:  POSTVENTA CORREGIDA</v>
      </c>
      <c r="N30" s="51" t="str">
        <f>+IF(GENERAL!O31=GENERAL!$AI$2,GENERAL!$AI$2,CONCATENATE(OBSERVACIONES!N30,"
ESTADO DE POSTVENTAS:  ",GENERAL!O31))</f>
        <v>OK
ESTADO DE POSTVENTAS:  POSTVENTA CORREGIDA</v>
      </c>
      <c r="O30" s="51" t="str">
        <f>+IF(GENERAL!P31=GENERAL!$AI$2,GENERAL!$AI$2,CONCATENATE(OBSERVACIONES!O30,"
ESTADO DE POSTVENTAS:  ",GENERAL!P31))</f>
        <v>OK
ESTADO DE POSTVENTAS:  POSTVENTA CORREGIDA</v>
      </c>
      <c r="P30" s="70" t="str">
        <f>+IF(GENERAL!Q31=GENERAL!$AI$2,GENERAL!$AI$2,CONCATENATE(OBSERVACIONES!P30,"
ESTADO DE POSTVENTAS:  ",GENERAL!Q31))</f>
        <v>OK
ESTADO DE POSTVENTAS:  POSTVENTA CORREGIDA</v>
      </c>
      <c r="Q30" s="70" t="str">
        <f>+IF(GENERAL!R31=GENERAL!$AI$2,GENERAL!$AI$2,CONCATENATE(OBSERVACIONES!Q30,"
ESTADO DE POSTVENTAS:  ",GENERAL!R31))</f>
        <v>OK
ESTADO DE POSTVENTAS:  POSTVENTA CORREGIDA</v>
      </c>
      <c r="R30" s="51" t="str">
        <f>+IF(GENERAL!S31=GENERAL!$AI$2,GENERAL!$AI$2,CONCATENATE(OBSERVACIONES!R30,"
ESTADO DE POSTVENTAS:  ",GENERAL!S31))</f>
        <v>OK
ESTADO DE POSTVENTAS:  POSTVENTA CORREGIDA</v>
      </c>
      <c r="S30" s="51" t="str">
        <f>+IF(GENERAL!T31=GENERAL!$AI$2,GENERAL!$AI$2,CONCATENATE(OBSERVACIONES!S30,"
ESTADO DE POSTVENTAS:  ",GENERAL!T31))</f>
        <v>OK
ESTADO DE POSTVENTAS:  POSTVENTA CORREGIDA</v>
      </c>
      <c r="T30" s="51" t="str">
        <f>+IF(GENERAL!U31=GENERAL!$AI$2,GENERAL!$AI$2,CONCATENATE(OBSERVACIONES!T30,"
ESTADO DE POSTVENTAS:  ",GENERAL!U31))</f>
        <v>OK
ESTADO DE POSTVENTAS:  POSTVENTA CORREGIDA</v>
      </c>
      <c r="U30" s="51" t="str">
        <f>+IF(GENERAL!V31=GENERAL!$AI$2,GENERAL!$AI$2,CONCATENATE(OBSERVACIONES!U30,"
ESTADO DE POSTVENTAS:  ",GENERAL!V31))</f>
        <v>OK
ESTADO DE POSTVENTAS:  POSTVENTA CORREGIDA</v>
      </c>
      <c r="V30" s="70" t="str">
        <f>+IF(GENERAL!W31=GENERAL!$AI$2,GENERAL!$AI$2,CONCATENATE(OBSERVACIONES!V30,"
ESTADO DE POSTVENTAS:  ",GENERAL!W31))</f>
        <v>DETALLE LIMPIEZA
ESTADO DE POSTVENTAS:  TIENE POSTVENTA</v>
      </c>
      <c r="W30" s="51" t="str">
        <f>+IF(GENERAL!V31=GENERAL!$AI$2,GENERAL!$AI$2,CONCATENATE(OBSERVACIONES!W30,"
ESTADO DE POSTVENTAS:  ",GENERAL!V31))</f>
        <v>OK
ESTADO DE POSTVENTAS:  POSTVENTA CORREGIDA</v>
      </c>
      <c r="X30" s="51" t="str">
        <f>+IF(GENERAL!W31=GENERAL!$AI$2,GENERAL!$AI$2,CONCATENATE(OBSERVACIONES!X30,"
ESTADO DE POSTVENTAS:  ",GENERAL!W31))</f>
        <v>OK
ESTADO DE POSTVENTAS:  TIENE POSTVENTA</v>
      </c>
      <c r="Y30" s="51" t="str">
        <f>+IF(GENERAL!Z31=GENERAL!$AI$2,GENERAL!$AI$2,CONCATENATE(OBSERVACIONES!Y30,"
ESTADO DE POSTVENTAS:  ",GENERAL!Z31))</f>
        <v>OK
ESTADO DE POSTVENTAS:  POSTVENTA CORREGIDA</v>
      </c>
      <c r="Z30" s="51" t="str">
        <f>+IF(GENERAL!AA31=GENERAL!$AI$2,GENERAL!$AI$2,CONCATENATE(OBSERVACIONES!Z30,"
ESTADO DE POSTVENTAS:  ",GENERAL!AA31))</f>
        <v>OK
ESTADO DE POSTVENTAS:  POSTVENTA CORREGIDA</v>
      </c>
      <c r="AA30" s="51" t="str">
        <f>+IF(GENERAL!AB31=GENERAL!$AI$2,GENERAL!$AI$2,CONCATENATE(OBSERVACIONES!AA30,"
ESTADO DE POSTVENTAS:  ",GENERAL!AB31))</f>
        <v>OK
ESTADO DE POSTVENTAS:  POSTVENTA CORREGIDA</v>
      </c>
      <c r="AB30" s="51" t="str">
        <f>+IF(GENERAL!AC31=GENERAL!$AI$2,GENERAL!$AI$2,CONCATENATE(OBSERVACIONES!AB30,"
ESTADO DE POSTVENTAS:  ",GENERAL!AC31))</f>
        <v>OK
ESTADO DE POSTVENTAS:  POSTVENTA CORREGIDA</v>
      </c>
      <c r="AC30" s="51" t="str">
        <f>+IF(GENERAL!AD31=GENERAL!$AI$2,GENERAL!$AI$2,CONCATENATE(OBSERVACIONES!AC30,"
ESTADO DE POSTVENTAS:  ",GENERAL!AD31))</f>
        <v>OK
ESTADO DE POSTVENTAS:  POSTVENTA CORREGIDA</v>
      </c>
      <c r="AD30" s="51" t="str">
        <f>+IF(GENERAL!AE31=GENERAL!$AI$2,GENERAL!$AI$2,CONCATENATE(OBSERVACIONES!AD30,"
ESTADO DE POSTVENTAS:  ",GENERAL!AE31))</f>
        <v>OK
ESTADO DE POSTVENTAS:  POSTVENTA CORREGIDA</v>
      </c>
      <c r="AE30" s="51" t="str">
        <f>+IF(GENERAL!AF31=GENERAL!$AI$2,GENERAL!$AI$2,CONCATENATE(OBSERVACIONES!AE30,"
ESTADO DE POSTVENTAS:  ",GENERAL!AF31))</f>
        <v>OK
ESTADO DE POSTVENTAS:  POSTVENTA CORREGIDA</v>
      </c>
      <c r="AF30" s="51" t="str">
        <f>+IF(GENERAL!AG31=GENERAL!$AI$2,GENERAL!$AI$2,CONCATENATE(OBSERVACIONES!AF30,"
ESTADO DE POSTVENTAS:  ",GENERAL!AG31))</f>
        <v>OK
ESTADO DE POSTVENTAS:  POSTVENTA CORREGIDA</v>
      </c>
      <c r="AG30" s="51" t="str">
        <f>+IF(GENERAL!AH31=GENERAL!$AI$2,GENERAL!$AI$2,CONCATENATE(OBSERVACIONES!AG30,"
ESTADO DE POSTVENTAS:  ",GENERAL!AH31))</f>
        <v>OK
ESTADO DE POSTVENTAS:  POSTVENTA CORREGIDA</v>
      </c>
      <c r="AH30" s="51" t="str">
        <f>+IF(GENERAL!AI31=GENERAL!$AI$2,GENERAL!$AI$2,CONCATENATE(OBSERVACIONES!AH30,"
ESTADO DE POSTVENTAS:  ",GENERAL!AI31))</f>
        <v>OK
ESTADO DE POSTVENTAS:  POSTVENTA CORREGIDA</v>
      </c>
      <c r="AI30" s="51" t="str">
        <f>+IF(GENERAL!AG31=GENERAL!$AI$2,GENERAL!$AI$2,CONCATENATE(OBSERVACIONES!AF30,"
ESTADO DE POSTVENTAS:  ",GENERAL!AG31))</f>
        <v>OK
ESTADO DE POSTVENTAS:  POSTVENTA CORREGIDA</v>
      </c>
      <c r="AJ30" s="51" t="str">
        <f>+IF(GENERAL!AI31=GENERAL!$AI$2,GENERAL!$AI$2,CONCATENATE(OBSERVACIONES!AH30,"
ESTADO DE POSTVENTAS:  ",GENERAL!AI31))</f>
        <v>OK
ESTADO DE POSTVENTAS:  POSTVENTA CORREGIDA</v>
      </c>
      <c r="AK30" s="51" t="str">
        <f>+IF(GENERAL!AJ31=GENERAL!$AI$2,GENERAL!$AI$2,CONCATENATE(OBSERVACIONES!AI30,"
ESTADO DE POSTVENTAS:  ",GENERAL!AJ31))</f>
        <v>OK
ESTADO DE POSTVENTAS:  POSTVENTA CORREGIDA</v>
      </c>
      <c r="AL30" s="51" t="str">
        <f>+IF(GENERAL!AK31=GENERAL!$AI$2,GENERAL!$AI$2,CONCATENATE(OBSERVACIONES!AJ30,"
ESTADO DE POSTVENTAS:  ",GENERAL!AK31))</f>
        <v>OK
ESTADO DE POSTVENTAS:  POSTVENTA CORREGIDA</v>
      </c>
      <c r="AM30" s="51" t="str">
        <f>+IF(GENERAL!AN31=GENERAL!$AI$2,GENERAL!$AI$2,CONCATENATE(OBSERVACIONES!AM30,"
ESTADO DE POSTVENTAS:  ",GENERAL!AN31))</f>
        <v>OK
ESTADO DE POSTVENTAS:  POSTVENTA CORREGIDA</v>
      </c>
      <c r="AN30" s="37">
        <v>2</v>
      </c>
      <c r="AO30" s="37">
        <v>9</v>
      </c>
      <c r="AP30" s="37">
        <v>3</v>
      </c>
      <c r="AQ30" s="37">
        <v>1</v>
      </c>
      <c r="AR30" s="43">
        <v>13</v>
      </c>
      <c r="AS30" s="40">
        <v>12</v>
      </c>
      <c r="AT30" s="37">
        <f>COUNTIFS($D$5:$AM$5,"&lt;&gt;"&amp;CODICIONALES!$A$1,$D$5:$AM$5,"&lt;&gt;"&amp;CODICIONALES!$A$2,$D$5:$AM$5,"&lt;&gt;"&amp;CODICIONALES!$B$2,$D$5:$AM$5,"&lt;&gt;"&amp;CODICIONALES!$C$2)</f>
        <v>6</v>
      </c>
      <c r="AU30" s="43">
        <f>COUNTIFS(D30:AM30,CODICIONALES!$A$2)</f>
        <v>32</v>
      </c>
      <c r="AV30" s="40">
        <f t="shared" si="0"/>
        <v>-2</v>
      </c>
    </row>
    <row r="31" spans="1:48" ht="51" customHeight="1" x14ac:dyDescent="0.25">
      <c r="A31" s="110"/>
      <c r="B31" s="2">
        <v>27</v>
      </c>
      <c r="C31" s="21" t="s">
        <v>73</v>
      </c>
      <c r="D31" s="51" t="str">
        <f>+IF(GENERAL!E32=GENERAL!$AI$2,GENERAL!$AI$2,CONCATENATE(OBSERVACIONES!D31,"
ESTADO DE POSTVENTAS:  ",GENERAL!E32))</f>
        <v>NO ENTREGADO
ESTADO DE POSTVENTAS:  TIENE POSTVENTA</v>
      </c>
      <c r="E31" s="70" t="str">
        <f>+IF(GENERAL!F32=GENERAL!$AI$2,GENERAL!$AI$2,CONCATENATE(OBSERVACIONES!E31,"
ESTADO DE POSTVENTAS:  ",GENERAL!F32))</f>
        <v>OK
ESTADO DE POSTVENTAS:  POSTVENTA CORREGIDA</v>
      </c>
      <c r="F31" s="51" t="str">
        <f>+IF(GENERAL!G32=GENERAL!$AI$2,GENERAL!$AI$2,CONCATENATE(OBSERVACIONES!F31,"
ESTADO DE POSTVENTAS:  ",GENERAL!G32))</f>
        <v>OK
ESTADO DE POSTVENTAS:  POSTVENTA CORREGIDA</v>
      </c>
      <c r="G31" s="51" t="str">
        <f>+IF(GENERAL!H32=GENERAL!$AI$2,GENERAL!$AI$2,CONCATENATE(OBSERVACIONES!G31,"
ESTADO DE POSTVENTAS:  ",GENERAL!H32))</f>
        <v>NO ENTREGADO
ESTADO DE POSTVENTAS:  TIENE POSTVENTA</v>
      </c>
      <c r="H31" s="51" t="str">
        <f>+IF(GENERAL!I32=GENERAL!$AI$2,GENERAL!$AI$2,CONCATENATE(OBSERVACIONES!H31,"
ESTADO DE POSTVENTAS:  ",GENERAL!I32))</f>
        <v>OK
ESTADO DE POSTVENTAS:  POSTVENTA CORREGIDA</v>
      </c>
      <c r="I31" s="51" t="str">
        <f>+IF(GENERAL!J32=GENERAL!$AI$2,GENERAL!$AI$2,CONCATENATE(OBSERVACIONES!I31,"
ESTADO DE POSTVENTAS:  ",GENERAL!J32))</f>
        <v>OK
ESTADO DE POSTVENTAS:  POSTVENTA CORREGIDA</v>
      </c>
      <c r="J31" s="51" t="str">
        <f>+IF(GENERAL!K32=GENERAL!$AI$2,GENERAL!$AI$2,CONCATENATE(OBSERVACIONES!J31,"
ESTADO DE POSTVENTAS:  ",GENERAL!K32))</f>
        <v>OK
ESTADO DE POSTVENTAS:  POSTVENTA CORREGIDA</v>
      </c>
      <c r="K31" s="51" t="str">
        <f>+IF(GENERAL!L32=GENERAL!$AI$2,GENERAL!$AI$2,CONCATENATE(OBSERVACIONES!K31,"
ESTADO DE POSTVENTAS:  ",GENERAL!L32))</f>
        <v>OK
ESTADO DE POSTVENTAS:  POSTVENTA CORREGIDA</v>
      </c>
      <c r="L31" s="51" t="str">
        <f>+IF(GENERAL!M32=GENERAL!$AI$2,GENERAL!$AI$2,CONCATENATE(OBSERVACIONES!L31,"
ESTADO DE POSTVENTAS:  ",GENERAL!M32))</f>
        <v>OK
ESTADO DE POSTVENTAS:  POSTVENTA CORREGIDA</v>
      </c>
      <c r="M31" s="70" t="str">
        <f>+IF(GENERAL!N32=GENERAL!$AI$2,GENERAL!$AI$2,CONCATENATE(OBSERVACIONES!M31,"
ESTADO DE POSTVENTAS:  ",GENERAL!N32))</f>
        <v>OK
ESTADO DE POSTVENTAS:  POSTVENTA CORREGIDA</v>
      </c>
      <c r="N31" s="70" t="str">
        <f>+IF(GENERAL!O32=GENERAL!$AI$2,GENERAL!$AI$2,CONCATENATE(OBSERVACIONES!N31,"
ESTADO DE POSTVENTAS:  ",GENERAL!O32))</f>
        <v>DETALLE PUERTAS
ESTADO DE POSTVENTAS:  TIENE POSTVENTA</v>
      </c>
      <c r="O31" s="51" t="str">
        <f>+IF(GENERAL!P32=GENERAL!$AI$2,GENERAL!$AI$2,CONCATENATE(OBSERVACIONES!O31,"
ESTADO DE POSTVENTAS:  ",GENERAL!P32))</f>
        <v>OK
ESTADO DE POSTVENTAS:  POSTVENTA CORREGIDA</v>
      </c>
      <c r="P31" s="70" t="str">
        <f>+IF(GENERAL!Q32=GENERAL!$AI$2,GENERAL!$AI$2,CONCATENATE(OBSERVACIONES!P31,"
ESTADO DE POSTVENTAS:  ",GENERAL!Q32))</f>
        <v>OK
ESTADO DE POSTVENTAS:  POSTVENTA CORREGIDA</v>
      </c>
      <c r="Q31" s="70" t="str">
        <f>+IF(GENERAL!R32=GENERAL!$AI$2,GENERAL!$AI$2,CONCATENATE(OBSERVACIONES!Q31,"
ESTADO DE POSTVENTAS:  ",GENERAL!R32))</f>
        <v>OK
ESTADO DE POSTVENTAS:  POSTVENTA CORREGIDA</v>
      </c>
      <c r="R31" s="51" t="str">
        <f>+IF(GENERAL!S32=GENERAL!$AI$2,GENERAL!$AI$2,CONCATENATE(OBSERVACIONES!R31,"
ESTADO DE POSTVENTAS:  ",GENERAL!S32))</f>
        <v>OK
ESTADO DE POSTVENTAS:  POSTVENTA CORREGIDA</v>
      </c>
      <c r="S31" s="51" t="str">
        <f>+IF(GENERAL!T32=GENERAL!$AI$2,GENERAL!$AI$2,CONCATENATE(OBSERVACIONES!S31,"
ESTADO DE POSTVENTAS:  ",GENERAL!T32))</f>
        <v>OK
ESTADO DE POSTVENTAS:  POSTVENTA CORREGIDA</v>
      </c>
      <c r="T31" s="51" t="str">
        <f>+IF(GENERAL!U32=GENERAL!$AI$2,GENERAL!$AI$2,CONCATENATE(OBSERVACIONES!T31,"
ESTADO DE POSTVENTAS:  ",GENERAL!U32))</f>
        <v>OK
ESTADO DE POSTVENTAS:  POSTVENTA CORREGIDA</v>
      </c>
      <c r="U31" s="51" t="str">
        <f>+IF(GENERAL!V32=GENERAL!$AI$2,GENERAL!$AI$2,CONCATENATE(OBSERVACIONES!U31,"
ESTADO DE POSTVENTAS:  ",GENERAL!V32))</f>
        <v>OK
ESTADO DE POSTVENTAS:  POSTVENTA CORREGIDA</v>
      </c>
      <c r="V31" s="51" t="str">
        <f>+IF(GENERAL!W32=GENERAL!$AI$2,GENERAL!$AI$2,CONCATENATE(OBSERVACIONES!V31,"
ESTADO DE POSTVENTAS:  ",GENERAL!W32))</f>
        <v>OK
ESTADO DE POSTVENTAS:  POSTVENTA CORREGIDA</v>
      </c>
      <c r="W31" s="51" t="str">
        <f>+IF(GENERAL!V32=GENERAL!$AI$2,GENERAL!$AI$2,CONCATENATE(OBSERVACIONES!W31,"
ESTADO DE POSTVENTAS:  ",GENERAL!V32))</f>
        <v>OK
ESTADO DE POSTVENTAS:  POSTVENTA CORREGIDA</v>
      </c>
      <c r="X31" s="51" t="str">
        <f>+IF(GENERAL!W32=GENERAL!$AI$2,GENERAL!$AI$2,CONCATENATE(OBSERVACIONES!X31,"
ESTADO DE POSTVENTAS:  ",GENERAL!W32))</f>
        <v>OK
ESTADO DE POSTVENTAS:  POSTVENTA CORREGIDA</v>
      </c>
      <c r="Y31" s="51" t="str">
        <f>+IF(GENERAL!Z32=GENERAL!$AI$2,GENERAL!$AI$2,CONCATENATE(OBSERVACIONES!Y31,"
ESTADO DE POSTVENTAS:  ",GENERAL!Z32))</f>
        <v>OK
ESTADO DE POSTVENTAS:  POSTVENTA CORREGIDA</v>
      </c>
      <c r="Z31" s="51" t="str">
        <f>+IF(GENERAL!AA32=GENERAL!$AI$2,GENERAL!$AI$2,CONCATENATE(OBSERVACIONES!Z31,"
ESTADO DE POSTVENTAS:  ",GENERAL!AA32))</f>
        <v>OK
ESTADO DE POSTVENTAS:  POSTVENTA CORREGIDA</v>
      </c>
      <c r="AA31" s="70" t="str">
        <f>+IF(GENERAL!AB32=GENERAL!$AI$2,GENERAL!$AI$2,CONCATENATE(OBSERVACIONES!AA31,"
ESTADO DE POSTVENTAS:  ",GENERAL!AB32))</f>
        <v>DETALLE PUERTAS
ESTADO DE POSTVENTAS:  TIENE POSTVENTA</v>
      </c>
      <c r="AB31" s="70" t="str">
        <f>+IF(GENERAL!AC32=GENERAL!$AI$2,GENERAL!$AI$2,CONCATENATE(OBSERVACIONES!AB31,"
ESTADO DE POSTVENTAS:  ",GENERAL!AC32))</f>
        <v>OK
ESTADO DE POSTVENTAS:  POSTVENTA CORREGIDA</v>
      </c>
      <c r="AC31" s="70" t="str">
        <f>+IF(GENERAL!AD32=GENERAL!$AI$2,GENERAL!$AI$2,CONCATENATE(OBSERVACIONES!AC31,"
ESTADO DE POSTVENTAS:  ",GENERAL!AD32))</f>
        <v>OK
ESTADO DE POSTVENTAS:  POSTVENTA CORREGIDA</v>
      </c>
      <c r="AD31" s="51" t="str">
        <f>+IF(GENERAL!AE32=GENERAL!$AI$2,GENERAL!$AI$2,CONCATENATE(OBSERVACIONES!AD31,"
ESTADO DE POSTVENTAS:  ",GENERAL!AE32))</f>
        <v>OK
ESTADO DE POSTVENTAS:  POSTVENTA CORREGIDA</v>
      </c>
      <c r="AE31" s="51" t="str">
        <f>+IF(GENERAL!AF32=GENERAL!$AI$2,GENERAL!$AI$2,CONCATENATE(OBSERVACIONES!AE31,"
ESTADO DE POSTVENTAS:  ",GENERAL!AF32))</f>
        <v>OK
ESTADO DE POSTVENTAS:  POSTVENTA CORREGIDA</v>
      </c>
      <c r="AF31" s="51" t="str">
        <f>+IF(GENERAL!AG32=GENERAL!$AI$2,GENERAL!$AI$2,CONCATENATE(OBSERVACIONES!AF31,"
ESTADO DE POSTVENTAS:  ",GENERAL!AG32))</f>
        <v>OK
ESTADO DE POSTVENTAS:  POSTVENTA CORREGIDA</v>
      </c>
      <c r="AG31" s="51" t="str">
        <f>+IF(GENERAL!AH32=GENERAL!$AI$2,GENERAL!$AI$2,CONCATENATE(OBSERVACIONES!AG31,"
ESTADO DE POSTVENTAS:  ",GENERAL!AH32))</f>
        <v>DETALLE PUERTAS
ESTADO DE POSTVENTAS:  TIENE POSTVENTA</v>
      </c>
      <c r="AH31" s="51" t="str">
        <f>+IF(GENERAL!AI32=GENERAL!$AI$2,GENERAL!$AI$2,CONCATENATE(OBSERVACIONES!AH31,"
ESTADO DE POSTVENTAS:  ",GENERAL!AI32))</f>
        <v>OK
ESTADO DE POSTVENTAS:  POSTVENTA CORREGIDA</v>
      </c>
      <c r="AI31" s="51" t="str">
        <f>+IF(GENERAL!AG32=GENERAL!$AI$2,GENERAL!$AI$2,CONCATENATE(OBSERVACIONES!AF31,"
ESTADO DE POSTVENTAS:  ",GENERAL!AG32))</f>
        <v>OK
ESTADO DE POSTVENTAS:  POSTVENTA CORREGIDA</v>
      </c>
      <c r="AJ31" s="51" t="str">
        <f>+IF(GENERAL!AI32=GENERAL!$AI$2,GENERAL!$AI$2,CONCATENATE(OBSERVACIONES!AH31,"
ESTADO DE POSTVENTAS:  ",GENERAL!AI32))</f>
        <v>OK
ESTADO DE POSTVENTAS:  POSTVENTA CORREGIDA</v>
      </c>
      <c r="AK31" s="70" t="str">
        <f>+IF(GENERAL!AJ32=GENERAL!$AI$2,GENERAL!$AI$2,CONCATENATE(OBSERVACIONES!AI31,"
ESTADO DE POSTVENTAS:  ",GENERAL!AJ32))</f>
        <v>DETALLE PUERTAS
ESTADO DE POSTVENTAS:  TIENE POSTVENTA</v>
      </c>
      <c r="AL31" s="51" t="str">
        <f>+IF(GENERAL!AK32=GENERAL!$AI$2,GENERAL!$AI$2,CONCATENATE(OBSERVACIONES!AJ31,"
ESTADO DE POSTVENTAS:  ",GENERAL!AK32))</f>
        <v>OK
ESTADO DE POSTVENTAS:  POSTVENTA CORREGIDA</v>
      </c>
      <c r="AM31" s="51" t="str">
        <f>+IF(GENERAL!AN32=GENERAL!$AI$2,GENERAL!$AI$2,CONCATENATE(OBSERVACIONES!AM31,"
ESTADO DE POSTVENTAS:  ",GENERAL!AN32))</f>
        <v>OK
ESTADO DE POSTVENTAS:  POSTVENTA CORREGIDA</v>
      </c>
      <c r="AN31" s="37">
        <v>6</v>
      </c>
      <c r="AO31" s="37">
        <v>5</v>
      </c>
      <c r="AP31" s="37">
        <v>3</v>
      </c>
      <c r="AQ31" s="37">
        <v>3</v>
      </c>
      <c r="AR31" s="43">
        <v>12</v>
      </c>
      <c r="AS31" s="40">
        <v>11</v>
      </c>
      <c r="AT31" s="37">
        <f>COUNTIFS($D$5:$AM$5,"&lt;&gt;"&amp;CODICIONALES!$A$1,$D$5:$AM$5,"&lt;&gt;"&amp;CODICIONALES!$A$2,$D$5:$AM$5,"&lt;&gt;"&amp;CODICIONALES!$B$2,$D$5:$AM$5,"&lt;&gt;"&amp;CODICIONALES!$C$2)</f>
        <v>6</v>
      </c>
      <c r="AU31" s="43">
        <f>COUNTIFS(D31:AM31,CODICIONALES!$A$2)</f>
        <v>30</v>
      </c>
      <c r="AV31" s="40">
        <f t="shared" si="0"/>
        <v>0</v>
      </c>
    </row>
    <row r="32" spans="1:48" ht="51" customHeight="1" x14ac:dyDescent="0.25">
      <c r="A32" s="110"/>
      <c r="B32" s="2">
        <v>28</v>
      </c>
      <c r="C32" s="21" t="s">
        <v>75</v>
      </c>
      <c r="D32" s="51" t="str">
        <f>+IF(GENERAL!E33=GENERAL!$AI$2,GENERAL!$AI$2,CONCATENATE(OBSERVACIONES!D32,"
ESTADO DE POSTVENTAS:  ",GENERAL!E33))</f>
        <v>NO ENTREGADO
ESTADO DE POSTVENTAS:  TIENE POSTVENTA</v>
      </c>
      <c r="E32" s="51" t="str">
        <f>+IF(GENERAL!F33=GENERAL!$AI$2,GENERAL!$AI$2,CONCATENATE(OBSERVACIONES!E32,"
ESTADO DE POSTVENTAS:  ",GENERAL!F33))</f>
        <v>OK
ESTADO DE POSTVENTAS:  POSTVENTA CORREGIDA</v>
      </c>
      <c r="F32" s="51" t="str">
        <f>+IF(GENERAL!G33=GENERAL!$AI$2,GENERAL!$AI$2,CONCATENATE(OBSERVACIONES!F32,"
ESTADO DE POSTVENTAS:  ",GENERAL!G33))</f>
        <v>OK
ESTADO DE POSTVENTAS:  POSTVENTA CORREGIDA</v>
      </c>
      <c r="G32" s="51" t="str">
        <f>+IF(GENERAL!H33=GENERAL!$AI$2,GENERAL!$AI$2,CONCATENATE(OBSERVACIONES!G32,"
ESTADO DE POSTVENTAS:  ",GENERAL!H33))</f>
        <v>NO ENTREGADO
ESTADO DE POSTVENTAS:  TIENE POSTVENTA</v>
      </c>
      <c r="H32" s="51" t="str">
        <f>+IF(GENERAL!I33=GENERAL!$AI$2,GENERAL!$AI$2,CONCATENATE(OBSERVACIONES!H32,"
ESTADO DE POSTVENTAS:  ",GENERAL!I33))</f>
        <v>OK
ESTADO DE POSTVENTAS:  POSTVENTA CORREGIDA</v>
      </c>
      <c r="I32" s="51" t="str">
        <f>+IF(GENERAL!J33=GENERAL!$AI$2,GENERAL!$AI$2,CONCATENATE(OBSERVACIONES!I32,"
ESTADO DE POSTVENTAS:  ",GENERAL!J33))</f>
        <v>OK
ESTADO DE POSTVENTAS:  POSTVENTA CORREGIDA</v>
      </c>
      <c r="J32" s="51" t="str">
        <f>+IF(GENERAL!K33=GENERAL!$AI$2,GENERAL!$AI$2,CONCATENATE(OBSERVACIONES!J32,"
ESTADO DE POSTVENTAS:  ",GENERAL!K33))</f>
        <v>OK
ESTADO DE POSTVENTAS:  POSTVENTA CORREGIDA</v>
      </c>
      <c r="K32" s="51" t="str">
        <f>+IF(GENERAL!L33=GENERAL!$AI$2,GENERAL!$AI$2,CONCATENATE(OBSERVACIONES!K32,"
ESTADO DE POSTVENTAS:  ",GENERAL!L33))</f>
        <v>OK
ESTADO DE POSTVENTAS:  POSTVENTA CORREGIDA</v>
      </c>
      <c r="L32" s="51" t="str">
        <f>+IF(GENERAL!M33=GENERAL!$AI$2,GENERAL!$AI$2,CONCATENATE(OBSERVACIONES!L32,"
ESTADO DE POSTVENTAS:  ",GENERAL!M33))</f>
        <v>OK
ESTADO DE POSTVENTAS:  POSTVENTA CORREGIDA</v>
      </c>
      <c r="M32" s="70" t="str">
        <f>+IF(GENERAL!N33=GENERAL!$AI$2,GENERAL!$AI$2,CONCATENATE(OBSERVACIONES!M32,"
ESTADO DE POSTVENTAS:  ",GENERAL!N33))</f>
        <v>OK
ESTADO DE POSTVENTAS:  POSTVENTA CORREGIDA</v>
      </c>
      <c r="N32" s="70" t="str">
        <f>+IF(GENERAL!O33=GENERAL!$AI$2,GENERAL!$AI$2,CONCATENATE(OBSERVACIONES!N32,"
ESTADO DE POSTVENTAS:  ",GENERAL!O33))</f>
        <v>DETALLE PUERTAS
ESTADO DE POSTVENTAS:  TIENE POSTVENTA</v>
      </c>
      <c r="O32" s="51" t="str">
        <f>+IF(GENERAL!P33=GENERAL!$AI$2,GENERAL!$AI$2,CONCATENATE(OBSERVACIONES!O32,"
ESTADO DE POSTVENTAS:  ",GENERAL!P33))</f>
        <v>OK
ESTADO DE POSTVENTAS:  POSTVENTA CORREGIDA</v>
      </c>
      <c r="P32" s="70" t="str">
        <f>+IF(GENERAL!Q33=GENERAL!$AI$2,GENERAL!$AI$2,CONCATENATE(OBSERVACIONES!P32,"
ESTADO DE POSTVENTAS:  ",GENERAL!Q33))</f>
        <v>DETALLES PUERTAS
ESTADO DE POSTVENTAS:  TIENE POSTVENTA</v>
      </c>
      <c r="Q32" s="70" t="str">
        <f>+IF(GENERAL!R33=GENERAL!$AI$2,GENERAL!$AI$2,CONCATENATE(OBSERVACIONES!Q32,"
ESTADO DE POSTVENTAS:  ",GENERAL!R33))</f>
        <v>OK
ESTADO DE POSTVENTAS:  POSTVENTA CORREGIDA</v>
      </c>
      <c r="R32" s="51" t="str">
        <f>+IF(GENERAL!S33=GENERAL!$AI$2,GENERAL!$AI$2,CONCATENATE(OBSERVACIONES!R32,"
ESTADO DE POSTVENTAS:  ",GENERAL!S33))</f>
        <v>OK
ESTADO DE POSTVENTAS:  POSTVENTA CORREGIDA</v>
      </c>
      <c r="S32" s="51" t="str">
        <f>+IF(GENERAL!T33=GENERAL!$AI$2,GENERAL!$AI$2,CONCATENATE(OBSERVACIONES!S32,"
ESTADO DE POSTVENTAS:  ",GENERAL!T33))</f>
        <v>OK
ESTADO DE POSTVENTAS:  POSTVENTA CORREGIDA</v>
      </c>
      <c r="T32" s="51" t="str">
        <f>+IF(GENERAL!U33=GENERAL!$AI$2,GENERAL!$AI$2,CONCATENATE(OBSERVACIONES!T32,"
ESTADO DE POSTVENTAS:  ",GENERAL!U33))</f>
        <v>OK
ESTADO DE POSTVENTAS:  POSTVENTA CORREGIDA</v>
      </c>
      <c r="U32" s="51" t="str">
        <f>+IF(GENERAL!V33=GENERAL!$AI$2,GENERAL!$AI$2,CONCATENATE(OBSERVACIONES!U32,"
ESTADO DE POSTVENTAS:  ",GENERAL!V33))</f>
        <v>OK
ESTADO DE POSTVENTAS:  POSTVENTA CORREGIDA</v>
      </c>
      <c r="V32" s="70" t="str">
        <f>+IF(GENERAL!W33=GENERAL!$AI$2,GENERAL!$AI$2,CONCATENATE(OBSERVACIONES!V32,"
ESTADO DE POSTVENTAS:  ",GENERAL!W33))</f>
        <v>DETALLE PUERTAS
ESTADO DE POSTVENTAS:  TIENE POSTVENTA</v>
      </c>
      <c r="W32" s="51" t="str">
        <f>+IF(GENERAL!V33=GENERAL!$AI$2,GENERAL!$AI$2,CONCATENATE(OBSERVACIONES!W32,"
ESTADO DE POSTVENTAS:  ",GENERAL!V33))</f>
        <v>OK
ESTADO DE POSTVENTAS:  POSTVENTA CORREGIDA</v>
      </c>
      <c r="X32" s="51" t="str">
        <f>+IF(GENERAL!W33=GENERAL!$AI$2,GENERAL!$AI$2,CONCATENATE(OBSERVACIONES!X32,"
ESTADO DE POSTVENTAS:  ",GENERAL!W33))</f>
        <v>OK
ESTADO DE POSTVENTAS:  TIENE POSTVENTA</v>
      </c>
      <c r="Y32" s="51" t="str">
        <f>+IF(GENERAL!Z33=GENERAL!$AI$2,GENERAL!$AI$2,CONCATENATE(OBSERVACIONES!Y32,"
ESTADO DE POSTVENTAS:  ",GENERAL!Z33))</f>
        <v>OK
ESTADO DE POSTVENTAS:  POSTVENTA CORREGIDA</v>
      </c>
      <c r="Z32" s="51" t="str">
        <f>+IF(GENERAL!AA33=GENERAL!$AI$2,GENERAL!$AI$2,CONCATENATE(OBSERVACIONES!Z32,"
ESTADO DE POSTVENTAS:  ",GENERAL!AA33))</f>
        <v>OK
ESTADO DE POSTVENTAS:  POSTVENTA CORREGIDA</v>
      </c>
      <c r="AA32" s="51" t="str">
        <f>+IF(GENERAL!AB33=GENERAL!$AI$2,GENERAL!$AI$2,CONCATENATE(OBSERVACIONES!AA32,"
ESTADO DE POSTVENTAS:  ",GENERAL!AB33))</f>
        <v>OK
ESTADO DE POSTVENTAS:  POSTVENTA CORREGIDA</v>
      </c>
      <c r="AB32" s="51" t="str">
        <f>+IF(GENERAL!AC33=GENERAL!$AI$2,GENERAL!$AI$2,CONCATENATE(OBSERVACIONES!AB32,"
ESTADO DE POSTVENTAS:  ",GENERAL!AC33))</f>
        <v>OK
ESTADO DE POSTVENTAS:  POSTVENTA CORREGIDA</v>
      </c>
      <c r="AC32" s="51" t="str">
        <f>+IF(GENERAL!AD33=GENERAL!$AI$2,GENERAL!$AI$2,CONCATENATE(OBSERVACIONES!AC32,"
ESTADO DE POSTVENTAS:  ",GENERAL!AD33))</f>
        <v>OK
ESTADO DE POSTVENTAS:  POSTVENTA CORREGIDA</v>
      </c>
      <c r="AD32" s="51" t="str">
        <f>+IF(GENERAL!AE33=GENERAL!$AI$2,GENERAL!$AI$2,CONCATENATE(OBSERVACIONES!AD32,"
ESTADO DE POSTVENTAS:  ",GENERAL!AE33))</f>
        <v>OK
ESTADO DE POSTVENTAS:  POSTVENTA CORREGIDA</v>
      </c>
      <c r="AE32" s="51" t="str">
        <f>+IF(GENERAL!AF33=GENERAL!$AI$2,GENERAL!$AI$2,CONCATENATE(OBSERVACIONES!AE32,"
ESTADO DE POSTVENTAS:  ",GENERAL!AF33))</f>
        <v>OK
ESTADO DE POSTVENTAS:  POSTVENTA CORREGIDA</v>
      </c>
      <c r="AF32" s="51" t="str">
        <f>+IF(GENERAL!AG33=GENERAL!$AI$2,GENERAL!$AI$2,CONCATENATE(OBSERVACIONES!AF32,"
ESTADO DE POSTVENTAS:  ",GENERAL!AG33))</f>
        <v>OK
ESTADO DE POSTVENTAS:  POSTVENTA CORREGIDA</v>
      </c>
      <c r="AG32" s="51" t="str">
        <f>+IF(GENERAL!AH33=GENERAL!$AI$2,GENERAL!$AI$2,CONCATENATE(OBSERVACIONES!AG32,"
ESTADO DE POSTVENTAS:  ",GENERAL!AH33))</f>
        <v>OK
ESTADO DE POSTVENTAS:  POSTVENTA CORREGIDA</v>
      </c>
      <c r="AH32" s="51" t="str">
        <f>+IF(GENERAL!AI33=GENERAL!$AI$2,GENERAL!$AI$2,CONCATENATE(OBSERVACIONES!AH32,"
ESTADO DE POSTVENTAS:  ",GENERAL!AI33))</f>
        <v>OK
ESTADO DE POSTVENTAS:  POSTVENTA CORREGIDA</v>
      </c>
      <c r="AI32" s="51" t="str">
        <f>+IF(GENERAL!AG33=GENERAL!$AI$2,GENERAL!$AI$2,CONCATENATE(OBSERVACIONES!AF32,"
ESTADO DE POSTVENTAS:  ",GENERAL!AG33))</f>
        <v>OK
ESTADO DE POSTVENTAS:  POSTVENTA CORREGIDA</v>
      </c>
      <c r="AJ32" s="51" t="str">
        <f>+IF(GENERAL!AI33=GENERAL!$AI$2,GENERAL!$AI$2,CONCATENATE(OBSERVACIONES!AH32,"
ESTADO DE POSTVENTAS:  ",GENERAL!AI33))</f>
        <v>OK
ESTADO DE POSTVENTAS:  POSTVENTA CORREGIDA</v>
      </c>
      <c r="AK32" s="51" t="str">
        <f>+IF(GENERAL!AJ33=GENERAL!$AI$2,GENERAL!$AI$2,CONCATENATE(OBSERVACIONES!AI32,"
ESTADO DE POSTVENTAS:  ",GENERAL!AJ33))</f>
        <v>OK
ESTADO DE POSTVENTAS:  POSTVENTA CORREGIDA</v>
      </c>
      <c r="AL32" s="51" t="str">
        <f>+IF(GENERAL!AK33=GENERAL!$AI$2,GENERAL!$AI$2,CONCATENATE(OBSERVACIONES!AJ32,"
ESTADO DE POSTVENTAS:  ",GENERAL!AK33))</f>
        <v>OK
ESTADO DE POSTVENTAS:  POSTVENTA CORREGIDA</v>
      </c>
      <c r="AM32" s="51" t="str">
        <f>+IF(GENERAL!AN33=GENERAL!$AI$2,GENERAL!$AI$2,CONCATENATE(OBSERVACIONES!AM32,"
ESTADO DE POSTVENTAS:  ",GENERAL!AN33))</f>
        <v>OK
ESTADO DE POSTVENTAS:  POSTVENTA CORREGIDA</v>
      </c>
      <c r="AN32" s="37">
        <v>2</v>
      </c>
      <c r="AO32" s="37">
        <v>9</v>
      </c>
      <c r="AP32" s="37">
        <v>3</v>
      </c>
      <c r="AQ32" s="37">
        <v>1</v>
      </c>
      <c r="AR32" s="43">
        <v>13</v>
      </c>
      <c r="AS32" s="40">
        <v>12</v>
      </c>
      <c r="AT32" s="37">
        <f>COUNTIFS($D$5:$AM$5,"&lt;&gt;"&amp;CODICIONALES!$A$1,$D$5:$AM$5,"&lt;&gt;"&amp;CODICIONALES!$A$2,$D$5:$AM$5,"&lt;&gt;"&amp;CODICIONALES!$B$2,$D$5:$AM$5,"&lt;&gt;"&amp;CODICIONALES!$C$2)</f>
        <v>6</v>
      </c>
      <c r="AU32" s="43">
        <f>COUNTIFS(D32:AM32,CODICIONALES!$A$2)</f>
        <v>30</v>
      </c>
      <c r="AV32" s="40">
        <f t="shared" si="0"/>
        <v>0</v>
      </c>
    </row>
    <row r="33" spans="1:48" ht="51" customHeight="1" x14ac:dyDescent="0.25">
      <c r="A33" s="110"/>
      <c r="B33" s="2">
        <v>29</v>
      </c>
      <c r="C33" s="21" t="s">
        <v>76</v>
      </c>
      <c r="D33" s="51" t="str">
        <f>+IF(GENERAL!E34=GENERAL!$AI$2,GENERAL!$AI$2,CONCATENATE(OBSERVACIONES!D33,"
ESTADO DE POSTVENTAS:  ",GENERAL!E34))</f>
        <v>NO ENTREGADO
ESTADO DE POSTVENTAS:  TIENE POSTVENTA</v>
      </c>
      <c r="E33" s="51" t="str">
        <f>+IF(GENERAL!F34=GENERAL!$AI$2,GENERAL!$AI$2,CONCATENATE(OBSERVACIONES!E33,"
ESTADO DE POSTVENTAS:  ",GENERAL!F34))</f>
        <v>OK
ESTADO DE POSTVENTAS:  POSTVENTA CORREGIDA</v>
      </c>
      <c r="F33" s="51" t="str">
        <f>+IF(GENERAL!G34=GENERAL!$AI$2,GENERAL!$AI$2,CONCATENATE(OBSERVACIONES!F33,"
ESTADO DE POSTVENTAS:  ",GENERAL!G34))</f>
        <v>OK
ESTADO DE POSTVENTAS:  POSTVENTA CORREGIDA</v>
      </c>
      <c r="G33" s="51" t="str">
        <f>+IF(GENERAL!H34=GENERAL!$AI$2,GENERAL!$AI$2,CONCATENATE(OBSERVACIONES!G33,"
ESTADO DE POSTVENTAS:  ",GENERAL!H34))</f>
        <v>NO ENTREGADO
ESTADO DE POSTVENTAS:  TIENE POSTVENTA</v>
      </c>
      <c r="H33" s="51" t="str">
        <f>+IF(GENERAL!I34=GENERAL!$AI$2,GENERAL!$AI$2,CONCATENATE(OBSERVACIONES!H33,"
ESTADO DE POSTVENTAS:  ",GENERAL!I34))</f>
        <v>OK
ESTADO DE POSTVENTAS:  POSTVENTA CORREGIDA</v>
      </c>
      <c r="I33" s="51" t="str">
        <f>+IF(GENERAL!J34=GENERAL!$AI$2,GENERAL!$AI$2,CONCATENATE(OBSERVACIONES!I33,"
ESTADO DE POSTVENTAS:  ",GENERAL!J34))</f>
        <v>OK
ESTADO DE POSTVENTAS:  POSTVENTA CORREGIDA</v>
      </c>
      <c r="J33" s="51" t="str">
        <f>+IF(GENERAL!K34=GENERAL!$AI$2,GENERAL!$AI$2,CONCATENATE(OBSERVACIONES!J33,"
ESTADO DE POSTVENTAS:  ",GENERAL!K34))</f>
        <v>OK
ESTADO DE POSTVENTAS:  POSTVENTA CORREGIDA</v>
      </c>
      <c r="K33" s="51" t="str">
        <f>+IF(GENERAL!L34=GENERAL!$AI$2,GENERAL!$AI$2,CONCATENATE(OBSERVACIONES!K33,"
ESTADO DE POSTVENTAS:  ",GENERAL!L34))</f>
        <v>OK
ESTADO DE POSTVENTAS:  POSTVENTA CORREGIDA</v>
      </c>
      <c r="L33" s="51" t="str">
        <f>+IF(GENERAL!M34=GENERAL!$AI$2,GENERAL!$AI$2,CONCATENATE(OBSERVACIONES!L33,"
ESTADO DE POSTVENTAS:  ",GENERAL!M34))</f>
        <v>OK
ESTADO DE POSTVENTAS:  POSTVENTA CORREGIDA</v>
      </c>
      <c r="M33" s="70" t="str">
        <f>+IF(GENERAL!N34=GENERAL!$AI$2,GENERAL!$AI$2,CONCATENATE(OBSERVACIONES!M33,"
ESTADO DE POSTVENTAS:  ",GENERAL!N34))</f>
        <v>OK
ESTADO DE POSTVENTAS:  POSTVENTA CORREGIDA</v>
      </c>
      <c r="N33" s="51" t="str">
        <f>+IF(GENERAL!O34=GENERAL!$AI$2,GENERAL!$AI$2,CONCATENATE(OBSERVACIONES!N33,"
ESTADO DE POSTVENTAS:  ",GENERAL!O34))</f>
        <v>OK
ESTADO DE POSTVENTAS:  POSTVENTA CORREGIDA</v>
      </c>
      <c r="O33" s="51" t="str">
        <f>+IF(GENERAL!P34=GENERAL!$AI$2,GENERAL!$AI$2,CONCATENATE(OBSERVACIONES!O33,"
ESTADO DE POSTVENTAS:  ",GENERAL!P34))</f>
        <v>OK
ESTADO DE POSTVENTAS:  POSTVENTA CORREGIDA</v>
      </c>
      <c r="P33" s="70" t="str">
        <f>+IF(GENERAL!Q34=GENERAL!$AI$2,GENERAL!$AI$2,CONCATENATE(OBSERVACIONES!P33,"
ESTADO DE POSTVENTAS:  ",GENERAL!Q34))</f>
        <v>OK
ESTADO DE POSTVENTAS:  POSTVENTA CORREGIDA</v>
      </c>
      <c r="Q33" s="70" t="str">
        <f>+IF(GENERAL!R34=GENERAL!$AI$2,GENERAL!$AI$2,CONCATENATE(OBSERVACIONES!Q33,"
ESTADO DE POSTVENTAS:  ",GENERAL!R34))</f>
        <v>OK
ESTADO DE POSTVENTAS:  POSTVENTA CORREGIDA</v>
      </c>
      <c r="R33" s="70" t="str">
        <f>+IF(GENERAL!S34=GENERAL!$AI$2,GENERAL!$AI$2,CONCATENATE(OBSERVACIONES!R33,"
ESTADO DE POSTVENTAS:  ",GENERAL!S34))</f>
        <v>OK
ESTADO DE POSTVENTAS:  POSTVENTA CORREGIDA</v>
      </c>
      <c r="S33" s="51" t="str">
        <f>+IF(GENERAL!T34=GENERAL!$AI$2,GENERAL!$AI$2,CONCATENATE(OBSERVACIONES!S33,"
ESTADO DE POSTVENTAS:  ",GENERAL!T34))</f>
        <v>OK
ESTADO DE POSTVENTAS:  POSTVENTA CORREGIDA</v>
      </c>
      <c r="T33" s="51" t="str">
        <f>+IF(GENERAL!U34=GENERAL!$AI$2,GENERAL!$AI$2,CONCATENATE(OBSERVACIONES!T33,"
ESTADO DE POSTVENTAS:  ",GENERAL!U34))</f>
        <v>OK
ESTADO DE POSTVENTAS:  POSTVENTA CORREGIDA</v>
      </c>
      <c r="U33" s="51" t="str">
        <f>+IF(GENERAL!V34=GENERAL!$AI$2,GENERAL!$AI$2,CONCATENATE(OBSERVACIONES!U33,"
ESTADO DE POSTVENTAS:  ",GENERAL!V34))</f>
        <v>OK
ESTADO DE POSTVENTAS:  POSTVENTA CORREGIDA</v>
      </c>
      <c r="V33" s="51" t="str">
        <f>+IF(GENERAL!W34=GENERAL!$AI$2,GENERAL!$AI$2,CONCATENATE(OBSERVACIONES!V33,"
ESTADO DE POSTVENTAS:  ",GENERAL!W34))</f>
        <v>OK
ESTADO DE POSTVENTAS:  POSTVENTA CORREGIDA</v>
      </c>
      <c r="W33" s="51" t="str">
        <f>+IF(GENERAL!V34=GENERAL!$AI$2,GENERAL!$AI$2,CONCATENATE(OBSERVACIONES!W33,"
ESTADO DE POSTVENTAS:  ",GENERAL!V34))</f>
        <v>OK
ESTADO DE POSTVENTAS:  POSTVENTA CORREGIDA</v>
      </c>
      <c r="X33" s="51" t="str">
        <f>+IF(GENERAL!W34=GENERAL!$AI$2,GENERAL!$AI$2,CONCATENATE(OBSERVACIONES!X33,"
ESTADO DE POSTVENTAS:  ",GENERAL!W34))</f>
        <v>OK
ESTADO DE POSTVENTAS:  POSTVENTA CORREGIDA</v>
      </c>
      <c r="Y33" s="51" t="str">
        <f>+IF(GENERAL!Z34=GENERAL!$AI$2,GENERAL!$AI$2,CONCATENATE(OBSERVACIONES!Y33,"
ESTADO DE POSTVENTAS:  ",GENERAL!Z34))</f>
        <v>OK
ESTADO DE POSTVENTAS:  POSTVENTA CORREGIDA</v>
      </c>
      <c r="Z33" s="51" t="str">
        <f>+IF(GENERAL!AA34=GENERAL!$AI$2,GENERAL!$AI$2,CONCATENATE(OBSERVACIONES!Z33,"
ESTADO DE POSTVENTAS:  ",GENERAL!AA34))</f>
        <v>OK
ESTADO DE POSTVENTAS:  POSTVENTA CORREGIDA</v>
      </c>
      <c r="AA33" s="51" t="str">
        <f>+IF(GENERAL!AB34=GENERAL!$AI$2,GENERAL!$AI$2,CONCATENATE(OBSERVACIONES!AA33,"
ESTADO DE POSTVENTAS:  ",GENERAL!AB34))</f>
        <v>OK
ESTADO DE POSTVENTAS:  POSTVENTA CORREGIDA</v>
      </c>
      <c r="AB33" s="51" t="str">
        <f>+IF(GENERAL!AC34=GENERAL!$AI$2,GENERAL!$AI$2,CONCATENATE(OBSERVACIONES!AB33,"
ESTADO DE POSTVENTAS:  ",GENERAL!AC34))</f>
        <v>OK
ESTADO DE POSTVENTAS:  POSTVENTA CORREGIDA</v>
      </c>
      <c r="AC33" s="51" t="str">
        <f>+IF(GENERAL!AD34=GENERAL!$AI$2,GENERAL!$AI$2,CONCATENATE(OBSERVACIONES!AC33,"
ESTADO DE POSTVENTAS:  ",GENERAL!AD34))</f>
        <v>OK
ESTADO DE POSTVENTAS:  POSTVENTA CORREGIDA</v>
      </c>
      <c r="AD33" s="51" t="str">
        <f>+IF(GENERAL!AE34=GENERAL!$AI$2,GENERAL!$AI$2,CONCATENATE(OBSERVACIONES!AD33,"
ESTADO DE POSTVENTAS:  ",GENERAL!AE34))</f>
        <v>OK
ESTADO DE POSTVENTAS:  POSTVENTA CORREGIDA</v>
      </c>
      <c r="AE33" s="51" t="str">
        <f>+IF(GENERAL!AF34=GENERAL!$AI$2,GENERAL!$AI$2,CONCATENATE(OBSERVACIONES!AE33,"
ESTADO DE POSTVENTAS:  ",GENERAL!AF34))</f>
        <v>OK
ESTADO DE POSTVENTAS:  POSTVENTA CORREGIDA</v>
      </c>
      <c r="AF33" s="51" t="str">
        <f>+IF(GENERAL!AG34=GENERAL!$AI$2,GENERAL!$AI$2,CONCATENATE(OBSERVACIONES!AF33,"
ESTADO DE POSTVENTAS:  ",GENERAL!AG34))</f>
        <v>OK
ESTADO DE POSTVENTAS:  POSTVENTA CORREGIDA</v>
      </c>
      <c r="AG33" s="51" t="str">
        <f>+IF(GENERAL!AH34=GENERAL!$AI$2,GENERAL!$AI$2,CONCATENATE(OBSERVACIONES!AG33,"
ESTADO DE POSTVENTAS:  ",GENERAL!AH34))</f>
        <v>OK
ESTADO DE POSTVENTAS:  POSTVENTA CORREGIDA</v>
      </c>
      <c r="AH33" s="51" t="str">
        <f>+IF(GENERAL!AI34=GENERAL!$AI$2,GENERAL!$AI$2,CONCATENATE(OBSERVACIONES!AH33,"
ESTADO DE POSTVENTAS:  ",GENERAL!AI34))</f>
        <v>OK
ESTADO DE POSTVENTAS:  POSTVENTA CORREGIDA</v>
      </c>
      <c r="AI33" s="51" t="str">
        <f>+IF(GENERAL!AG34=GENERAL!$AI$2,GENERAL!$AI$2,CONCATENATE(OBSERVACIONES!AF33,"
ESTADO DE POSTVENTAS:  ",GENERAL!AG34))</f>
        <v>OK
ESTADO DE POSTVENTAS:  POSTVENTA CORREGIDA</v>
      </c>
      <c r="AJ33" s="51" t="str">
        <f>+IF(GENERAL!AI34=GENERAL!$AI$2,GENERAL!$AI$2,CONCATENATE(OBSERVACIONES!AH33,"
ESTADO DE POSTVENTAS:  ",GENERAL!AI34))</f>
        <v>OK
ESTADO DE POSTVENTAS:  POSTVENTA CORREGIDA</v>
      </c>
      <c r="AK33" s="51" t="str">
        <f>+IF(GENERAL!AJ34=GENERAL!$AI$2,GENERAL!$AI$2,CONCATENATE(OBSERVACIONES!AI33,"
ESTADO DE POSTVENTAS:  ",GENERAL!AJ34))</f>
        <v>OK
ESTADO DE POSTVENTAS:  POSTVENTA CORREGIDA</v>
      </c>
      <c r="AL33" s="51" t="str">
        <f>+IF(GENERAL!AK34=GENERAL!$AI$2,GENERAL!$AI$2,CONCATENATE(OBSERVACIONES!AJ33,"
ESTADO DE POSTVENTAS:  ",GENERAL!AK34))</f>
        <v>OK
ESTADO DE POSTVENTAS:  POSTVENTA CORREGIDA</v>
      </c>
      <c r="AM33" s="51" t="str">
        <f>+IF(GENERAL!AN34=GENERAL!$AI$2,GENERAL!$AI$2,CONCATENATE(OBSERVACIONES!AM33,"
ESTADO DE POSTVENTAS:  ",GENERAL!AN34))</f>
        <v>OK
ESTADO DE POSTVENTAS:  POSTVENTA CORREGIDA</v>
      </c>
      <c r="AN33" s="37">
        <v>3</v>
      </c>
      <c r="AO33" s="37">
        <v>8</v>
      </c>
      <c r="AP33" s="37">
        <v>3</v>
      </c>
      <c r="AQ33" s="37">
        <v>0</v>
      </c>
      <c r="AR33" s="43">
        <v>14</v>
      </c>
      <c r="AS33" s="40">
        <v>12</v>
      </c>
      <c r="AT33" s="37">
        <f>COUNTIFS($D$5:$AM$5,"&lt;&gt;"&amp;CODICIONALES!$A$1,$D$5:$AM$5,"&lt;&gt;"&amp;CODICIONALES!$A$2,$D$5:$AM$5,"&lt;&gt;"&amp;CODICIONALES!$B$2,$D$5:$AM$5,"&lt;&gt;"&amp;CODICIONALES!$C$2)</f>
        <v>6</v>
      </c>
      <c r="AU33" s="43">
        <f>COUNTIFS(D33:AM33,CODICIONALES!$A$2)</f>
        <v>34</v>
      </c>
      <c r="AV33" s="40">
        <f t="shared" si="0"/>
        <v>-4</v>
      </c>
    </row>
    <row r="34" spans="1:48" ht="51" customHeight="1" x14ac:dyDescent="0.25">
      <c r="A34" s="110"/>
      <c r="B34" s="2">
        <v>30</v>
      </c>
      <c r="C34" s="21" t="s">
        <v>77</v>
      </c>
      <c r="D34" s="51" t="str">
        <f>+IF(GENERAL!E35=GENERAL!$AI$2,GENERAL!$AI$2,CONCATENATE(OBSERVACIONES!D34,"
ESTADO DE POSTVENTAS:  ",GENERAL!E35))</f>
        <v>NO ENTREGADO
ESTADO DE POSTVENTAS:  TIENE POSTVENTA</v>
      </c>
      <c r="E34" s="51" t="str">
        <f>+IF(GENERAL!F35=GENERAL!$AI$2,GENERAL!$AI$2,CONCATENATE(OBSERVACIONES!E34,"
ESTADO DE POSTVENTAS:  ",GENERAL!F35))</f>
        <v>OK
ESTADO DE POSTVENTAS:  POSTVENTA CORREGIDA</v>
      </c>
      <c r="F34" s="51" t="str">
        <f>+IF(GENERAL!G35=GENERAL!$AI$2,GENERAL!$AI$2,CONCATENATE(OBSERVACIONES!F34,"
ESTADO DE POSTVENTAS:  ",GENERAL!G35))</f>
        <v>OK
ESTADO DE POSTVENTAS:  POSTVENTA CORREGIDA</v>
      </c>
      <c r="G34" s="51" t="str">
        <f>+IF(GENERAL!H35=GENERAL!$AI$2,GENERAL!$AI$2,CONCATENATE(OBSERVACIONES!G34,"
ESTADO DE POSTVENTAS:  ",GENERAL!H35))</f>
        <v>NO ENTREGADO
ESTADO DE POSTVENTAS:  TIENE POSTVENTA</v>
      </c>
      <c r="H34" s="51" t="str">
        <f>+IF(GENERAL!I35=GENERAL!$AI$2,GENERAL!$AI$2,CONCATENATE(OBSERVACIONES!H34,"
ESTADO DE POSTVENTAS:  ",GENERAL!I35))</f>
        <v>OK
ESTADO DE POSTVENTAS:  POSTVENTA CORREGIDA</v>
      </c>
      <c r="I34" s="51" t="str">
        <f>+IF(GENERAL!J35=GENERAL!$AI$2,GENERAL!$AI$2,CONCATENATE(OBSERVACIONES!I34,"
ESTADO DE POSTVENTAS:  ",GENERAL!J35))</f>
        <v>OK
ESTADO DE POSTVENTAS:  POSTVENTA CORREGIDA</v>
      </c>
      <c r="J34" s="51" t="str">
        <f>+IF(GENERAL!K35=GENERAL!$AI$2,GENERAL!$AI$2,CONCATENATE(OBSERVACIONES!J34,"
ESTADO DE POSTVENTAS:  ",GENERAL!K35))</f>
        <v>OK
ESTADO DE POSTVENTAS:  POSTVENTA CORREGIDA</v>
      </c>
      <c r="K34" s="51" t="str">
        <f>+IF(GENERAL!L35=GENERAL!$AI$2,GENERAL!$AI$2,CONCATENATE(OBSERVACIONES!K34,"
ESTADO DE POSTVENTAS:  ",GENERAL!L35))</f>
        <v>OK
ESTADO DE POSTVENTAS:  POSTVENTA CORREGIDA</v>
      </c>
      <c r="L34" s="51" t="str">
        <f>+IF(GENERAL!M35=GENERAL!$AI$2,GENERAL!$AI$2,CONCATENATE(OBSERVACIONES!L34,"
ESTADO DE POSTVENTAS:  ",GENERAL!M35))</f>
        <v>OK
ESTADO DE POSTVENTAS:  POSTVENTA CORREGIDA</v>
      </c>
      <c r="M34" s="70" t="str">
        <f>+IF(GENERAL!N35=GENERAL!$AI$2,GENERAL!$AI$2,CONCATENATE(OBSERVACIONES!M34,"
ESTADO DE POSTVENTAS:  ",GENERAL!N35))</f>
        <v>OK
ESTADO DE POSTVENTAS:  POSTVENTA CORREGIDA</v>
      </c>
      <c r="N34" s="51" t="str">
        <f>+IF(GENERAL!O35=GENERAL!$AI$2,GENERAL!$AI$2,CONCATENATE(OBSERVACIONES!N34,"
ESTADO DE POSTVENTAS:  ",GENERAL!O35))</f>
        <v>OK
ESTADO DE POSTVENTAS:  POSTVENTA CORREGIDA</v>
      </c>
      <c r="O34" s="51" t="str">
        <f>+IF(GENERAL!P35=GENERAL!$AI$2,GENERAL!$AI$2,CONCATENATE(OBSERVACIONES!O34,"
ESTADO DE POSTVENTAS:  ",GENERAL!P35))</f>
        <v>OK
ESTADO DE POSTVENTAS:  POSTVENTA CORREGIDA</v>
      </c>
      <c r="P34" s="70" t="str">
        <f>+IF(GENERAL!Q35=GENERAL!$AI$2,GENERAL!$AI$2,CONCATENATE(OBSERVACIONES!P34,"
ESTADO DE POSTVENTAS:  ",GENERAL!Q35))</f>
        <v>OK
ESTADO DE POSTVENTAS:  POSTVENTA CORREGIDA</v>
      </c>
      <c r="Q34" s="70" t="str">
        <f>+IF(GENERAL!R35=GENERAL!$AI$2,GENERAL!$AI$2,CONCATENATE(OBSERVACIONES!Q34,"
ESTADO DE POSTVENTAS:  ",GENERAL!R35))</f>
        <v>OK
ESTADO DE POSTVENTAS:  POSTVENTA CORREGIDA</v>
      </c>
      <c r="R34" s="51" t="str">
        <f>+IF(GENERAL!S35=GENERAL!$AI$2,GENERAL!$AI$2,CONCATENATE(OBSERVACIONES!R34,"
ESTADO DE POSTVENTAS:  ",GENERAL!S35))</f>
        <v>OK
ESTADO DE POSTVENTAS:  POSTVENTA CORREGIDA</v>
      </c>
      <c r="S34" s="51" t="str">
        <f>+IF(GENERAL!T35=GENERAL!$AI$2,GENERAL!$AI$2,CONCATENATE(OBSERVACIONES!S34,"
ESTADO DE POSTVENTAS:  ",GENERAL!T35))</f>
        <v>DETALLE HUMEDAD
ESTADO DE POSTVENTAS:  TIENE POSTVENTA</v>
      </c>
      <c r="T34" s="51" t="str">
        <f>+IF(GENERAL!U35=GENERAL!$AI$2,GENERAL!$AI$2,CONCATENATE(OBSERVACIONES!T34,"
ESTADO DE POSTVENTAS:  ",GENERAL!U35))</f>
        <v>DETALLE HUMEDAD
ESTADO DE POSTVENTAS:  TIENE POSTVENTA</v>
      </c>
      <c r="U34" s="51" t="str">
        <f>+IF(GENERAL!V35=GENERAL!$AI$2,GENERAL!$AI$2,CONCATENATE(OBSERVACIONES!U34,"
ESTADO DE POSTVENTAS:  ",GENERAL!V35))</f>
        <v>OK
ESTADO DE POSTVENTAS:  POSTVENTA CORREGIDA</v>
      </c>
      <c r="V34" s="51" t="str">
        <f>+IF(GENERAL!W35=GENERAL!$AI$2,GENERAL!$AI$2,CONCATENATE(OBSERVACIONES!V34,"
ESTADO DE POSTVENTAS:  ",GENERAL!W35))</f>
        <v>OK
ESTADO DE POSTVENTAS:  POSTVENTA CORREGIDA</v>
      </c>
      <c r="W34" s="51" t="str">
        <f>+IF(GENERAL!V35=GENERAL!$AI$2,GENERAL!$AI$2,CONCATENATE(OBSERVACIONES!W34,"
ESTADO DE POSTVENTAS:  ",GENERAL!V35))</f>
        <v>OK
ESTADO DE POSTVENTAS:  POSTVENTA CORREGIDA</v>
      </c>
      <c r="X34" s="51" t="str">
        <f>+IF(GENERAL!W35=GENERAL!$AI$2,GENERAL!$AI$2,CONCATENATE(OBSERVACIONES!X34,"
ESTADO DE POSTVENTAS:  ",GENERAL!W35))</f>
        <v>OK
ESTADO DE POSTVENTAS:  POSTVENTA CORREGIDA</v>
      </c>
      <c r="Y34" s="51" t="str">
        <f>+IF(GENERAL!Z35=GENERAL!$AI$2,GENERAL!$AI$2,CONCATENATE(OBSERVACIONES!Y34,"
ESTADO DE POSTVENTAS:  ",GENERAL!Z35))</f>
        <v>DETALLE PINTURA
ESTADO DE POSTVENTAS:  TIENE POSTVENTA</v>
      </c>
      <c r="Z34" s="51" t="str">
        <f>+IF(GENERAL!AA35=GENERAL!$AI$2,GENERAL!$AI$2,CONCATENATE(OBSERVACIONES!Z34,"
ESTADO DE POSTVENTAS:  ",GENERAL!AA35))</f>
        <v>OK
ESTADO DE POSTVENTAS:  POSTVENTA CORREGIDA</v>
      </c>
      <c r="AA34" s="51" t="str">
        <f>+IF(GENERAL!AB35=GENERAL!$AI$2,GENERAL!$AI$2,CONCATENATE(OBSERVACIONES!AA34,"
ESTADO DE POSTVENTAS:  ",GENERAL!AB35))</f>
        <v>OK
ESTADO DE POSTVENTAS:  POSTVENTA CORREGIDA</v>
      </c>
      <c r="AB34" s="70" t="str">
        <f>+IF(GENERAL!AC35=GENERAL!$AI$2,GENERAL!$AI$2,CONCATENATE(OBSERVACIONES!AB34,"
ESTADO DE POSTVENTAS:  ",GENERAL!AC35))</f>
        <v>OK
ESTADO DE POSTVENTAS:  POSTVENTA CORREGIDA</v>
      </c>
      <c r="AC34" s="70" t="str">
        <f>+IF(GENERAL!AD35=GENERAL!$AI$2,GENERAL!$AI$2,CONCATENATE(OBSERVACIONES!AC34,"
ESTADO DE POSTVENTAS:  ",GENERAL!AD35))</f>
        <v>OK
ESTADO DE POSTVENTAS:  POSTVENTA CORREGIDA</v>
      </c>
      <c r="AD34" s="51" t="str">
        <f>+IF(GENERAL!AE35=GENERAL!$AI$2,GENERAL!$AI$2,CONCATENATE(OBSERVACIONES!AD34,"
ESTADO DE POSTVENTAS:  ",GENERAL!AE35))</f>
        <v>OK
ESTADO DE POSTVENTAS:  POSTVENTA CORREGIDA</v>
      </c>
      <c r="AE34" s="70" t="str">
        <f>+IF(GENERAL!AF35=GENERAL!$AI$2,GENERAL!$AI$2,CONCATENATE(OBSERVACIONES!AE34,"
ESTADO DE POSTVENTAS:  ",GENERAL!AF35))</f>
        <v>DETALLE PINTURA
ESTADO DE POSTVENTAS:  TIENE POSTVENTA</v>
      </c>
      <c r="AF34" s="51" t="str">
        <f>+IF(GENERAL!AG35=GENERAL!$AI$2,GENERAL!$AI$2,CONCATENATE(OBSERVACIONES!AF34,"
ESTADO DE POSTVENTAS:  ",GENERAL!AG35))</f>
        <v>OK
ESTADO DE POSTVENTAS:  POSTVENTA CORREGIDA</v>
      </c>
      <c r="AG34" s="51" t="str">
        <f>+IF(GENERAL!AH35=GENERAL!$AI$2,GENERAL!$AI$2,CONCATENATE(OBSERVACIONES!AG34,"
ESTADO DE POSTVENTAS:  ",GENERAL!AH35))</f>
        <v>OK
ESTADO DE POSTVENTAS:  POSTVENTA CORREGIDA</v>
      </c>
      <c r="AH34" s="51" t="str">
        <f>+IF(GENERAL!AI35=GENERAL!$AI$2,GENERAL!$AI$2,CONCATENATE(OBSERVACIONES!AH34,"
ESTADO DE POSTVENTAS:  ",GENERAL!AI35))</f>
        <v>OK
ESTADO DE POSTVENTAS:  POSTVENTA CORREGIDA</v>
      </c>
      <c r="AI34" s="51" t="str">
        <f>+IF(GENERAL!AG35=GENERAL!$AI$2,GENERAL!$AI$2,CONCATENATE(OBSERVACIONES!AF34,"
ESTADO DE POSTVENTAS:  ",GENERAL!AG35))</f>
        <v>OK
ESTADO DE POSTVENTAS:  POSTVENTA CORREGIDA</v>
      </c>
      <c r="AJ34" s="51" t="str">
        <f>+IF(GENERAL!AI35=GENERAL!$AI$2,GENERAL!$AI$2,CONCATENATE(OBSERVACIONES!AH34,"
ESTADO DE POSTVENTAS:  ",GENERAL!AI35))</f>
        <v>OK
ESTADO DE POSTVENTAS:  POSTVENTA CORREGIDA</v>
      </c>
      <c r="AK34" s="51" t="str">
        <f>+IF(GENERAL!AJ35=GENERAL!$AI$2,GENERAL!$AI$2,CONCATENATE(OBSERVACIONES!AI34,"
ESTADO DE POSTVENTAS:  ",GENERAL!AJ35))</f>
        <v>OK
ESTADO DE POSTVENTAS:  POSTVENTA CORREGIDA</v>
      </c>
      <c r="AL34" s="51" t="str">
        <f>+IF(GENERAL!AK35=GENERAL!$AI$2,GENERAL!$AI$2,CONCATENATE(OBSERVACIONES!AJ34,"
ESTADO DE POSTVENTAS:  ",GENERAL!AK35))</f>
        <v>OK
ESTADO DE POSTVENTAS:  POSTVENTA CORREGIDA</v>
      </c>
      <c r="AM34" s="51" t="str">
        <f>+IF(GENERAL!AN35=GENERAL!$AI$2,GENERAL!$AI$2,CONCATENATE(OBSERVACIONES!AM34,"
ESTADO DE POSTVENTAS:  ",GENERAL!AN35))</f>
        <v>OK
ESTADO DE POSTVENTAS:  POSTVENTA CORREGIDA</v>
      </c>
      <c r="AN34" s="37">
        <v>3</v>
      </c>
      <c r="AO34" s="37">
        <v>8</v>
      </c>
      <c r="AP34" s="37">
        <v>3</v>
      </c>
      <c r="AQ34" s="37">
        <v>3</v>
      </c>
      <c r="AR34" s="43">
        <v>11</v>
      </c>
      <c r="AS34" s="40">
        <v>12</v>
      </c>
      <c r="AT34" s="37">
        <f>COUNTIFS($D$5:$AM$5,"&lt;&gt;"&amp;CODICIONALES!$A$1,$D$5:$AM$5,"&lt;&gt;"&amp;CODICIONALES!$A$2,$D$5:$AM$5,"&lt;&gt;"&amp;CODICIONALES!$B$2,$D$5:$AM$5,"&lt;&gt;"&amp;CODICIONALES!$C$2)</f>
        <v>6</v>
      </c>
      <c r="AU34" s="43">
        <f>COUNTIFS(D34:AM34,CODICIONALES!$A$2)</f>
        <v>30</v>
      </c>
      <c r="AV34" s="40">
        <f t="shared" si="0"/>
        <v>0</v>
      </c>
    </row>
    <row r="35" spans="1:48" ht="51" customHeight="1" x14ac:dyDescent="0.25">
      <c r="A35" s="110"/>
      <c r="B35" s="2">
        <v>31</v>
      </c>
      <c r="C35" s="21" t="s">
        <v>59</v>
      </c>
      <c r="D35" s="51" t="str">
        <f>+IF(GENERAL!E36=GENERAL!$AI$2,GENERAL!$AI$2,CONCATENATE(OBSERVACIONES!D35,"
ESTADO DE POSTVENTAS:  ",GENERAL!E36))</f>
        <v>NO ENTREGADO
ESTADO DE POSTVENTAS:  TIENE POSTVENTA</v>
      </c>
      <c r="E35" s="51" t="str">
        <f>+IF(GENERAL!F36=GENERAL!$AI$2,GENERAL!$AI$2,CONCATENATE(OBSERVACIONES!E35,"
ESTADO DE POSTVENTAS:  ",GENERAL!F36))</f>
        <v>OK
ESTADO DE POSTVENTAS:  POSTVENTA CORREGIDA</v>
      </c>
      <c r="F35" s="51" t="str">
        <f>+IF(GENERAL!G36=GENERAL!$AI$2,GENERAL!$AI$2,CONCATENATE(OBSERVACIONES!F35,"
ESTADO DE POSTVENTAS:  ",GENERAL!G36))</f>
        <v>OK
ESTADO DE POSTVENTAS:  POSTVENTA CORREGIDA</v>
      </c>
      <c r="G35" s="51" t="str">
        <f>+IF(GENERAL!H36=GENERAL!$AI$2,GENERAL!$AI$2,CONCATENATE(OBSERVACIONES!G35,"
ESTADO DE POSTVENTAS:  ",GENERAL!H36))</f>
        <v>NO ENTREGADO
ESTADO DE POSTVENTAS:  TIENE POSTVENTA</v>
      </c>
      <c r="H35" s="51" t="str">
        <f>+IF(GENERAL!I36=GENERAL!$AI$2,GENERAL!$AI$2,CONCATENATE(OBSERVACIONES!H35,"
ESTADO DE POSTVENTAS:  ",GENERAL!I36))</f>
        <v>OK
ESTADO DE POSTVENTAS:  POSTVENTA CORREGIDA</v>
      </c>
      <c r="I35" s="51" t="str">
        <f>+IF(GENERAL!J36=GENERAL!$AI$2,GENERAL!$AI$2,CONCATENATE(OBSERVACIONES!I35,"
ESTADO DE POSTVENTAS:  ",GENERAL!J36))</f>
        <v>OK
ESTADO DE POSTVENTAS:  POSTVENTA CORREGIDA</v>
      </c>
      <c r="J35" s="51" t="str">
        <f>+IF(GENERAL!K36=GENERAL!$AI$2,GENERAL!$AI$2,CONCATENATE(OBSERVACIONES!J35,"
ESTADO DE POSTVENTAS:  ",GENERAL!K36))</f>
        <v>OK
ESTADO DE POSTVENTAS:  POSTVENTA CORREGIDA</v>
      </c>
      <c r="K35" s="51" t="str">
        <f>+IF(GENERAL!L36=GENERAL!$AI$2,GENERAL!$AI$2,CONCATENATE(OBSERVACIONES!K35,"
ESTADO DE POSTVENTAS:  ",GENERAL!L36))</f>
        <v>OK
ESTADO DE POSTVENTAS:  POSTVENTA CORREGIDA</v>
      </c>
      <c r="L35" s="51" t="str">
        <f>+IF(GENERAL!M36=GENERAL!$AI$2,GENERAL!$AI$2,CONCATENATE(OBSERVACIONES!L35,"
ESTADO DE POSTVENTAS:  ",GENERAL!M36))</f>
        <v>OK
ESTADO DE POSTVENTAS:  POSTVENTA CORREGIDA</v>
      </c>
      <c r="M35" s="70" t="str">
        <f>+IF(GENERAL!N36=GENERAL!$AI$2,GENERAL!$AI$2,CONCATENATE(OBSERVACIONES!M35,"
ESTADO DE POSTVENTAS:  ",GENERAL!N36))</f>
        <v>OK
ESTADO DE POSTVENTAS:  POSTVENTA CORREGIDA</v>
      </c>
      <c r="N35" s="51" t="str">
        <f>+IF(GENERAL!O36=GENERAL!$AI$2,GENERAL!$AI$2,CONCATENATE(OBSERVACIONES!N35,"
ESTADO DE POSTVENTAS:  ",GENERAL!O36))</f>
        <v>OK
ESTADO DE POSTVENTAS:  POSTVENTA CORREGIDA</v>
      </c>
      <c r="O35" s="51" t="str">
        <f>+IF(GENERAL!P36=GENERAL!$AI$2,GENERAL!$AI$2,CONCATENATE(OBSERVACIONES!O35,"
ESTADO DE POSTVENTAS:  ",GENERAL!P36))</f>
        <v>OK
ESTADO DE POSTVENTAS:  POSTVENTA CORREGIDA</v>
      </c>
      <c r="P35" s="70" t="str">
        <f>+IF(GENERAL!Q36=GENERAL!$AI$2,GENERAL!$AI$2,CONCATENATE(OBSERVACIONES!P35,"
ESTADO DE POSTVENTAS:  ",GENERAL!Q36))</f>
        <v>OK
ESTADO DE POSTVENTAS:  POSTVENTA CORREGIDA</v>
      </c>
      <c r="Q35" s="70" t="str">
        <f>+IF(GENERAL!R36=GENERAL!$AI$2,GENERAL!$AI$2,CONCATENATE(OBSERVACIONES!Q35,"
ESTADO DE POSTVENTAS:  ",GENERAL!R36))</f>
        <v>OK
ESTADO DE POSTVENTAS:  POSTVENTA CORREGIDA</v>
      </c>
      <c r="R35" s="51" t="str">
        <f>+IF(GENERAL!S36=GENERAL!$AI$2,GENERAL!$AI$2,CONCATENATE(OBSERVACIONES!R35,"
ESTADO DE POSTVENTAS:  ",GENERAL!S36))</f>
        <v>OK
ESTADO DE POSTVENTAS:  POSTVENTA CORREGIDA</v>
      </c>
      <c r="S35" s="51" t="str">
        <f>+IF(GENERAL!T36=GENERAL!$AI$2,GENERAL!$AI$2,CONCATENATE(OBSERVACIONES!S35,"
ESTADO DE POSTVENTAS:  ",GENERAL!T36))</f>
        <v>OK
ESTADO DE POSTVENTAS:  POSTVENTA CORREGIDA</v>
      </c>
      <c r="T35" s="51" t="str">
        <f>+IF(GENERAL!U36=GENERAL!$AI$2,GENERAL!$AI$2,CONCATENATE(OBSERVACIONES!T35,"
ESTADO DE POSTVENTAS:  ",GENERAL!U36))</f>
        <v>OK
ESTADO DE POSTVENTAS:  POSTVENTA CORREGIDA</v>
      </c>
      <c r="U35" s="51" t="str">
        <f>+IF(GENERAL!V36=GENERAL!$AI$2,GENERAL!$AI$2,CONCATENATE(OBSERVACIONES!U35,"
ESTADO DE POSTVENTAS:  ",GENERAL!V36))</f>
        <v>OK
ESTADO DE POSTVENTAS:  POSTVENTA CORREGIDA</v>
      </c>
      <c r="V35" s="70" t="str">
        <f>+IF(GENERAL!W36=GENERAL!$AI$2,GENERAL!$AI$2,CONCATENATE(OBSERVACIONES!V35,"
ESTADO DE POSTVENTAS:  ",GENERAL!W36))</f>
        <v>DETALLE BALDOSAS
ESTADO DE POSTVENTAS:  TIENE POSTVENTA</v>
      </c>
      <c r="W35" s="51" t="str">
        <f>+IF(GENERAL!V36=GENERAL!$AI$2,GENERAL!$AI$2,CONCATENATE(OBSERVACIONES!W35,"
ESTADO DE POSTVENTAS:  ",GENERAL!V36))</f>
        <v>OK
ESTADO DE POSTVENTAS:  POSTVENTA CORREGIDA</v>
      </c>
      <c r="X35" s="51" t="str">
        <f>+IF(GENERAL!W36=GENERAL!$AI$2,GENERAL!$AI$2,CONCATENATE(OBSERVACIONES!X35,"
ESTADO DE POSTVENTAS:  ",GENERAL!W36))</f>
        <v>OK
ESTADO DE POSTVENTAS:  TIENE POSTVENTA</v>
      </c>
      <c r="Y35" s="51" t="str">
        <f>+IF(GENERAL!Z36=GENERAL!$AI$2,GENERAL!$AI$2,CONCATENATE(OBSERVACIONES!Y35,"
ESTADO DE POSTVENTAS:  ",GENERAL!Z36))</f>
        <v>OK
ESTADO DE POSTVENTAS:  POSTVENTA CORREGIDA</v>
      </c>
      <c r="Z35" s="51" t="str">
        <f>+IF(GENERAL!AA36=GENERAL!$AI$2,GENERAL!$AI$2,CONCATENATE(OBSERVACIONES!Z35,"
ESTADO DE POSTVENTAS:  ",GENERAL!AA36))</f>
        <v>OK
ESTADO DE POSTVENTAS:  POSTVENTA CORREGIDA</v>
      </c>
      <c r="AA35" s="51" t="str">
        <f>+IF(GENERAL!AB36=GENERAL!$AI$2,GENERAL!$AI$2,CONCATENATE(OBSERVACIONES!AA35,"
ESTADO DE POSTVENTAS:  ",GENERAL!AB36))</f>
        <v>OK
ESTADO DE POSTVENTAS:  POSTVENTA CORREGIDA</v>
      </c>
      <c r="AB35" s="51" t="str">
        <f>+IF(GENERAL!AC36=GENERAL!$AI$2,GENERAL!$AI$2,CONCATENATE(OBSERVACIONES!AB35,"
ESTADO DE POSTVENTAS:  ",GENERAL!AC36))</f>
        <v>OK
ESTADO DE POSTVENTAS:  POSTVENTA CORREGIDA</v>
      </c>
      <c r="AC35" s="51" t="str">
        <f>+IF(GENERAL!AD36=GENERAL!$AI$2,GENERAL!$AI$2,CONCATENATE(OBSERVACIONES!AC35,"
ESTADO DE POSTVENTAS:  ",GENERAL!AD36))</f>
        <v>OK
ESTADO DE POSTVENTAS:  POSTVENTA CORREGIDA</v>
      </c>
      <c r="AD35" s="51" t="str">
        <f>+IF(GENERAL!AE36=GENERAL!$AI$2,GENERAL!$AI$2,CONCATENATE(OBSERVACIONES!AD35,"
ESTADO DE POSTVENTAS:  ",GENERAL!AE36))</f>
        <v>DETALLE CERAMICA
ESTADO DE POSTVENTAS:  TIENE POSTVENTA</v>
      </c>
      <c r="AE35" s="51" t="str">
        <f>+IF(GENERAL!AF36=GENERAL!$AI$2,GENERAL!$AI$2,CONCATENATE(OBSERVACIONES!AE35,"
ESTADO DE POSTVENTAS:  ",GENERAL!AF36))</f>
        <v>OK
ESTADO DE POSTVENTAS:  POSTVENTA CORREGIDA</v>
      </c>
      <c r="AF35" s="51" t="str">
        <f>+IF(GENERAL!AG36=GENERAL!$AI$2,GENERAL!$AI$2,CONCATENATE(OBSERVACIONES!AF35,"
ESTADO DE POSTVENTAS:  ",GENERAL!AG36))</f>
        <v>OK
ESTADO DE POSTVENTAS:  POSTVENTA CORREGIDA</v>
      </c>
      <c r="AG35" s="51" t="str">
        <f>+IF(GENERAL!AH36=GENERAL!$AI$2,GENERAL!$AI$2,CONCATENATE(OBSERVACIONES!AG35,"
ESTADO DE POSTVENTAS:  ",GENERAL!AH36))</f>
        <v>DETALLE JUNTAS
ESTADO DE POSTVENTAS:  TIENE POSTVENTA</v>
      </c>
      <c r="AH35" s="51" t="str">
        <f>+IF(GENERAL!AI36=GENERAL!$AI$2,GENERAL!$AI$2,CONCATENATE(OBSERVACIONES!AH35,"
ESTADO DE POSTVENTAS:  ",GENERAL!AI36))</f>
        <v>OK
ESTADO DE POSTVENTAS:  POSTVENTA CORREGIDA</v>
      </c>
      <c r="AI35" s="51" t="str">
        <f>+IF(GENERAL!AG36=GENERAL!$AI$2,GENERAL!$AI$2,CONCATENATE(OBSERVACIONES!AF35,"
ESTADO DE POSTVENTAS:  ",GENERAL!AG36))</f>
        <v>OK
ESTADO DE POSTVENTAS:  POSTVENTA CORREGIDA</v>
      </c>
      <c r="AJ35" s="51" t="str">
        <f>+IF(GENERAL!AI36=GENERAL!$AI$2,GENERAL!$AI$2,CONCATENATE(OBSERVACIONES!AH35,"
ESTADO DE POSTVENTAS:  ",GENERAL!AI36))</f>
        <v>OK
ESTADO DE POSTVENTAS:  POSTVENTA CORREGIDA</v>
      </c>
      <c r="AK35" s="51" t="str">
        <f>+IF(GENERAL!AJ36=GENERAL!$AI$2,GENERAL!$AI$2,CONCATENATE(OBSERVACIONES!AI35,"
ESTADO DE POSTVENTAS:  ",GENERAL!AJ36))</f>
        <v>OK
ESTADO DE POSTVENTAS:  POSTVENTA CORREGIDA</v>
      </c>
      <c r="AL35" s="51" t="str">
        <f>+IF(GENERAL!AK36=GENERAL!$AI$2,GENERAL!$AI$2,CONCATENATE(OBSERVACIONES!AJ35,"
ESTADO DE POSTVENTAS:  ",GENERAL!AK36))</f>
        <v>OK
ESTADO DE POSTVENTAS:  POSTVENTA CORREGIDA</v>
      </c>
      <c r="AM35" s="51" t="str">
        <f>+IF(GENERAL!AN36=GENERAL!$AI$2,GENERAL!$AI$2,CONCATENATE(OBSERVACIONES!AM35,"
ESTADO DE POSTVENTAS:  ",GENERAL!AN36))</f>
        <v>OK
ESTADO DE POSTVENTAS:  POSTVENTA CORREGIDA</v>
      </c>
      <c r="AN35" s="37">
        <v>2</v>
      </c>
      <c r="AO35" s="37">
        <v>9</v>
      </c>
      <c r="AP35" s="37">
        <v>3</v>
      </c>
      <c r="AQ35" s="37">
        <v>0</v>
      </c>
      <c r="AR35" s="43">
        <v>14</v>
      </c>
      <c r="AS35" s="40">
        <v>12</v>
      </c>
      <c r="AT35" s="37">
        <f>COUNTIFS($D$5:$AM$5,"&lt;&gt;"&amp;CODICIONALES!$A$1,$D$5:$AM$5,"&lt;&gt;"&amp;CODICIONALES!$A$2,$D$5:$AM$5,"&lt;&gt;"&amp;CODICIONALES!$B$2,$D$5:$AM$5,"&lt;&gt;"&amp;CODICIONALES!$C$2)</f>
        <v>6</v>
      </c>
      <c r="AU35" s="43">
        <f>COUNTIFS(D35:AM35,CODICIONALES!$A$2)</f>
        <v>30</v>
      </c>
      <c r="AV35" s="40">
        <f t="shared" si="0"/>
        <v>0</v>
      </c>
    </row>
    <row r="36" spans="1:48" ht="51" customHeight="1" x14ac:dyDescent="0.25">
      <c r="A36" s="110"/>
      <c r="B36" s="2">
        <v>32</v>
      </c>
      <c r="C36" s="21" t="s">
        <v>61</v>
      </c>
      <c r="D36" s="51" t="str">
        <f>+IF(GENERAL!E37=GENERAL!$AI$2,GENERAL!$AI$2,CONCATENATE(OBSERVACIONES!D36,"
ESTADO DE POSTVENTAS:  ",GENERAL!E37))</f>
        <v>NO ENTREGADO
ESTADO DE POSTVENTAS:  TIENE POSTVENTA</v>
      </c>
      <c r="E36" s="51" t="str">
        <f>+IF(GENERAL!F37=GENERAL!$AI$2,GENERAL!$AI$2,CONCATENATE(OBSERVACIONES!E36,"
ESTADO DE POSTVENTAS:  ",GENERAL!F37))</f>
        <v>OK
ESTADO DE POSTVENTAS:  POSTVENTA CORREGIDA</v>
      </c>
      <c r="F36" s="51" t="str">
        <f>+IF(GENERAL!G37=GENERAL!$AI$2,GENERAL!$AI$2,CONCATENATE(OBSERVACIONES!F36,"
ESTADO DE POSTVENTAS:  ",GENERAL!G37))</f>
        <v>OK
ESTADO DE POSTVENTAS:  POSTVENTA CORREGIDA</v>
      </c>
      <c r="G36" s="51" t="str">
        <f>+IF(GENERAL!H37=GENERAL!$AI$2,GENERAL!$AI$2,CONCATENATE(OBSERVACIONES!G36,"
ESTADO DE POSTVENTAS:  ",GENERAL!H37))</f>
        <v>NO ENTREGADO
ESTADO DE POSTVENTAS:  TIENE POSTVENTA</v>
      </c>
      <c r="H36" s="51" t="str">
        <f>+IF(GENERAL!I37=GENERAL!$AI$2,GENERAL!$AI$2,CONCATENATE(OBSERVACIONES!H36,"
ESTADO DE POSTVENTAS:  ",GENERAL!I37))</f>
        <v>OK
ESTADO DE POSTVENTAS:  POSTVENTA CORREGIDA</v>
      </c>
      <c r="I36" s="51" t="str">
        <f>+IF(GENERAL!J37=GENERAL!$AI$2,GENERAL!$AI$2,CONCATENATE(OBSERVACIONES!I36,"
ESTADO DE POSTVENTAS:  ",GENERAL!J37))</f>
        <v>OK
ESTADO DE POSTVENTAS:  POSTVENTA CORREGIDA</v>
      </c>
      <c r="J36" s="51" t="str">
        <f>+IF(GENERAL!K37=GENERAL!$AI$2,GENERAL!$AI$2,CONCATENATE(OBSERVACIONES!J36,"
ESTADO DE POSTVENTAS:  ",GENERAL!K37))</f>
        <v>OK
ESTADO DE POSTVENTAS:  POSTVENTA CORREGIDA</v>
      </c>
      <c r="K36" s="51" t="str">
        <f>+IF(GENERAL!L37=GENERAL!$AI$2,GENERAL!$AI$2,CONCATENATE(OBSERVACIONES!K36,"
ESTADO DE POSTVENTAS:  ",GENERAL!L37))</f>
        <v>OK
ESTADO DE POSTVENTAS:  POSTVENTA CORREGIDA</v>
      </c>
      <c r="L36" s="51" t="str">
        <f>+IF(GENERAL!M37=GENERAL!$AI$2,GENERAL!$AI$2,CONCATENATE(OBSERVACIONES!L36,"
ESTADO DE POSTVENTAS:  ",GENERAL!M37))</f>
        <v>OK
ESTADO DE POSTVENTAS:  POSTVENTA CORREGIDA</v>
      </c>
      <c r="M36" s="70" t="str">
        <f>+IF(GENERAL!N37=GENERAL!$AI$2,GENERAL!$AI$2,CONCATENATE(OBSERVACIONES!M36,"
ESTADO DE POSTVENTAS:  ",GENERAL!N37))</f>
        <v>OK
ESTADO DE POSTVENTAS:  POSTVENTA CORREGIDA</v>
      </c>
      <c r="N36" s="51" t="str">
        <f>+IF(GENERAL!O37=GENERAL!$AI$2,GENERAL!$AI$2,CONCATENATE(OBSERVACIONES!N36,"
ESTADO DE POSTVENTAS:  ",GENERAL!O37))</f>
        <v>OK
ESTADO DE POSTVENTAS:  POSTVENTA CORREGIDA</v>
      </c>
      <c r="O36" s="51" t="str">
        <f>+IF(GENERAL!P37=GENERAL!$AI$2,GENERAL!$AI$2,CONCATENATE(OBSERVACIONES!O36,"
ESTADO DE POSTVENTAS:  ",GENERAL!P37))</f>
        <v>OK
ESTADO DE POSTVENTAS:  POSTVENTA CORREGIDA</v>
      </c>
      <c r="P36" s="70" t="str">
        <f>+IF(GENERAL!Q37=GENERAL!$AI$2,GENERAL!$AI$2,CONCATENATE(OBSERVACIONES!P36,"
ESTADO DE POSTVENTAS:  ",GENERAL!Q37))</f>
        <v>OK
ESTADO DE POSTVENTAS:  POSTVENTA CORREGIDA</v>
      </c>
      <c r="Q36" s="70" t="str">
        <f>+IF(GENERAL!R37=GENERAL!$AI$2,GENERAL!$AI$2,CONCATENATE(OBSERVACIONES!Q36,"
ESTADO DE POSTVENTAS:  ",GENERAL!R37))</f>
        <v>OK
ESTADO DE POSTVENTAS:  POSTVENTA CORREGIDA</v>
      </c>
      <c r="R36" s="51" t="str">
        <f>+IF(GENERAL!S37=GENERAL!$AI$2,GENERAL!$AI$2,CONCATENATE(OBSERVACIONES!R36,"
ESTADO DE POSTVENTAS:  ",GENERAL!S37))</f>
        <v>OK
ESTADO DE POSTVENTAS:  POSTVENTA CORREGIDA</v>
      </c>
      <c r="S36" s="51" t="str">
        <f>+IF(GENERAL!T37=GENERAL!$AI$2,GENERAL!$AI$2,CONCATENATE(OBSERVACIONES!S36,"
ESTADO DE POSTVENTAS:  ",GENERAL!T37))</f>
        <v>OK
ESTADO DE POSTVENTAS:  POSTVENTA CORREGIDA</v>
      </c>
      <c r="T36" s="51" t="str">
        <f>+IF(GENERAL!U37=GENERAL!$AI$2,GENERAL!$AI$2,CONCATENATE(OBSERVACIONES!T36,"
ESTADO DE POSTVENTAS:  ",GENERAL!U37))</f>
        <v>OK
ESTADO DE POSTVENTAS:  POSTVENTA CORREGIDA</v>
      </c>
      <c r="U36" s="51" t="str">
        <f>+IF(GENERAL!V37=GENERAL!$AI$2,GENERAL!$AI$2,CONCATENATE(OBSERVACIONES!U36,"
ESTADO DE POSTVENTAS:  ",GENERAL!V37))</f>
        <v>OK
ESTADO DE POSTVENTAS:  POSTVENTA CORREGIDA</v>
      </c>
      <c r="V36" s="51" t="str">
        <f>+IF(GENERAL!W37=GENERAL!$AI$2,GENERAL!$AI$2,CONCATENATE(OBSERVACIONES!V36,"
ESTADO DE POSTVENTAS:  ",GENERAL!W37))</f>
        <v>OK
ESTADO DE POSTVENTAS:  POSTVENTA CORREGIDA</v>
      </c>
      <c r="W36" s="51" t="str">
        <f>+IF(GENERAL!V37=GENERAL!$AI$2,GENERAL!$AI$2,CONCATENATE(OBSERVACIONES!W36,"
ESTADO DE POSTVENTAS:  ",GENERAL!V37))</f>
        <v>OK
ESTADO DE POSTVENTAS:  POSTVENTA CORREGIDA</v>
      </c>
      <c r="X36" s="51" t="str">
        <f>+IF(GENERAL!W37=GENERAL!$AI$2,GENERAL!$AI$2,CONCATENATE(OBSERVACIONES!X36,"
ESTADO DE POSTVENTAS:  ",GENERAL!W37))</f>
        <v>OK
ESTADO DE POSTVENTAS:  POSTVENTA CORREGIDA</v>
      </c>
      <c r="Y36" s="51" t="str">
        <f>+IF(GENERAL!Z37=GENERAL!$AI$2,GENERAL!$AI$2,CONCATENATE(OBSERVACIONES!Y36,"
ESTADO DE POSTVENTAS:  ",GENERAL!Z37))</f>
        <v>OK
ESTADO DE POSTVENTAS:  POSTVENTA CORREGIDA</v>
      </c>
      <c r="Z36" s="51" t="str">
        <f>+IF(GENERAL!AA37=GENERAL!$AI$2,GENERAL!$AI$2,CONCATENATE(OBSERVACIONES!Z36,"
ESTADO DE POSTVENTAS:  ",GENERAL!AA37))</f>
        <v>OK
ESTADO DE POSTVENTAS:  POSTVENTA CORREGIDA</v>
      </c>
      <c r="AA36" s="51" t="str">
        <f>+IF(GENERAL!AB37=GENERAL!$AI$2,GENERAL!$AI$2,CONCATENATE(OBSERVACIONES!AA36,"
ESTADO DE POSTVENTAS:  ",GENERAL!AB37))</f>
        <v>OK
ESTADO DE POSTVENTAS:  POSTVENTA CORREGIDA</v>
      </c>
      <c r="AB36" s="51" t="str">
        <f>+IF(GENERAL!AC37=GENERAL!$AI$2,GENERAL!$AI$2,CONCATENATE(OBSERVACIONES!AB36,"
ESTADO DE POSTVENTAS:  ",GENERAL!AC37))</f>
        <v>OK
ESTADO DE POSTVENTAS:  POSTVENTA CORREGIDA</v>
      </c>
      <c r="AC36" s="51" t="str">
        <f>+IF(GENERAL!AD37=GENERAL!$AI$2,GENERAL!$AI$2,CONCATENATE(OBSERVACIONES!AC36,"
ESTADO DE POSTVENTAS:  ",GENERAL!AD37))</f>
        <v>OK
ESTADO DE POSTVENTAS:  POSTVENTA CORREGIDA</v>
      </c>
      <c r="AD36" s="51" t="str">
        <f>+IF(GENERAL!AE37=GENERAL!$AI$2,GENERAL!$AI$2,CONCATENATE(OBSERVACIONES!AD36,"
ESTADO DE POSTVENTAS:  ",GENERAL!AE37))</f>
        <v>OK
ESTADO DE POSTVENTAS:  POSTVENTA CORREGIDA</v>
      </c>
      <c r="AE36" s="51" t="str">
        <f>+IF(GENERAL!AF37=GENERAL!$AI$2,GENERAL!$AI$2,CONCATENATE(OBSERVACIONES!AE36,"
ESTADO DE POSTVENTAS:  ",GENERAL!AF37))</f>
        <v>OK
ESTADO DE POSTVENTAS:  POSTVENTA CORREGIDA</v>
      </c>
      <c r="AF36" s="51" t="str">
        <f>+IF(GENERAL!AG37=GENERAL!$AI$2,GENERAL!$AI$2,CONCATENATE(OBSERVACIONES!AF36,"
ESTADO DE POSTVENTAS:  ",GENERAL!AG37))</f>
        <v>OK
ESTADO DE POSTVENTAS:  POSTVENTA CORREGIDA</v>
      </c>
      <c r="AG36" s="51" t="str">
        <f>+IF(GENERAL!AH37=GENERAL!$AI$2,GENERAL!$AI$2,CONCATENATE(OBSERVACIONES!AG36,"
ESTADO DE POSTVENTAS:  ",GENERAL!AH37))</f>
        <v>OK
ESTADO DE POSTVENTAS:  POSTVENTA CORREGIDA</v>
      </c>
      <c r="AH36" s="51" t="str">
        <f>+IF(GENERAL!AI37=GENERAL!$AI$2,GENERAL!$AI$2,CONCATENATE(OBSERVACIONES!AH36,"
ESTADO DE POSTVENTAS:  ",GENERAL!AI37))</f>
        <v>OK
ESTADO DE POSTVENTAS:  POSTVENTA CORREGIDA</v>
      </c>
      <c r="AI36" s="51" t="str">
        <f>+IF(GENERAL!AG37=GENERAL!$AI$2,GENERAL!$AI$2,CONCATENATE(OBSERVACIONES!AF36,"
ESTADO DE POSTVENTAS:  ",GENERAL!AG37))</f>
        <v>OK
ESTADO DE POSTVENTAS:  POSTVENTA CORREGIDA</v>
      </c>
      <c r="AJ36" s="51" t="str">
        <f>+IF(GENERAL!AI37=GENERAL!$AI$2,GENERAL!$AI$2,CONCATENATE(OBSERVACIONES!AH36,"
ESTADO DE POSTVENTAS:  ",GENERAL!AI37))</f>
        <v>OK
ESTADO DE POSTVENTAS:  POSTVENTA CORREGIDA</v>
      </c>
      <c r="AK36" s="51" t="str">
        <f>+IF(GENERAL!AJ37=GENERAL!$AI$2,GENERAL!$AI$2,CONCATENATE(OBSERVACIONES!AI36,"
ESTADO DE POSTVENTAS:  ",GENERAL!AJ37))</f>
        <v>OK
ESTADO DE POSTVENTAS:  POSTVENTA CORREGIDA</v>
      </c>
      <c r="AL36" s="51" t="str">
        <f>+IF(GENERAL!AK37=GENERAL!$AI$2,GENERAL!$AI$2,CONCATENATE(OBSERVACIONES!AJ36,"
ESTADO DE POSTVENTAS:  ",GENERAL!AK37))</f>
        <v>OK
ESTADO DE POSTVENTAS:  POSTVENTA CORREGIDA</v>
      </c>
      <c r="AM36" s="51" t="str">
        <f>+IF(GENERAL!AN37=GENERAL!$AI$2,GENERAL!$AI$2,CONCATENATE(OBSERVACIONES!AM36,"
ESTADO DE POSTVENTAS:  ",GENERAL!AN37))</f>
        <v>OK
ESTADO DE POSTVENTAS:  POSTVENTA CORREGIDA</v>
      </c>
      <c r="AN36" s="37">
        <v>1</v>
      </c>
      <c r="AO36" s="37">
        <v>10</v>
      </c>
      <c r="AP36" s="37">
        <v>3</v>
      </c>
      <c r="AQ36" s="37">
        <v>0</v>
      </c>
      <c r="AR36" s="43">
        <v>14</v>
      </c>
      <c r="AS36" s="40">
        <v>12</v>
      </c>
      <c r="AT36" s="37">
        <f>COUNTIFS($D$5:$AM$5,"&lt;&gt;"&amp;CODICIONALES!$A$1,$D$5:$AM$5,"&lt;&gt;"&amp;CODICIONALES!$A$2,$D$5:$AM$5,"&lt;&gt;"&amp;CODICIONALES!$B$2,$D$5:$AM$5,"&lt;&gt;"&amp;CODICIONALES!$C$2)</f>
        <v>6</v>
      </c>
      <c r="AU36" s="43">
        <f>COUNTIFS(D36:AM36,CODICIONALES!$A$2)</f>
        <v>34</v>
      </c>
      <c r="AV36" s="40">
        <f t="shared" si="0"/>
        <v>-4</v>
      </c>
    </row>
    <row r="37" spans="1:48" ht="51" customHeight="1" x14ac:dyDescent="0.25">
      <c r="A37" s="110"/>
      <c r="B37" s="2">
        <v>33</v>
      </c>
      <c r="C37" s="21" t="s">
        <v>62</v>
      </c>
      <c r="D37" s="51" t="str">
        <f>+IF(GENERAL!E38=GENERAL!$AI$2,GENERAL!$AI$2,CONCATENATE(OBSERVACIONES!D37,"
ESTADO DE POSTVENTAS:  ",GENERAL!E38))</f>
        <v>NO ENTREGADO
ESTADO DE POSTVENTAS:  TIENE POSTVENTA</v>
      </c>
      <c r="E37" s="51" t="str">
        <f>+IF(GENERAL!F38=GENERAL!$AI$2,GENERAL!$AI$2,CONCATENATE(OBSERVACIONES!E37,"
ESTADO DE POSTVENTAS:  ",GENERAL!F38))</f>
        <v>OK
ESTADO DE POSTVENTAS:  POSTVENTA CORREGIDA</v>
      </c>
      <c r="F37" s="51" t="str">
        <f>+IF(GENERAL!G38=GENERAL!$AI$2,GENERAL!$AI$2,CONCATENATE(OBSERVACIONES!F37,"
ESTADO DE POSTVENTAS:  ",GENERAL!G38))</f>
        <v>OK
ESTADO DE POSTVENTAS:  POSTVENTA CORREGIDA</v>
      </c>
      <c r="G37" s="51" t="str">
        <f>+IF(GENERAL!H38=GENERAL!$AI$2,GENERAL!$AI$2,CONCATENATE(OBSERVACIONES!G37,"
ESTADO DE POSTVENTAS:  ",GENERAL!H38))</f>
        <v>NO ENTREGADO
ESTADO DE POSTVENTAS:  TIENE POSTVENTA</v>
      </c>
      <c r="H37" s="51" t="str">
        <f>+IF(GENERAL!I38=GENERAL!$AI$2,GENERAL!$AI$2,CONCATENATE(OBSERVACIONES!H37,"
ESTADO DE POSTVENTAS:  ",GENERAL!I38))</f>
        <v>OK
ESTADO DE POSTVENTAS:  POSTVENTA CORREGIDA</v>
      </c>
      <c r="I37" s="51" t="str">
        <f>+IF(GENERAL!J38=GENERAL!$AI$2,GENERAL!$AI$2,CONCATENATE(OBSERVACIONES!I37,"
ESTADO DE POSTVENTAS:  ",GENERAL!J38))</f>
        <v>OK
ESTADO DE POSTVENTAS:  POSTVENTA CORREGIDA</v>
      </c>
      <c r="J37" s="51" t="str">
        <f>+IF(GENERAL!K38=GENERAL!$AI$2,GENERAL!$AI$2,CONCATENATE(OBSERVACIONES!J37,"
ESTADO DE POSTVENTAS:  ",GENERAL!K38))</f>
        <v>OK
ESTADO DE POSTVENTAS:  POSTVENTA CORREGIDA</v>
      </c>
      <c r="K37" s="51" t="str">
        <f>+IF(GENERAL!L38=GENERAL!$AI$2,GENERAL!$AI$2,CONCATENATE(OBSERVACIONES!K37,"
ESTADO DE POSTVENTAS:  ",GENERAL!L38))</f>
        <v>OK
ESTADO DE POSTVENTAS:  POSTVENTA CORREGIDA</v>
      </c>
      <c r="L37" s="51" t="str">
        <f>+IF(GENERAL!M38=GENERAL!$AI$2,GENERAL!$AI$2,CONCATENATE(OBSERVACIONES!L37,"
ESTADO DE POSTVENTAS:  ",GENERAL!M38))</f>
        <v>OK
ESTADO DE POSTVENTAS:  POSTVENTA CORREGIDA</v>
      </c>
      <c r="M37" s="70" t="str">
        <f>+IF(GENERAL!N38=GENERAL!$AI$2,GENERAL!$AI$2,CONCATENATE(OBSERVACIONES!M37,"
ESTADO DE POSTVENTAS:  ",GENERAL!N38))</f>
        <v>OK
ESTADO DE POSTVENTAS:  POSTVENTA CORREGIDA</v>
      </c>
      <c r="N37" s="51" t="str">
        <f>+IF(GENERAL!O38=GENERAL!$AI$2,GENERAL!$AI$2,CONCATENATE(OBSERVACIONES!N37,"
ESTADO DE POSTVENTAS:  ",GENERAL!O38))</f>
        <v>OK
ESTADO DE POSTVENTAS:  POSTVENTA CORREGIDA</v>
      </c>
      <c r="O37" s="51" t="str">
        <f>+IF(GENERAL!P38=GENERAL!$AI$2,GENERAL!$AI$2,CONCATENATE(OBSERVACIONES!O37,"
ESTADO DE POSTVENTAS:  ",GENERAL!P38))</f>
        <v>OK
ESTADO DE POSTVENTAS:  POSTVENTA CORREGIDA</v>
      </c>
      <c r="P37" s="70" t="str">
        <f>+IF(GENERAL!Q38=GENERAL!$AI$2,GENERAL!$AI$2,CONCATENATE(OBSERVACIONES!P37,"
ESTADO DE POSTVENTAS:  ",GENERAL!Q38))</f>
        <v>OK
ESTADO DE POSTVENTAS:  POSTVENTA CORREGIDA</v>
      </c>
      <c r="Q37" s="70" t="str">
        <f>+IF(GENERAL!R38=GENERAL!$AI$2,GENERAL!$AI$2,CONCATENATE(OBSERVACIONES!Q37,"
ESTADO DE POSTVENTAS:  ",GENERAL!R38))</f>
        <v>OK
ESTADO DE POSTVENTAS:  POSTVENTA CORREGIDA</v>
      </c>
      <c r="R37" s="51" t="str">
        <f>+IF(GENERAL!S38=GENERAL!$AI$2,GENERAL!$AI$2,CONCATENATE(OBSERVACIONES!R37,"
ESTADO DE POSTVENTAS:  ",GENERAL!S38))</f>
        <v>OK
ESTADO DE POSTVENTAS:  POSTVENTA CORREGIDA</v>
      </c>
      <c r="S37" s="51" t="str">
        <f>+IF(GENERAL!T38=GENERAL!$AI$2,GENERAL!$AI$2,CONCATENATE(OBSERVACIONES!S37,"
ESTADO DE POSTVENTAS:  ",GENERAL!T38))</f>
        <v>OK
ESTADO DE POSTVENTAS:  POSTVENTA CORREGIDA</v>
      </c>
      <c r="T37" s="51" t="str">
        <f>+IF(GENERAL!U38=GENERAL!$AI$2,GENERAL!$AI$2,CONCATENATE(OBSERVACIONES!T37,"
ESTADO DE POSTVENTAS:  ",GENERAL!U38))</f>
        <v>OK
ESTADO DE POSTVENTAS:  POSTVENTA CORREGIDA</v>
      </c>
      <c r="U37" s="51" t="str">
        <f>+IF(GENERAL!V38=GENERAL!$AI$2,GENERAL!$AI$2,CONCATENATE(OBSERVACIONES!U37,"
ESTADO DE POSTVENTAS:  ",GENERAL!V38))</f>
        <v>OK
ESTADO DE POSTVENTAS:  POSTVENTA CORREGIDA</v>
      </c>
      <c r="V37" s="70" t="str">
        <f>+IF(GENERAL!W38=GENERAL!$AI$2,GENERAL!$AI$2,CONCATENATE(OBSERVACIONES!V37,"
ESTADO DE POSTVENTAS:  ",GENERAL!W38))</f>
        <v>DETALLE FILTRACION
ESTADO DE POSTVENTAS:  TIENE POSTVENTA</v>
      </c>
      <c r="W37" s="51" t="str">
        <f>+IF(GENERAL!V38=GENERAL!$AI$2,GENERAL!$AI$2,CONCATENATE(OBSERVACIONES!W37,"
ESTADO DE POSTVENTAS:  ",GENERAL!V38))</f>
        <v>OK
ESTADO DE POSTVENTAS:  POSTVENTA CORREGIDA</v>
      </c>
      <c r="X37" s="51" t="str">
        <f>+IF(GENERAL!W38=GENERAL!$AI$2,GENERAL!$AI$2,CONCATENATE(OBSERVACIONES!X37,"
ESTADO DE POSTVENTAS:  ",GENERAL!W38))</f>
        <v>OK
ESTADO DE POSTVENTAS:  TIENE POSTVENTA</v>
      </c>
      <c r="Y37" s="51" t="str">
        <f>+IF(GENERAL!Z38=GENERAL!$AI$2,GENERAL!$AI$2,CONCATENATE(OBSERVACIONES!Y37,"
ESTADO DE POSTVENTAS:  ",GENERAL!Z38))</f>
        <v>OK
ESTADO DE POSTVENTAS:  POSTVENTA CORREGIDA</v>
      </c>
      <c r="Z37" s="51" t="str">
        <f>+IF(GENERAL!AA38=GENERAL!$AI$2,GENERAL!$AI$2,CONCATENATE(OBSERVACIONES!Z37,"
ESTADO DE POSTVENTAS:  ",GENERAL!AA38))</f>
        <v>OK
ESTADO DE POSTVENTAS:  POSTVENTA CORREGIDA</v>
      </c>
      <c r="AA37" s="51" t="str">
        <f>+IF(GENERAL!AB38=GENERAL!$AI$2,GENERAL!$AI$2,CONCATENATE(OBSERVACIONES!AA37,"
ESTADO DE POSTVENTAS:  ",GENERAL!AB38))</f>
        <v>OK
ESTADO DE POSTVENTAS:  POSTVENTA CORREGIDA</v>
      </c>
      <c r="AB37" s="51" t="str">
        <f>+IF(GENERAL!AC38=GENERAL!$AI$2,GENERAL!$AI$2,CONCATENATE(OBSERVACIONES!AB37,"
ESTADO DE POSTVENTAS:  ",GENERAL!AC38))</f>
        <v>OK
ESTADO DE POSTVENTAS:  POSTVENTA CORREGIDA</v>
      </c>
      <c r="AC37" s="51" t="str">
        <f>+IF(GENERAL!AD38=GENERAL!$AI$2,GENERAL!$AI$2,CONCATENATE(OBSERVACIONES!AC37,"
ESTADO DE POSTVENTAS:  ",GENERAL!AD38))</f>
        <v>DETALLE FILTRACION
ESTADO DE POSTVENTAS:  TIENE POSTVENTA</v>
      </c>
      <c r="AD37" s="51" t="str">
        <f>+IF(GENERAL!AE38=GENERAL!$AI$2,GENERAL!$AI$2,CONCATENATE(OBSERVACIONES!AD37,"
ESTADO DE POSTVENTAS:  ",GENERAL!AE38))</f>
        <v>OK
ESTADO DE POSTVENTAS:  POSTVENTA CORREGIDA</v>
      </c>
      <c r="AE37" s="51" t="str">
        <f>+IF(GENERAL!AF38=GENERAL!$AI$2,GENERAL!$AI$2,CONCATENATE(OBSERVACIONES!AE37,"
ESTADO DE POSTVENTAS:  ",GENERAL!AF38))</f>
        <v>OK
ESTADO DE POSTVENTAS:  POSTVENTA CORREGIDA</v>
      </c>
      <c r="AF37" s="51" t="str">
        <f>+IF(GENERAL!AG38=GENERAL!$AI$2,GENERAL!$AI$2,CONCATENATE(OBSERVACIONES!AF37,"
ESTADO DE POSTVENTAS:  ",GENERAL!AG38))</f>
        <v>OK
ESTADO DE POSTVENTAS:  POSTVENTA CORREGIDA</v>
      </c>
      <c r="AG37" s="51" t="str">
        <f>+IF(GENERAL!AH38=GENERAL!$AI$2,GENERAL!$AI$2,CONCATENATE(OBSERVACIONES!AG37,"
ESTADO DE POSTVENTAS:  ",GENERAL!AH38))</f>
        <v>OK
ESTADO DE POSTVENTAS:  POSTVENTA CORREGIDA</v>
      </c>
      <c r="AH37" s="51" t="str">
        <f>+IF(GENERAL!AI38=GENERAL!$AI$2,GENERAL!$AI$2,CONCATENATE(OBSERVACIONES!AH37,"
ESTADO DE POSTVENTAS:  ",GENERAL!AI38))</f>
        <v>OK
ESTADO DE POSTVENTAS:  POSTVENTA CORREGIDA</v>
      </c>
      <c r="AI37" s="51" t="str">
        <f>+IF(GENERAL!AG38=GENERAL!$AI$2,GENERAL!$AI$2,CONCATENATE(OBSERVACIONES!AF37,"
ESTADO DE POSTVENTAS:  ",GENERAL!AG38))</f>
        <v>OK
ESTADO DE POSTVENTAS:  POSTVENTA CORREGIDA</v>
      </c>
      <c r="AJ37" s="51" t="str">
        <f>+IF(GENERAL!AI38=GENERAL!$AI$2,GENERAL!$AI$2,CONCATENATE(OBSERVACIONES!AH37,"
ESTADO DE POSTVENTAS:  ",GENERAL!AI38))</f>
        <v>OK
ESTADO DE POSTVENTAS:  POSTVENTA CORREGIDA</v>
      </c>
      <c r="AK37" s="51" t="str">
        <f>+IF(GENERAL!AJ38=GENERAL!$AI$2,GENERAL!$AI$2,CONCATENATE(OBSERVACIONES!AI37,"
ESTADO DE POSTVENTAS:  ",GENERAL!AJ38))</f>
        <v>OK
ESTADO DE POSTVENTAS:  POSTVENTA CORREGIDA</v>
      </c>
      <c r="AL37" s="70" t="str">
        <f>+IF(GENERAL!AK38=GENERAL!$AI$2,GENERAL!$AI$2,CONCATENATE(OBSERVACIONES!AJ37,"
ESTADO DE POSTVENTAS:  ",GENERAL!AK38))</f>
        <v>OK
ESTADO DE POSTVENTAS:  POSTVENTA CORREGIDA</v>
      </c>
      <c r="AM37" s="51" t="str">
        <f>+IF(GENERAL!AN38=GENERAL!$AI$2,GENERAL!$AI$2,CONCATENATE(OBSERVACIONES!AM37,"
ESTADO DE POSTVENTAS:  ",GENERAL!AN38))</f>
        <v>OK
ESTADO DE POSTVENTAS:  POSTVENTA CORREGIDA</v>
      </c>
      <c r="AN37" s="37">
        <v>0</v>
      </c>
      <c r="AO37" s="37">
        <v>11</v>
      </c>
      <c r="AP37" s="37">
        <v>3</v>
      </c>
      <c r="AQ37" s="37">
        <v>0</v>
      </c>
      <c r="AR37" s="43">
        <v>14</v>
      </c>
      <c r="AS37" s="40">
        <v>12</v>
      </c>
      <c r="AT37" s="37">
        <f>COUNTIFS($D$5:$AM$5,"&lt;&gt;"&amp;CODICIONALES!$A$1,$D$5:$AM$5,"&lt;&gt;"&amp;CODICIONALES!$A$2,$D$5:$AM$5,"&lt;&gt;"&amp;CODICIONALES!$B$2,$D$5:$AM$5,"&lt;&gt;"&amp;CODICIONALES!$C$2)</f>
        <v>6</v>
      </c>
      <c r="AU37" s="43">
        <f>COUNTIFS(D37:AM37,CODICIONALES!$A$2)</f>
        <v>31</v>
      </c>
      <c r="AV37" s="40">
        <f t="shared" si="0"/>
        <v>-1</v>
      </c>
    </row>
    <row r="38" spans="1:48" ht="51" customHeight="1" x14ac:dyDescent="0.25">
      <c r="A38" s="110"/>
      <c r="B38" s="2">
        <v>34</v>
      </c>
      <c r="C38" s="24" t="s">
        <v>78</v>
      </c>
      <c r="D38" s="51" t="str">
        <f>+IF(GENERAL!E39=GENERAL!$AI$2,GENERAL!$AI$2,CONCATENATE(OBSERVACIONES!D38,"
ESTADO DE POSTVENTAS:  ",GENERAL!E39))</f>
        <v>NO ENTREGADO
ESTADO DE POSTVENTAS:  TIENE POSTVENTA</v>
      </c>
      <c r="E38" s="51" t="str">
        <f>+IF(GENERAL!F39=GENERAL!$AI$2,GENERAL!$AI$2,CONCATENATE(OBSERVACIONES!E38,"
ESTADO DE POSTVENTAS:  ",GENERAL!F39))</f>
        <v>OK
ESTADO DE POSTVENTAS:  POSTVENTA CORREGIDA</v>
      </c>
      <c r="F38" s="51" t="str">
        <f>+IF(GENERAL!G39=GENERAL!$AI$2,GENERAL!$AI$2,CONCATENATE(OBSERVACIONES!F38,"
ESTADO DE POSTVENTAS:  ",GENERAL!G39))</f>
        <v>OK
ESTADO DE POSTVENTAS:  POSTVENTA CORREGIDA</v>
      </c>
      <c r="G38" s="51" t="str">
        <f>+IF(GENERAL!H39=GENERAL!$AI$2,GENERAL!$AI$2,CONCATENATE(OBSERVACIONES!G38,"
ESTADO DE POSTVENTAS:  ",GENERAL!H39))</f>
        <v>NO ENTREGADO
ESTADO DE POSTVENTAS:  TIENE POSTVENTA</v>
      </c>
      <c r="H38" s="51" t="str">
        <f>+IF(GENERAL!I39=GENERAL!$AI$2,GENERAL!$AI$2,CONCATENATE(OBSERVACIONES!H38,"
ESTADO DE POSTVENTAS:  ",GENERAL!I39))</f>
        <v>OK
ESTADO DE POSTVENTAS:  POSTVENTA CORREGIDA</v>
      </c>
      <c r="I38" s="51" t="str">
        <f>+IF(GENERAL!J39=GENERAL!$AI$2,GENERAL!$AI$2,CONCATENATE(OBSERVACIONES!I38,"
ESTADO DE POSTVENTAS:  ",GENERAL!J39))</f>
        <v>OK
ESTADO DE POSTVENTAS:  POSTVENTA CORREGIDA</v>
      </c>
      <c r="J38" s="51" t="str">
        <f>+IF(GENERAL!K39=GENERAL!$AI$2,GENERAL!$AI$2,CONCATENATE(OBSERVACIONES!J38,"
ESTADO DE POSTVENTAS:  ",GENERAL!K39))</f>
        <v>OK
ESTADO DE POSTVENTAS:  POSTVENTA CORREGIDA</v>
      </c>
      <c r="K38" s="51" t="str">
        <f>+IF(GENERAL!L39=GENERAL!$AI$2,GENERAL!$AI$2,CONCATENATE(OBSERVACIONES!K38,"
ESTADO DE POSTVENTAS:  ",GENERAL!L39))</f>
        <v>OK
ESTADO DE POSTVENTAS:  POSTVENTA CORREGIDA</v>
      </c>
      <c r="L38" s="51" t="str">
        <f>+IF(GENERAL!M39=GENERAL!$AI$2,GENERAL!$AI$2,CONCATENATE(OBSERVACIONES!L38,"
ESTADO DE POSTVENTAS:  ",GENERAL!M39))</f>
        <v>OK
ESTADO DE POSTVENTAS:  POSTVENTA CORREGIDA</v>
      </c>
      <c r="M38" s="70" t="str">
        <f>+IF(GENERAL!N39=GENERAL!$AI$2,GENERAL!$AI$2,CONCATENATE(OBSERVACIONES!M38,"
ESTADO DE POSTVENTAS:  ",GENERAL!N39))</f>
        <v>OK
ESTADO DE POSTVENTAS:  POSTVENTA CORREGIDA</v>
      </c>
      <c r="N38" s="51" t="str">
        <f>+IF(GENERAL!O39=GENERAL!$AI$2,GENERAL!$AI$2,CONCATENATE(OBSERVACIONES!N38,"
ESTADO DE POSTVENTAS:  ",GENERAL!O39))</f>
        <v>OK
ESTADO DE POSTVENTAS:  POSTVENTA CORREGIDA</v>
      </c>
      <c r="O38" s="51" t="str">
        <f>+IF(GENERAL!P39=GENERAL!$AI$2,GENERAL!$AI$2,CONCATENATE(OBSERVACIONES!O38,"
ESTADO DE POSTVENTAS:  ",GENERAL!P39))</f>
        <v>OK
ESTADO DE POSTVENTAS:  POSTVENTA CORREGIDA</v>
      </c>
      <c r="P38" s="70" t="str">
        <f>+IF(GENERAL!Q39=GENERAL!$AI$2,GENERAL!$AI$2,CONCATENATE(OBSERVACIONES!P38,"
ESTADO DE POSTVENTAS:  ",GENERAL!Q39))</f>
        <v>OK
ESTADO DE POSTVENTAS:  POSTVENTA CORREGIDA</v>
      </c>
      <c r="Q38" s="70" t="str">
        <f>+IF(GENERAL!R39=GENERAL!$AI$2,GENERAL!$AI$2,CONCATENATE(OBSERVACIONES!Q38,"
ESTADO DE POSTVENTAS:  ",GENERAL!R39))</f>
        <v>OK
ESTADO DE POSTVENTAS:  POSTVENTA CORREGIDA</v>
      </c>
      <c r="R38" s="51" t="str">
        <f>+IF(GENERAL!S39=GENERAL!$AI$2,GENERAL!$AI$2,CONCATENATE(OBSERVACIONES!R38,"
ESTADO DE POSTVENTAS:  ",GENERAL!S39))</f>
        <v>OK
ESTADO DE POSTVENTAS:  POSTVENTA CORREGIDA</v>
      </c>
      <c r="S38" s="51" t="str">
        <f>+IF(GENERAL!T39=GENERAL!$AI$2,GENERAL!$AI$2,CONCATENATE(OBSERVACIONES!S38,"
ESTADO DE POSTVENTAS:  ",GENERAL!T39))</f>
        <v>OK
ESTADO DE POSTVENTAS:  POSTVENTA CORREGIDA</v>
      </c>
      <c r="T38" s="51" t="str">
        <f>+IF(GENERAL!U39=GENERAL!$AI$2,GENERAL!$AI$2,CONCATENATE(OBSERVACIONES!T38,"
ESTADO DE POSTVENTAS:  ",GENERAL!U39))</f>
        <v>OK
ESTADO DE POSTVENTAS:  POSTVENTA CORREGIDA</v>
      </c>
      <c r="U38" s="51" t="str">
        <f>+IF(GENERAL!V39=GENERAL!$AI$2,GENERAL!$AI$2,CONCATENATE(OBSERVACIONES!U38,"
ESTADO DE POSTVENTAS:  ",GENERAL!V39))</f>
        <v>OK
ESTADO DE POSTVENTAS:  POSTVENTA CORREGIDA</v>
      </c>
      <c r="V38" s="51" t="str">
        <f>+IF(GENERAL!W39=GENERAL!$AI$2,GENERAL!$AI$2,CONCATENATE(OBSERVACIONES!V38,"
ESTADO DE POSTVENTAS:  ",GENERAL!W39))</f>
        <v>OK
ESTADO DE POSTVENTAS:  POSTVENTA CORREGIDA</v>
      </c>
      <c r="W38" s="51" t="str">
        <f>+IF(GENERAL!V39=GENERAL!$AI$2,GENERAL!$AI$2,CONCATENATE(OBSERVACIONES!W38,"
ESTADO DE POSTVENTAS:  ",GENERAL!V39))</f>
        <v>OK
ESTADO DE POSTVENTAS:  POSTVENTA CORREGIDA</v>
      </c>
      <c r="X38" s="51" t="str">
        <f>+IF(GENERAL!W39=GENERAL!$AI$2,GENERAL!$AI$2,CONCATENATE(OBSERVACIONES!X38,"
ESTADO DE POSTVENTAS:  ",GENERAL!W39))</f>
        <v>OK
ESTADO DE POSTVENTAS:  POSTVENTA CORREGIDA</v>
      </c>
      <c r="Y38" s="51" t="str">
        <f>+IF(GENERAL!Z39=GENERAL!$AI$2,GENERAL!$AI$2,CONCATENATE(OBSERVACIONES!Y38,"
ESTADO DE POSTVENTAS:  ",GENERAL!Z39))</f>
        <v>OK
ESTADO DE POSTVENTAS:  POSTVENTA CORREGIDA</v>
      </c>
      <c r="Z38" s="51" t="str">
        <f>+IF(GENERAL!AA39=GENERAL!$AI$2,GENERAL!$AI$2,CONCATENATE(OBSERVACIONES!Z38,"
ESTADO DE POSTVENTAS:  ",GENERAL!AA39))</f>
        <v>OK
ESTADO DE POSTVENTAS:  POSTVENTA CORREGIDA</v>
      </c>
      <c r="AA38" s="51" t="str">
        <f>+IF(GENERAL!AB39=GENERAL!$AI$2,GENERAL!$AI$2,CONCATENATE(OBSERVACIONES!AA38,"
ESTADO DE POSTVENTAS:  ",GENERAL!AB39))</f>
        <v>OK
ESTADO DE POSTVENTAS:  POSTVENTA CORREGIDA</v>
      </c>
      <c r="AB38" s="51" t="str">
        <f>+IF(GENERAL!AC39=GENERAL!$AI$2,GENERAL!$AI$2,CONCATENATE(OBSERVACIONES!AB38,"
ESTADO DE POSTVENTAS:  ",GENERAL!AC39))</f>
        <v>OK
ESTADO DE POSTVENTAS:  POSTVENTA CORREGIDA</v>
      </c>
      <c r="AC38" s="51" t="str">
        <f>+IF(GENERAL!AD39=GENERAL!$AI$2,GENERAL!$AI$2,CONCATENATE(OBSERVACIONES!AC38,"
ESTADO DE POSTVENTAS:  ",GENERAL!AD39))</f>
        <v>OK
ESTADO DE POSTVENTAS:  POSTVENTA CORREGIDA</v>
      </c>
      <c r="AD38" s="51" t="str">
        <f>+IF(GENERAL!AE39=GENERAL!$AI$2,GENERAL!$AI$2,CONCATENATE(OBSERVACIONES!AD38,"
ESTADO DE POSTVENTAS:  ",GENERAL!AE39))</f>
        <v>OK
ESTADO DE POSTVENTAS:  POSTVENTA CORREGIDA</v>
      </c>
      <c r="AE38" s="51" t="str">
        <f>+IF(GENERAL!AF39=GENERAL!$AI$2,GENERAL!$AI$2,CONCATENATE(OBSERVACIONES!AE38,"
ESTADO DE POSTVENTAS:  ",GENERAL!AF39))</f>
        <v>OK
ESTADO DE POSTVENTAS:  POSTVENTA CORREGIDA</v>
      </c>
      <c r="AF38" s="51" t="str">
        <f>+IF(GENERAL!AG39=GENERAL!$AI$2,GENERAL!$AI$2,CONCATENATE(OBSERVACIONES!AF38,"
ESTADO DE POSTVENTAS:  ",GENERAL!AG39))</f>
        <v>OK
ESTADO DE POSTVENTAS:  POSTVENTA CORREGIDA</v>
      </c>
      <c r="AG38" s="51" t="str">
        <f>+IF(GENERAL!AH39=GENERAL!$AI$2,GENERAL!$AI$2,CONCATENATE(OBSERVACIONES!AG38,"
ESTADO DE POSTVENTAS:  ",GENERAL!AH39))</f>
        <v>OK
ESTADO DE POSTVENTAS:  POSTVENTA CORREGIDA</v>
      </c>
      <c r="AH38" s="51" t="str">
        <f>+IF(GENERAL!AI39=GENERAL!$AI$2,GENERAL!$AI$2,CONCATENATE(OBSERVACIONES!AH38,"
ESTADO DE POSTVENTAS:  ",GENERAL!AI39))</f>
        <v>OK
ESTADO DE POSTVENTAS:  POSTVENTA CORREGIDA</v>
      </c>
      <c r="AI38" s="51" t="str">
        <f>+IF(GENERAL!AG39=GENERAL!$AI$2,GENERAL!$AI$2,CONCATENATE(OBSERVACIONES!AF38,"
ESTADO DE POSTVENTAS:  ",GENERAL!AG39))</f>
        <v>OK
ESTADO DE POSTVENTAS:  POSTVENTA CORREGIDA</v>
      </c>
      <c r="AJ38" s="51" t="str">
        <f>+IF(GENERAL!AI39=GENERAL!$AI$2,GENERAL!$AI$2,CONCATENATE(OBSERVACIONES!AH38,"
ESTADO DE POSTVENTAS:  ",GENERAL!AI39))</f>
        <v>OK
ESTADO DE POSTVENTAS:  POSTVENTA CORREGIDA</v>
      </c>
      <c r="AK38" s="51" t="str">
        <f>+IF(GENERAL!AJ39=GENERAL!$AI$2,GENERAL!$AI$2,CONCATENATE(OBSERVACIONES!AI38,"
ESTADO DE POSTVENTAS:  ",GENERAL!AJ39))</f>
        <v>OK
ESTADO DE POSTVENTAS:  POSTVENTA CORREGIDA</v>
      </c>
      <c r="AL38" s="51" t="str">
        <f>+IF(GENERAL!AK39=GENERAL!$AI$2,GENERAL!$AI$2,CONCATENATE(OBSERVACIONES!AJ38,"
ESTADO DE POSTVENTAS:  ",GENERAL!AK39))</f>
        <v>OK
ESTADO DE POSTVENTAS:  POSTVENTA CORREGIDA</v>
      </c>
      <c r="AM38" s="51" t="str">
        <f>+IF(GENERAL!AN39=GENERAL!$AI$2,GENERAL!$AI$2,CONCATENATE(OBSERVACIONES!AM38,"
ESTADO DE POSTVENTAS:  ",GENERAL!AN39))</f>
        <v>OK
ESTADO DE POSTVENTAS:  POSTVENTA CORREGIDA</v>
      </c>
      <c r="AN38" s="37">
        <v>1</v>
      </c>
      <c r="AO38" s="37">
        <v>10</v>
      </c>
      <c r="AP38" s="37">
        <v>3</v>
      </c>
      <c r="AQ38" s="37">
        <v>1</v>
      </c>
      <c r="AR38" s="43">
        <v>13</v>
      </c>
      <c r="AS38" s="40">
        <v>12</v>
      </c>
      <c r="AT38" s="37">
        <f>COUNTIFS($D$5:$AM$5,"&lt;&gt;"&amp;CODICIONALES!$A$1,$D$5:$AM$5,"&lt;&gt;"&amp;CODICIONALES!$A$2,$D$5:$AM$5,"&lt;&gt;"&amp;CODICIONALES!$B$2,$D$5:$AM$5,"&lt;&gt;"&amp;CODICIONALES!$C$2)</f>
        <v>6</v>
      </c>
      <c r="AU38" s="43">
        <f>COUNTIFS(D38:AM38,CODICIONALES!$A$2)</f>
        <v>34</v>
      </c>
      <c r="AV38" s="40">
        <f t="shared" si="0"/>
        <v>-4</v>
      </c>
    </row>
    <row r="39" spans="1:48" ht="51" customHeight="1" x14ac:dyDescent="0.25">
      <c r="A39" s="112" t="s">
        <v>79</v>
      </c>
      <c r="B39" s="2">
        <v>35</v>
      </c>
      <c r="C39" s="25" t="s">
        <v>45</v>
      </c>
      <c r="D39" s="51" t="str">
        <f>+IF(GENERAL!E40=GENERAL!$AI$2,GENERAL!$AI$2,CONCATENATE(OBSERVACIONES!D39,"
ESTADO DE POSTVENTAS:  ",GENERAL!E40))</f>
        <v>NO ENTREGADO
ESTADO DE POSTVENTAS:  TIENE POSTVENTA</v>
      </c>
      <c r="E39" s="51" t="str">
        <f>+IF(GENERAL!F40=GENERAL!$AI$2,GENERAL!$AI$2,CONCATENATE(OBSERVACIONES!E39,"
ESTADO DE POSTVENTAS:  ",GENERAL!F40))</f>
        <v>OK
ESTADO DE POSTVENTAS:  POSTVENTA CORREGIDA</v>
      </c>
      <c r="F39" s="51" t="str">
        <f>+IF(GENERAL!G40=GENERAL!$AI$2,GENERAL!$AI$2,CONCATENATE(OBSERVACIONES!F39,"
ESTADO DE POSTVENTAS:  ",GENERAL!G40))</f>
        <v>OK
ESTADO DE POSTVENTAS:  POSTVENTA CORREGIDA</v>
      </c>
      <c r="G39" s="51" t="str">
        <f>+IF(GENERAL!H40=GENERAL!$AI$2,GENERAL!$AI$2,CONCATENATE(OBSERVACIONES!G39,"
ESTADO DE POSTVENTAS:  ",GENERAL!H40))</f>
        <v>NO ENTREGADO
ESTADO DE POSTVENTAS:  TIENE POSTVENTA</v>
      </c>
      <c r="H39" s="51" t="str">
        <f>+IF(GENERAL!I40=GENERAL!$AI$2,GENERAL!$AI$2,CONCATENATE(OBSERVACIONES!H39,"
ESTADO DE POSTVENTAS:  ",GENERAL!I40))</f>
        <v>OK
ESTADO DE POSTVENTAS:  POSTVENTA CORREGIDA</v>
      </c>
      <c r="I39" s="51" t="str">
        <f>+IF(GENERAL!J40=GENERAL!$AI$2,GENERAL!$AI$2,CONCATENATE(OBSERVACIONES!I39,"
ESTADO DE POSTVENTAS:  ",GENERAL!J40))</f>
        <v>OK
ESTADO DE POSTVENTAS:  POSTVENTA CORREGIDA</v>
      </c>
      <c r="J39" s="51" t="str">
        <f>+IF(GENERAL!K40=GENERAL!$AI$2,GENERAL!$AI$2,CONCATENATE(OBSERVACIONES!J39,"
ESTADO DE POSTVENTAS:  ",GENERAL!K40))</f>
        <v>OK
ESTADO DE POSTVENTAS:  POSTVENTA CORREGIDA</v>
      </c>
      <c r="K39" s="51" t="str">
        <f>+IF(GENERAL!L40=GENERAL!$AI$2,GENERAL!$AI$2,CONCATENATE(OBSERVACIONES!K39,"
ESTADO DE POSTVENTAS:  ",GENERAL!L40))</f>
        <v>OK
ESTADO DE POSTVENTAS:  POSTVENTA CORREGIDA</v>
      </c>
      <c r="L39" s="51" t="str">
        <f>+IF(GENERAL!M40=GENERAL!$AI$2,GENERAL!$AI$2,CONCATENATE(OBSERVACIONES!L39,"
ESTADO DE POSTVENTAS:  ",GENERAL!M40))</f>
        <v>OK
ESTADO DE POSTVENTAS:  POSTVENTA CORREGIDA</v>
      </c>
      <c r="M39" s="70" t="str">
        <f>+IF(GENERAL!N40=GENERAL!$AI$2,GENERAL!$AI$2,CONCATENATE(OBSERVACIONES!M39,"
ESTADO DE POSTVENTAS:  ",GENERAL!N40))</f>
        <v>OK
ESTADO DE POSTVENTAS:  POSTVENTA CORREGIDA</v>
      </c>
      <c r="N39" s="51" t="str">
        <f>+IF(GENERAL!O40=GENERAL!$AI$2,GENERAL!$AI$2,CONCATENATE(OBSERVACIONES!N39,"
ESTADO DE POSTVENTAS:  ",GENERAL!O40))</f>
        <v>OK
ESTADO DE POSTVENTAS:  POSTVENTA CORREGIDA</v>
      </c>
      <c r="O39" s="51" t="str">
        <f>+IF(GENERAL!P40=GENERAL!$AI$2,GENERAL!$AI$2,CONCATENATE(OBSERVACIONES!O39,"
ESTADO DE POSTVENTAS:  ",GENERAL!P40))</f>
        <v>OK
ESTADO DE POSTVENTAS:  POSTVENTA CORREGIDA</v>
      </c>
      <c r="P39" s="70" t="str">
        <f>+IF(GENERAL!Q40=GENERAL!$AI$2,GENERAL!$AI$2,CONCATENATE(OBSERVACIONES!P39,"
ESTADO DE POSTVENTAS:  ",GENERAL!Q40))</f>
        <v>OK
ESTADO DE POSTVENTAS:  POSTVENTA CORREGIDA</v>
      </c>
      <c r="Q39" s="70" t="str">
        <f>+IF(GENERAL!R40=GENERAL!$AI$2,GENERAL!$AI$2,CONCATENATE(OBSERVACIONES!Q39,"
ESTADO DE POSTVENTAS:  ",GENERAL!R40))</f>
        <v>OK
ESTADO DE POSTVENTAS:  POSTVENTA CORREGIDA</v>
      </c>
      <c r="R39" s="51" t="str">
        <f>+IF(GENERAL!S40=GENERAL!$AI$2,GENERAL!$AI$2,CONCATENATE(OBSERVACIONES!R39,"
ESTADO DE POSTVENTAS:  ",GENERAL!S40))</f>
        <v>OK
ESTADO DE POSTVENTAS:  POSTVENTA CORREGIDA</v>
      </c>
      <c r="S39" s="51" t="str">
        <f>+IF(GENERAL!T40=GENERAL!$AI$2,GENERAL!$AI$2,CONCATENATE(OBSERVACIONES!S39,"
ESTADO DE POSTVENTAS:  ",GENERAL!T40))</f>
        <v>OK
ESTADO DE POSTVENTAS:  POSTVENTA CORREGIDA</v>
      </c>
      <c r="T39" s="51" t="str">
        <f>+IF(GENERAL!U40=GENERAL!$AI$2,GENERAL!$AI$2,CONCATENATE(OBSERVACIONES!T39,"
ESTADO DE POSTVENTAS:  ",GENERAL!U40))</f>
        <v>OK
ESTADO DE POSTVENTAS:  POSTVENTA CORREGIDA</v>
      </c>
      <c r="U39" s="51" t="str">
        <f>+IF(GENERAL!V40=GENERAL!$AI$2,GENERAL!$AI$2,CONCATENATE(OBSERVACIONES!U39,"
ESTADO DE POSTVENTAS:  ",GENERAL!V40))</f>
        <v>OK
ESTADO DE POSTVENTAS:  POSTVENTA CORREGIDA</v>
      </c>
      <c r="V39" s="51" t="str">
        <f>+IF(GENERAL!W40=GENERAL!$AI$2,GENERAL!$AI$2,CONCATENATE(OBSERVACIONES!V39,"
ESTADO DE POSTVENTAS:  ",GENERAL!W40))</f>
        <v>OK
ESTADO DE POSTVENTAS:  POSTVENTA CORREGIDA</v>
      </c>
      <c r="W39" s="51" t="str">
        <f>+IF(GENERAL!V40=GENERAL!$AI$2,GENERAL!$AI$2,CONCATENATE(OBSERVACIONES!W39,"
ESTADO DE POSTVENTAS:  ",GENERAL!V40))</f>
        <v>OK
ESTADO DE POSTVENTAS:  POSTVENTA CORREGIDA</v>
      </c>
      <c r="X39" s="51" t="str">
        <f>+IF(GENERAL!W40=GENERAL!$AI$2,GENERAL!$AI$2,CONCATENATE(OBSERVACIONES!X39,"
ESTADO DE POSTVENTAS:  ",GENERAL!W40))</f>
        <v>OK
ESTADO DE POSTVENTAS:  POSTVENTA CORREGIDA</v>
      </c>
      <c r="Y39" s="51" t="str">
        <f>+IF(GENERAL!Z40=GENERAL!$AI$2,GENERAL!$AI$2,CONCATENATE(OBSERVACIONES!Y39,"
ESTADO DE POSTVENTAS:  ",GENERAL!Z40))</f>
        <v>OK
ESTADO DE POSTVENTAS:  POSTVENTA CORREGIDA</v>
      </c>
      <c r="Z39" s="51" t="str">
        <f>+IF(GENERAL!AA40=GENERAL!$AI$2,GENERAL!$AI$2,CONCATENATE(OBSERVACIONES!Z39,"
ESTADO DE POSTVENTAS:  ",GENERAL!AA40))</f>
        <v>OK
ESTADO DE POSTVENTAS:  POSTVENTA CORREGIDA</v>
      </c>
      <c r="AA39" s="51" t="str">
        <f>+IF(GENERAL!AB40=GENERAL!$AI$2,GENERAL!$AI$2,CONCATENATE(OBSERVACIONES!AA39,"
ESTADO DE POSTVENTAS:  ",GENERAL!AB40))</f>
        <v>OK
ESTADO DE POSTVENTAS:  POSTVENTA CORREGIDA</v>
      </c>
      <c r="AB39" s="51" t="str">
        <f>+IF(GENERAL!AC40=GENERAL!$AI$2,GENERAL!$AI$2,CONCATENATE(OBSERVACIONES!AB39,"
ESTADO DE POSTVENTAS:  ",GENERAL!AC40))</f>
        <v>OK
ESTADO DE POSTVENTAS:  POSTVENTA CORREGIDA</v>
      </c>
      <c r="AC39" s="51" t="str">
        <f>+IF(GENERAL!AD40=GENERAL!$AI$2,GENERAL!$AI$2,CONCATENATE(OBSERVACIONES!AC39,"
ESTADO DE POSTVENTAS:  ",GENERAL!AD40))</f>
        <v>OK
ESTADO DE POSTVENTAS:  POSTVENTA CORREGIDA</v>
      </c>
      <c r="AD39" s="51" t="str">
        <f>+IF(GENERAL!AE40=GENERAL!$AI$2,GENERAL!$AI$2,CONCATENATE(OBSERVACIONES!AD39,"
ESTADO DE POSTVENTAS:  ",GENERAL!AE40))</f>
        <v>OK
ESTADO DE POSTVENTAS:  POSTVENTA CORREGIDA</v>
      </c>
      <c r="AE39" s="51" t="str">
        <f>+IF(GENERAL!AF40=GENERAL!$AI$2,GENERAL!$AI$2,CONCATENATE(OBSERVACIONES!AE39,"
ESTADO DE POSTVENTAS:  ",GENERAL!AF40))</f>
        <v>OK
ESTADO DE POSTVENTAS:  POSTVENTA CORREGIDA</v>
      </c>
      <c r="AF39" s="51" t="str">
        <f>+IF(GENERAL!AG40=GENERAL!$AI$2,GENERAL!$AI$2,CONCATENATE(OBSERVACIONES!AF39,"
ESTADO DE POSTVENTAS:  ",GENERAL!AG40))</f>
        <v>OK
ESTADO DE POSTVENTAS:  POSTVENTA CORREGIDA</v>
      </c>
      <c r="AG39" s="51" t="str">
        <f>+IF(GENERAL!AH40=GENERAL!$AI$2,GENERAL!$AI$2,CONCATENATE(OBSERVACIONES!AG39,"
ESTADO DE POSTVENTAS:  ",GENERAL!AH40))</f>
        <v>OK
ESTADO DE POSTVENTAS:  POSTVENTA CORREGIDA</v>
      </c>
      <c r="AH39" s="51" t="str">
        <f>+IF(GENERAL!AI40=GENERAL!$AI$2,GENERAL!$AI$2,CONCATENATE(OBSERVACIONES!AH39,"
ESTADO DE POSTVENTAS:  ",GENERAL!AI40))</f>
        <v>OK
ESTADO DE POSTVENTAS:  POSTVENTA CORREGIDA</v>
      </c>
      <c r="AI39" s="51" t="str">
        <f>+IF(GENERAL!AG40=GENERAL!$AI$2,GENERAL!$AI$2,CONCATENATE(OBSERVACIONES!AF39,"
ESTADO DE POSTVENTAS:  ",GENERAL!AG40))</f>
        <v>OK
ESTADO DE POSTVENTAS:  POSTVENTA CORREGIDA</v>
      </c>
      <c r="AJ39" s="51" t="str">
        <f>+IF(GENERAL!AI40=GENERAL!$AI$2,GENERAL!$AI$2,CONCATENATE(OBSERVACIONES!AH39,"
ESTADO DE POSTVENTAS:  ",GENERAL!AI40))</f>
        <v>OK
ESTADO DE POSTVENTAS:  POSTVENTA CORREGIDA</v>
      </c>
      <c r="AK39" s="51" t="str">
        <f>+IF(GENERAL!AJ40=GENERAL!$AI$2,GENERAL!$AI$2,CONCATENATE(OBSERVACIONES!AI39,"
ESTADO DE POSTVENTAS:  ",GENERAL!AJ40))</f>
        <v>OK
ESTADO DE POSTVENTAS:  POSTVENTA CORREGIDA</v>
      </c>
      <c r="AL39" s="51" t="str">
        <f>+IF(GENERAL!AK40=GENERAL!$AI$2,GENERAL!$AI$2,CONCATENATE(OBSERVACIONES!AJ39,"
ESTADO DE POSTVENTAS:  ",GENERAL!AK40))</f>
        <v>OK
ESTADO DE POSTVENTAS:  POSTVENTA CORREGIDA</v>
      </c>
      <c r="AM39" s="51" t="str">
        <f>+IF(GENERAL!AN40=GENERAL!$AI$2,GENERAL!$AI$2,CONCATENATE(OBSERVACIONES!AM39,"
ESTADO DE POSTVENTAS:  ",GENERAL!AN40))</f>
        <v>OK
ESTADO DE POSTVENTAS:  POSTVENTA CORREGIDA</v>
      </c>
      <c r="AN39" s="37">
        <v>0</v>
      </c>
      <c r="AO39" s="37">
        <v>11</v>
      </c>
      <c r="AP39" s="37">
        <v>3</v>
      </c>
      <c r="AQ39" s="37">
        <v>0</v>
      </c>
      <c r="AR39" s="43">
        <v>14</v>
      </c>
      <c r="AS39" s="40">
        <v>12</v>
      </c>
      <c r="AT39" s="37">
        <f>COUNTIFS($D$5:$AM$5,"&lt;&gt;"&amp;CODICIONALES!$A$1,$D$5:$AM$5,"&lt;&gt;"&amp;CODICIONALES!$A$2,$D$5:$AM$5,"&lt;&gt;"&amp;CODICIONALES!$B$2,$D$5:$AM$5,"&lt;&gt;"&amp;CODICIONALES!$C$2)</f>
        <v>6</v>
      </c>
      <c r="AU39" s="43">
        <f>COUNTIFS(D39:AM39,CODICIONALES!$A$2)</f>
        <v>34</v>
      </c>
      <c r="AV39" s="40">
        <f t="shared" si="0"/>
        <v>-4</v>
      </c>
    </row>
    <row r="40" spans="1:48" ht="51" customHeight="1" x14ac:dyDescent="0.25">
      <c r="A40" s="110"/>
      <c r="B40" s="2">
        <v>36</v>
      </c>
      <c r="C40" s="21" t="s">
        <v>47</v>
      </c>
      <c r="D40" s="51" t="str">
        <f>+IF(GENERAL!E41=GENERAL!$AI$2,GENERAL!$AI$2,CONCATENATE(OBSERVACIONES!D40,"
ESTADO DE POSTVENTAS:  ",GENERAL!E41))</f>
        <v>NO ENTREGADO
ESTADO DE POSTVENTAS:  TIENE POSTVENTA</v>
      </c>
      <c r="E40" s="51" t="str">
        <f>+IF(GENERAL!F41=GENERAL!$AI$2,GENERAL!$AI$2,CONCATENATE(OBSERVACIONES!E40,"
ESTADO DE POSTVENTAS:  ",GENERAL!F41))</f>
        <v>OK
ESTADO DE POSTVENTAS:  POSTVENTA CORREGIDA</v>
      </c>
      <c r="F40" s="51" t="str">
        <f>+IF(GENERAL!G41=GENERAL!$AI$2,GENERAL!$AI$2,CONCATENATE(OBSERVACIONES!F40,"
ESTADO DE POSTVENTAS:  ",GENERAL!G41))</f>
        <v>OK
ESTADO DE POSTVENTAS:  POSTVENTA CORREGIDA</v>
      </c>
      <c r="G40" s="51" t="str">
        <f>+IF(GENERAL!H41=GENERAL!$AI$2,GENERAL!$AI$2,CONCATENATE(OBSERVACIONES!G40,"
ESTADO DE POSTVENTAS:  ",GENERAL!H41))</f>
        <v>NO ENTREGADO
ESTADO DE POSTVENTAS:  TIENE POSTVENTA</v>
      </c>
      <c r="H40" s="51" t="str">
        <f>+IF(GENERAL!I41=GENERAL!$AI$2,GENERAL!$AI$2,CONCATENATE(OBSERVACIONES!H40,"
ESTADO DE POSTVENTAS:  ",GENERAL!I41))</f>
        <v>OK
ESTADO DE POSTVENTAS:  POSTVENTA CORREGIDA</v>
      </c>
      <c r="I40" s="51" t="str">
        <f>+IF(GENERAL!J41=GENERAL!$AI$2,GENERAL!$AI$2,CONCATENATE(OBSERVACIONES!I40,"
ESTADO DE POSTVENTAS:  ",GENERAL!J41))</f>
        <v>OK
ESTADO DE POSTVENTAS:  POSTVENTA CORREGIDA</v>
      </c>
      <c r="J40" s="51" t="str">
        <f>+IF(GENERAL!K41=GENERAL!$AI$2,GENERAL!$AI$2,CONCATENATE(OBSERVACIONES!J40,"
ESTADO DE POSTVENTAS:  ",GENERAL!K41))</f>
        <v>OK
ESTADO DE POSTVENTAS:  POSTVENTA CORREGIDA</v>
      </c>
      <c r="K40" s="51" t="str">
        <f>+IF(GENERAL!L41=GENERAL!$AI$2,GENERAL!$AI$2,CONCATENATE(OBSERVACIONES!K40,"
ESTADO DE POSTVENTAS:  ",GENERAL!L41))</f>
        <v>OK
ESTADO DE POSTVENTAS:  POSTVENTA CORREGIDA</v>
      </c>
      <c r="L40" s="51" t="str">
        <f>+IF(GENERAL!M41=GENERAL!$AI$2,GENERAL!$AI$2,CONCATENATE(OBSERVACIONES!L40,"
ESTADO DE POSTVENTAS:  ",GENERAL!M41))</f>
        <v>OK
ESTADO DE POSTVENTAS:  POSTVENTA CORREGIDA</v>
      </c>
      <c r="M40" s="70" t="str">
        <f>+IF(GENERAL!N41=GENERAL!$AI$2,GENERAL!$AI$2,CONCATENATE(OBSERVACIONES!M40,"
ESTADO DE POSTVENTAS:  ",GENERAL!N41))</f>
        <v>OK
ESTADO DE POSTVENTAS:  POSTVENTA CORREGIDA</v>
      </c>
      <c r="N40" s="51" t="str">
        <f>+IF(GENERAL!O41=GENERAL!$AI$2,GENERAL!$AI$2,CONCATENATE(OBSERVACIONES!N40,"
ESTADO DE POSTVENTAS:  ",GENERAL!O41))</f>
        <v>OK
ESTADO DE POSTVENTAS:  POSTVENTA CORREGIDA</v>
      </c>
      <c r="O40" s="51" t="str">
        <f>+IF(GENERAL!P41=GENERAL!$AI$2,GENERAL!$AI$2,CONCATENATE(OBSERVACIONES!O40,"
ESTADO DE POSTVENTAS:  ",GENERAL!P41))</f>
        <v>OK
ESTADO DE POSTVENTAS:  POSTVENTA CORREGIDA</v>
      </c>
      <c r="P40" s="70" t="str">
        <f>+IF(GENERAL!Q41=GENERAL!$AI$2,GENERAL!$AI$2,CONCATENATE(OBSERVACIONES!P40,"
ESTADO DE POSTVENTAS:  ",GENERAL!Q41))</f>
        <v>OK
ESTADO DE POSTVENTAS:  POSTVENTA CORREGIDA</v>
      </c>
      <c r="Q40" s="70" t="str">
        <f>+IF(GENERAL!R41=GENERAL!$AI$2,GENERAL!$AI$2,CONCATENATE(OBSERVACIONES!Q40,"
ESTADO DE POSTVENTAS:  ",GENERAL!R41))</f>
        <v>OK
ESTADO DE POSTVENTAS:  POSTVENTA CORREGIDA</v>
      </c>
      <c r="R40" s="51" t="str">
        <f>+IF(GENERAL!S41=GENERAL!$AI$2,GENERAL!$AI$2,CONCATENATE(OBSERVACIONES!R40,"
ESTADO DE POSTVENTAS:  ",GENERAL!S41))</f>
        <v>OK
ESTADO DE POSTVENTAS:  POSTVENTA CORREGIDA</v>
      </c>
      <c r="S40" s="51" t="str">
        <f>+IF(GENERAL!T41=GENERAL!$AI$2,GENERAL!$AI$2,CONCATENATE(OBSERVACIONES!S40,"
ESTADO DE POSTVENTAS:  ",GENERAL!T41))</f>
        <v>OK
ESTADO DE POSTVENTAS:  POSTVENTA CORREGIDA</v>
      </c>
      <c r="T40" s="51" t="str">
        <f>+IF(GENERAL!U41=GENERAL!$AI$2,GENERAL!$AI$2,CONCATENATE(OBSERVACIONES!T40,"
ESTADO DE POSTVENTAS:  ",GENERAL!U41))</f>
        <v>OK
ESTADO DE POSTVENTAS:  POSTVENTA CORREGIDA</v>
      </c>
      <c r="U40" s="51" t="str">
        <f>+IF(GENERAL!V41=GENERAL!$AI$2,GENERAL!$AI$2,CONCATENATE(OBSERVACIONES!U40,"
ESTADO DE POSTVENTAS:  ",GENERAL!V41))</f>
        <v>OK
ESTADO DE POSTVENTAS:  POSTVENTA CORREGIDA</v>
      </c>
      <c r="V40" s="51" t="str">
        <f>+IF(GENERAL!W41=GENERAL!$AI$2,GENERAL!$AI$2,CONCATENATE(OBSERVACIONES!V40,"
ESTADO DE POSTVENTAS:  ",GENERAL!W41))</f>
        <v>OK
ESTADO DE POSTVENTAS:  POSTVENTA CORREGIDA</v>
      </c>
      <c r="W40" s="51" t="str">
        <f>+IF(GENERAL!V41=GENERAL!$AI$2,GENERAL!$AI$2,CONCATENATE(OBSERVACIONES!W40,"
ESTADO DE POSTVENTAS:  ",GENERAL!V41))</f>
        <v>OK
ESTADO DE POSTVENTAS:  POSTVENTA CORREGIDA</v>
      </c>
      <c r="X40" s="51" t="str">
        <f>+IF(GENERAL!W41=GENERAL!$AI$2,GENERAL!$AI$2,CONCATENATE(OBSERVACIONES!X40,"
ESTADO DE POSTVENTAS:  ",GENERAL!W41))</f>
        <v>OK
ESTADO DE POSTVENTAS:  POSTVENTA CORREGIDA</v>
      </c>
      <c r="Y40" s="51" t="str">
        <f>+IF(GENERAL!Z41=GENERAL!$AI$2,GENERAL!$AI$2,CONCATENATE(OBSERVACIONES!Y40,"
ESTADO DE POSTVENTAS:  ",GENERAL!Z41))</f>
        <v>OK
ESTADO DE POSTVENTAS:  POSTVENTA CORREGIDA</v>
      </c>
      <c r="Z40" s="51" t="str">
        <f>+IF(GENERAL!AA41=GENERAL!$AI$2,GENERAL!$AI$2,CONCATENATE(OBSERVACIONES!Z40,"
ESTADO DE POSTVENTAS:  ",GENERAL!AA41))</f>
        <v>OK
ESTADO DE POSTVENTAS:  POSTVENTA CORREGIDA</v>
      </c>
      <c r="AA40" s="51" t="str">
        <f>+IF(GENERAL!AB41=GENERAL!$AI$2,GENERAL!$AI$2,CONCATENATE(OBSERVACIONES!AA40,"
ESTADO DE POSTVENTAS:  ",GENERAL!AB41))</f>
        <v>OK
ESTADO DE POSTVENTAS:  POSTVENTA CORREGIDA</v>
      </c>
      <c r="AB40" s="70" t="str">
        <f>+IF(GENERAL!AC41=GENERAL!$AI$2,GENERAL!$AI$2,CONCATENATE(OBSERVACIONES!AB40,"
ESTADO DE POSTVENTAS:  ",GENERAL!AC41))</f>
        <v>OK
ESTADO DE POSTVENTAS:  POSTVENTA CORREGIDA</v>
      </c>
      <c r="AC40" s="70" t="str">
        <f>+IF(GENERAL!AD41=GENERAL!$AI$2,GENERAL!$AI$2,CONCATENATE(OBSERVACIONES!AC40,"
ESTADO DE POSTVENTAS:  ",GENERAL!AD41))</f>
        <v>OK
ESTADO DE POSTVENTAS:  POSTVENTA CORREGIDA</v>
      </c>
      <c r="AD40" s="51" t="str">
        <f>+IF(GENERAL!AE41=GENERAL!$AI$2,GENERAL!$AI$2,CONCATENATE(OBSERVACIONES!AD40,"
ESTADO DE POSTVENTAS:  ",GENERAL!AE41))</f>
        <v>OK
ESTADO DE POSTVENTAS:  POSTVENTA CORREGIDA</v>
      </c>
      <c r="AE40" s="51" t="str">
        <f>+IF(GENERAL!AF41=GENERAL!$AI$2,GENERAL!$AI$2,CONCATENATE(OBSERVACIONES!AE40,"
ESTADO DE POSTVENTAS:  ",GENERAL!AF41))</f>
        <v>OK
ESTADO DE POSTVENTAS:  POSTVENTA CORREGIDA</v>
      </c>
      <c r="AF40" s="51" t="str">
        <f>+IF(GENERAL!AG41=GENERAL!$AI$2,GENERAL!$AI$2,CONCATENATE(OBSERVACIONES!AF40,"
ESTADO DE POSTVENTAS:  ",GENERAL!AG41))</f>
        <v>OK
ESTADO DE POSTVENTAS:  POSTVENTA CORREGIDA</v>
      </c>
      <c r="AG40" s="51" t="str">
        <f>+IF(GENERAL!AH41=GENERAL!$AI$2,GENERAL!$AI$2,CONCATENATE(OBSERVACIONES!AG40,"
ESTADO DE POSTVENTAS:  ",GENERAL!AH41))</f>
        <v>OK
ESTADO DE POSTVENTAS:  POSTVENTA CORREGIDA</v>
      </c>
      <c r="AH40" s="51" t="str">
        <f>+IF(GENERAL!AI41=GENERAL!$AI$2,GENERAL!$AI$2,CONCATENATE(OBSERVACIONES!AH40,"
ESTADO DE POSTVENTAS:  ",GENERAL!AI41))</f>
        <v>OK
ESTADO DE POSTVENTAS:  POSTVENTA CORREGIDA</v>
      </c>
      <c r="AI40" s="51" t="str">
        <f>+IF(GENERAL!AG41=GENERAL!$AI$2,GENERAL!$AI$2,CONCATENATE(OBSERVACIONES!AF40,"
ESTADO DE POSTVENTAS:  ",GENERAL!AG41))</f>
        <v>OK
ESTADO DE POSTVENTAS:  POSTVENTA CORREGIDA</v>
      </c>
      <c r="AJ40" s="51" t="str">
        <f>+IF(GENERAL!AI41=GENERAL!$AI$2,GENERAL!$AI$2,CONCATENATE(OBSERVACIONES!AH40,"
ESTADO DE POSTVENTAS:  ",GENERAL!AI41))</f>
        <v>OK
ESTADO DE POSTVENTAS:  POSTVENTA CORREGIDA</v>
      </c>
      <c r="AK40" s="51" t="str">
        <f>+IF(GENERAL!AJ41=GENERAL!$AI$2,GENERAL!$AI$2,CONCATENATE(OBSERVACIONES!AI40,"
ESTADO DE POSTVENTAS:  ",GENERAL!AJ41))</f>
        <v>OK
ESTADO DE POSTVENTAS:  POSTVENTA CORREGIDA</v>
      </c>
      <c r="AL40" s="51" t="str">
        <f>+IF(GENERAL!AK41=GENERAL!$AI$2,GENERAL!$AI$2,CONCATENATE(OBSERVACIONES!AJ40,"
ESTADO DE POSTVENTAS:  ",GENERAL!AK41))</f>
        <v>OK
ESTADO DE POSTVENTAS:  POSTVENTA CORREGIDA</v>
      </c>
      <c r="AM40" s="51" t="str">
        <f>+IF(GENERAL!AN41=GENERAL!$AI$2,GENERAL!$AI$2,CONCATENATE(OBSERVACIONES!AM40,"
ESTADO DE POSTVENTAS:  ",GENERAL!AN41))</f>
        <v>OK
ESTADO DE POSTVENTAS:  POSTVENTA CORREGIDA</v>
      </c>
      <c r="AN40" s="37">
        <v>3</v>
      </c>
      <c r="AO40" s="37">
        <v>8</v>
      </c>
      <c r="AP40" s="37">
        <v>3</v>
      </c>
      <c r="AQ40" s="37">
        <v>1</v>
      </c>
      <c r="AR40" s="43">
        <v>13</v>
      </c>
      <c r="AS40" s="40">
        <v>12</v>
      </c>
      <c r="AT40" s="37">
        <f>COUNTIFS($D$5:$AM$5,"&lt;&gt;"&amp;CODICIONALES!$A$1,$D$5:$AM$5,"&lt;&gt;"&amp;CODICIONALES!$A$2,$D$5:$AM$5,"&lt;&gt;"&amp;CODICIONALES!$B$2,$D$5:$AM$5,"&lt;&gt;"&amp;CODICIONALES!$C$2)</f>
        <v>6</v>
      </c>
      <c r="AU40" s="43">
        <f>COUNTIFS(D40:AM40,CODICIONALES!$A$2)</f>
        <v>34</v>
      </c>
      <c r="AV40" s="40">
        <f t="shared" si="0"/>
        <v>-4</v>
      </c>
    </row>
    <row r="41" spans="1:48" ht="51" customHeight="1" x14ac:dyDescent="0.25">
      <c r="A41" s="110"/>
      <c r="B41" s="2">
        <v>37</v>
      </c>
      <c r="C41" s="21" t="s">
        <v>68</v>
      </c>
      <c r="D41" s="51" t="str">
        <f>+IF(GENERAL!E42=GENERAL!$AI$2,GENERAL!$AI$2,CONCATENATE(OBSERVACIONES!D41,"
ESTADO DE POSTVENTAS:  ",GENERAL!E42))</f>
        <v>NO ENTREGADO
ESTADO DE POSTVENTAS:  TIENE POSTVENTA</v>
      </c>
      <c r="E41" s="51" t="str">
        <f>+IF(GENERAL!F42=GENERAL!$AI$2,GENERAL!$AI$2,CONCATENATE(OBSERVACIONES!E41,"
ESTADO DE POSTVENTAS:  ",GENERAL!F42))</f>
        <v>OK
ESTADO DE POSTVENTAS:  POSTVENTA CORREGIDA</v>
      </c>
      <c r="F41" s="51" t="str">
        <f>+IF(GENERAL!G42=GENERAL!$AI$2,GENERAL!$AI$2,CONCATENATE(OBSERVACIONES!F41,"
ESTADO DE POSTVENTAS:  ",GENERAL!G42))</f>
        <v>OK
ESTADO DE POSTVENTAS:  POSTVENTA CORREGIDA</v>
      </c>
      <c r="G41" s="51" t="str">
        <f>+IF(GENERAL!H42=GENERAL!$AI$2,GENERAL!$AI$2,CONCATENATE(OBSERVACIONES!G41,"
ESTADO DE POSTVENTAS:  ",GENERAL!H42))</f>
        <v>NO ENTREGADO
ESTADO DE POSTVENTAS:  TIENE POSTVENTA</v>
      </c>
      <c r="H41" s="51" t="str">
        <f>+IF(GENERAL!I42=GENERAL!$AI$2,GENERAL!$AI$2,CONCATENATE(OBSERVACIONES!H41,"
ESTADO DE POSTVENTAS:  ",GENERAL!I42))</f>
        <v>OK
ESTADO DE POSTVENTAS:  POSTVENTA CORREGIDA</v>
      </c>
      <c r="I41" s="51" t="str">
        <f>+IF(GENERAL!J42=GENERAL!$AI$2,GENERAL!$AI$2,CONCATENATE(OBSERVACIONES!I41,"
ESTADO DE POSTVENTAS:  ",GENERAL!J42))</f>
        <v>OK
ESTADO DE POSTVENTAS:  POSTVENTA CORREGIDA</v>
      </c>
      <c r="J41" s="51" t="str">
        <f>+IF(GENERAL!K42=GENERAL!$AI$2,GENERAL!$AI$2,CONCATENATE(OBSERVACIONES!J41,"
ESTADO DE POSTVENTAS:  ",GENERAL!K42))</f>
        <v>OK
ESTADO DE POSTVENTAS:  POSTVENTA CORREGIDA</v>
      </c>
      <c r="K41" s="51" t="str">
        <f>+IF(GENERAL!L42=GENERAL!$AI$2,GENERAL!$AI$2,CONCATENATE(OBSERVACIONES!K41,"
ESTADO DE POSTVENTAS:  ",GENERAL!L42))</f>
        <v>OK
ESTADO DE POSTVENTAS:  POSTVENTA CORREGIDA</v>
      </c>
      <c r="L41" s="51" t="str">
        <f>+IF(GENERAL!M42=GENERAL!$AI$2,GENERAL!$AI$2,CONCATENATE(OBSERVACIONES!L41,"
ESTADO DE POSTVENTAS:  ",GENERAL!M42))</f>
        <v>OK
ESTADO DE POSTVENTAS:  POSTVENTA CORREGIDA</v>
      </c>
      <c r="M41" s="70" t="str">
        <f>+IF(GENERAL!N42=GENERAL!$AI$2,GENERAL!$AI$2,CONCATENATE(OBSERVACIONES!M41,"
ESTADO DE POSTVENTAS:  ",GENERAL!N42))</f>
        <v>OK
ESTADO DE POSTVENTAS:  POSTVENTA CORREGIDA</v>
      </c>
      <c r="N41" s="51" t="str">
        <f>+IF(GENERAL!O42=GENERAL!$AI$2,GENERAL!$AI$2,CONCATENATE(OBSERVACIONES!N41,"
ESTADO DE POSTVENTAS:  ",GENERAL!O42))</f>
        <v>OK
ESTADO DE POSTVENTAS:  POSTVENTA CORREGIDA</v>
      </c>
      <c r="O41" s="51" t="str">
        <f>+IF(GENERAL!P42=GENERAL!$AI$2,GENERAL!$AI$2,CONCATENATE(OBSERVACIONES!O41,"
ESTADO DE POSTVENTAS:  ",GENERAL!P42))</f>
        <v>OK
ESTADO DE POSTVENTAS:  POSTVENTA CORREGIDA</v>
      </c>
      <c r="P41" s="70" t="str">
        <f>+IF(GENERAL!Q42=GENERAL!$AI$2,GENERAL!$AI$2,CONCATENATE(OBSERVACIONES!P41,"
ESTADO DE POSTVENTAS:  ",GENERAL!Q42))</f>
        <v>OK
ESTADO DE POSTVENTAS:  POSTVENTA CORREGIDA</v>
      </c>
      <c r="Q41" s="70" t="str">
        <f>+IF(GENERAL!R42=GENERAL!$AI$2,GENERAL!$AI$2,CONCATENATE(OBSERVACIONES!Q41,"
ESTADO DE POSTVENTAS:  ",GENERAL!R42))</f>
        <v>OK
ESTADO DE POSTVENTAS:  POSTVENTA CORREGIDA</v>
      </c>
      <c r="R41" s="51" t="str">
        <f>+IF(GENERAL!S42=GENERAL!$AI$2,GENERAL!$AI$2,CONCATENATE(OBSERVACIONES!R41,"
ESTADO DE POSTVENTAS:  ",GENERAL!S42))</f>
        <v>OK
ESTADO DE POSTVENTAS:  POSTVENTA CORREGIDA</v>
      </c>
      <c r="S41" s="51" t="str">
        <f>+IF(GENERAL!T42=GENERAL!$AI$2,GENERAL!$AI$2,CONCATENATE(OBSERVACIONES!S41,"
ESTADO DE POSTVENTAS:  ",GENERAL!T42))</f>
        <v>OK
ESTADO DE POSTVENTAS:  POSTVENTA CORREGIDA</v>
      </c>
      <c r="T41" s="70" t="str">
        <f>+IF(GENERAL!U42=GENERAL!$AI$2,GENERAL!$AI$2,CONCATENATE(OBSERVACIONES!T41,"
ESTADO DE POSTVENTAS:  ",GENERAL!U42))</f>
        <v>OK
ESTADO DE POSTVENTAS:  POSTVENTA CORREGIDA</v>
      </c>
      <c r="U41" s="51" t="str">
        <f>+IF(GENERAL!V42=GENERAL!$AI$2,GENERAL!$AI$2,CONCATENATE(OBSERVACIONES!U41,"
ESTADO DE POSTVENTAS:  ",GENERAL!V42))</f>
        <v>OK
ESTADO DE POSTVENTAS:  POSTVENTA CORREGIDA</v>
      </c>
      <c r="V41" s="51" t="str">
        <f>+IF(GENERAL!W42=GENERAL!$AI$2,GENERAL!$AI$2,CONCATENATE(OBSERVACIONES!V41,"
ESTADO DE POSTVENTAS:  ",GENERAL!W42))</f>
        <v>OK
ESTADO DE POSTVENTAS:  POSTVENTA CORREGIDA</v>
      </c>
      <c r="W41" s="51" t="str">
        <f>+IF(GENERAL!V42=GENERAL!$AI$2,GENERAL!$AI$2,CONCATENATE(OBSERVACIONES!W41,"
ESTADO DE POSTVENTAS:  ",GENERAL!V42))</f>
        <v>OK
ESTADO DE POSTVENTAS:  POSTVENTA CORREGIDA</v>
      </c>
      <c r="X41" s="51" t="str">
        <f>+IF(GENERAL!W42=GENERAL!$AI$2,GENERAL!$AI$2,CONCATENATE(OBSERVACIONES!X41,"
ESTADO DE POSTVENTAS:  ",GENERAL!W42))</f>
        <v>OK
ESTADO DE POSTVENTAS:  POSTVENTA CORREGIDA</v>
      </c>
      <c r="Y41" s="51" t="str">
        <f>+IF(GENERAL!Z42=GENERAL!$AI$2,GENERAL!$AI$2,CONCATENATE(OBSERVACIONES!Y41,"
ESTADO DE POSTVENTAS:  ",GENERAL!Z42))</f>
        <v>OK
ESTADO DE POSTVENTAS:  POSTVENTA CORREGIDA</v>
      </c>
      <c r="Z41" s="51" t="str">
        <f>+IF(GENERAL!AA42=GENERAL!$AI$2,GENERAL!$AI$2,CONCATENATE(OBSERVACIONES!Z41,"
ESTADO DE POSTVENTAS:  ",GENERAL!AA42))</f>
        <v>OK
ESTADO DE POSTVENTAS:  POSTVENTA CORREGIDA</v>
      </c>
      <c r="AA41" s="51" t="str">
        <f>+IF(GENERAL!AB42=GENERAL!$AI$2,GENERAL!$AI$2,CONCATENATE(OBSERVACIONES!AA41,"
ESTADO DE POSTVENTAS:  ",GENERAL!AB42))</f>
        <v>OK
ESTADO DE POSTVENTAS:  POSTVENTA CORREGIDA</v>
      </c>
      <c r="AB41" s="51" t="str">
        <f>+IF(GENERAL!AC42=GENERAL!$AI$2,GENERAL!$AI$2,CONCATENATE(OBSERVACIONES!AB41,"
ESTADO DE POSTVENTAS:  ",GENERAL!AC42))</f>
        <v>OK
ESTADO DE POSTVENTAS:  POSTVENTA CORREGIDA</v>
      </c>
      <c r="AC41" s="51" t="str">
        <f>+IF(GENERAL!AD42=GENERAL!$AI$2,GENERAL!$AI$2,CONCATENATE(OBSERVACIONES!AC41,"
ESTADO DE POSTVENTAS:  ",GENERAL!AD42))</f>
        <v>OK
ESTADO DE POSTVENTAS:  POSTVENTA CORREGIDA</v>
      </c>
      <c r="AD41" s="51" t="str">
        <f>+IF(GENERAL!AE42=GENERAL!$AI$2,GENERAL!$AI$2,CONCATENATE(OBSERVACIONES!AD41,"
ESTADO DE POSTVENTAS:  ",GENERAL!AE42))</f>
        <v>DETALLE ARREGLO
ESTADO DE POSTVENTAS:  TIENE POSTVENTA</v>
      </c>
      <c r="AE41" s="51" t="str">
        <f>+IF(GENERAL!AF42=GENERAL!$AI$2,GENERAL!$AI$2,CONCATENATE(OBSERVACIONES!AE41,"
ESTADO DE POSTVENTAS:  ",GENERAL!AF42))</f>
        <v>OK
ESTADO DE POSTVENTAS:  POSTVENTA CORREGIDA</v>
      </c>
      <c r="AF41" s="51" t="str">
        <f>+IF(GENERAL!AG42=GENERAL!$AI$2,GENERAL!$AI$2,CONCATENATE(OBSERVACIONES!AF41,"
ESTADO DE POSTVENTAS:  ",GENERAL!AG42))</f>
        <v>OK
ESTADO DE POSTVENTAS:  POSTVENTA CORREGIDA</v>
      </c>
      <c r="AG41" s="51" t="str">
        <f>+IF(GENERAL!AH42=GENERAL!$AI$2,GENERAL!$AI$2,CONCATENATE(OBSERVACIONES!AG41,"
ESTADO DE POSTVENTAS:  ",GENERAL!AH42))</f>
        <v>OK
ESTADO DE POSTVENTAS:  POSTVENTA CORREGIDA</v>
      </c>
      <c r="AH41" s="51" t="str">
        <f>+IF(GENERAL!AI42=GENERAL!$AI$2,GENERAL!$AI$2,CONCATENATE(OBSERVACIONES!AH41,"
ESTADO DE POSTVENTAS:  ",GENERAL!AI42))</f>
        <v>OK
ESTADO DE POSTVENTAS:  POSTVENTA CORREGIDA</v>
      </c>
      <c r="AI41" s="51" t="str">
        <f>+IF(GENERAL!AG42=GENERAL!$AI$2,GENERAL!$AI$2,CONCATENATE(OBSERVACIONES!AF41,"
ESTADO DE POSTVENTAS:  ",GENERAL!AG42))</f>
        <v>OK
ESTADO DE POSTVENTAS:  POSTVENTA CORREGIDA</v>
      </c>
      <c r="AJ41" s="51" t="str">
        <f>+IF(GENERAL!AI42=GENERAL!$AI$2,GENERAL!$AI$2,CONCATENATE(OBSERVACIONES!AH41,"
ESTADO DE POSTVENTAS:  ",GENERAL!AI42))</f>
        <v>OK
ESTADO DE POSTVENTAS:  POSTVENTA CORREGIDA</v>
      </c>
      <c r="AK41" s="51" t="str">
        <f>+IF(GENERAL!AJ42=GENERAL!$AI$2,GENERAL!$AI$2,CONCATENATE(OBSERVACIONES!AI41,"
ESTADO DE POSTVENTAS:  ",GENERAL!AJ42))</f>
        <v>OK
ESTADO DE POSTVENTAS:  POSTVENTA CORREGIDA</v>
      </c>
      <c r="AL41" s="51" t="str">
        <f>+IF(GENERAL!AK42=GENERAL!$AI$2,GENERAL!$AI$2,CONCATENATE(OBSERVACIONES!AJ41,"
ESTADO DE POSTVENTAS:  ",GENERAL!AK42))</f>
        <v>OK
ESTADO DE POSTVENTAS:  POSTVENTA CORREGIDA</v>
      </c>
      <c r="AM41" s="51" t="str">
        <f>+IF(GENERAL!AN42=GENERAL!$AI$2,GENERAL!$AI$2,CONCATENATE(OBSERVACIONES!AM41,"
ESTADO DE POSTVENTAS:  ",GENERAL!AN42))</f>
        <v>OK
ESTADO DE POSTVENTAS:  POSTVENTA CORREGIDA</v>
      </c>
      <c r="AN41" s="37">
        <v>1</v>
      </c>
      <c r="AO41" s="37">
        <v>10</v>
      </c>
      <c r="AP41" s="37">
        <v>3</v>
      </c>
      <c r="AQ41" s="37">
        <v>1</v>
      </c>
      <c r="AR41" s="43">
        <v>13</v>
      </c>
      <c r="AS41" s="40">
        <v>12</v>
      </c>
      <c r="AT41" s="37">
        <f>COUNTIFS($D$5:$AM$5,"&lt;&gt;"&amp;CODICIONALES!$A$1,$D$5:$AM$5,"&lt;&gt;"&amp;CODICIONALES!$A$2,$D$5:$AM$5,"&lt;&gt;"&amp;CODICIONALES!$B$2,$D$5:$AM$5,"&lt;&gt;"&amp;CODICIONALES!$C$2)</f>
        <v>6</v>
      </c>
      <c r="AU41" s="43">
        <f>COUNTIFS(D41:AM41,CODICIONALES!$A$2)</f>
        <v>33</v>
      </c>
      <c r="AV41" s="40">
        <f t="shared" si="0"/>
        <v>-3</v>
      </c>
    </row>
    <row r="42" spans="1:48" ht="51" customHeight="1" x14ac:dyDescent="0.25">
      <c r="A42" s="110"/>
      <c r="B42" s="2">
        <v>38</v>
      </c>
      <c r="C42" s="21" t="s">
        <v>80</v>
      </c>
      <c r="D42" s="51" t="str">
        <f>+IF(GENERAL!E43=GENERAL!$AI$2,GENERAL!$AI$2,CONCATENATE(OBSERVACIONES!D42,"
ESTADO DE POSTVENTAS:  ",GENERAL!E43))</f>
        <v>NO ENTREGADO
ESTADO DE POSTVENTAS:  TIENE POSTVENTA</v>
      </c>
      <c r="E42" s="51" t="str">
        <f>+IF(GENERAL!F43=GENERAL!$AI$2,GENERAL!$AI$2,CONCATENATE(OBSERVACIONES!E42,"
ESTADO DE POSTVENTAS:  ",GENERAL!F43))</f>
        <v>OK
ESTADO DE POSTVENTAS:  POSTVENTA CORREGIDA</v>
      </c>
      <c r="F42" s="51" t="str">
        <f>+IF(GENERAL!G43=GENERAL!$AI$2,GENERAL!$AI$2,CONCATENATE(OBSERVACIONES!F42,"
ESTADO DE POSTVENTAS:  ",GENERAL!G43))</f>
        <v>OK
ESTADO DE POSTVENTAS:  POSTVENTA CORREGIDA</v>
      </c>
      <c r="G42" s="51" t="str">
        <f>+IF(GENERAL!H43=GENERAL!$AI$2,GENERAL!$AI$2,CONCATENATE(OBSERVACIONES!G42,"
ESTADO DE POSTVENTAS:  ",GENERAL!H43))</f>
        <v>NO ENTREGADO
ESTADO DE POSTVENTAS:  TIENE POSTVENTA</v>
      </c>
      <c r="H42" s="51" t="str">
        <f>+IF(GENERAL!I43=GENERAL!$AI$2,GENERAL!$AI$2,CONCATENATE(OBSERVACIONES!H42,"
ESTADO DE POSTVENTAS:  ",GENERAL!I43))</f>
        <v>OK
ESTADO DE POSTVENTAS:  POSTVENTA CORREGIDA</v>
      </c>
      <c r="I42" s="51" t="str">
        <f>+IF(GENERAL!J43=GENERAL!$AI$2,GENERAL!$AI$2,CONCATENATE(OBSERVACIONES!I42,"
ESTADO DE POSTVENTAS:  ",GENERAL!J43))</f>
        <v>OK
ESTADO DE POSTVENTAS:  POSTVENTA CORREGIDA</v>
      </c>
      <c r="J42" s="51" t="str">
        <f>+IF(GENERAL!K43=GENERAL!$AI$2,GENERAL!$AI$2,CONCATENATE(OBSERVACIONES!J42,"
ESTADO DE POSTVENTAS:  ",GENERAL!K43))</f>
        <v>OK
ESTADO DE POSTVENTAS:  POSTVENTA CORREGIDA</v>
      </c>
      <c r="K42" s="51" t="str">
        <f>+IF(GENERAL!L43=GENERAL!$AI$2,GENERAL!$AI$2,CONCATENATE(OBSERVACIONES!K42,"
ESTADO DE POSTVENTAS:  ",GENERAL!L43))</f>
        <v>OK
ESTADO DE POSTVENTAS:  POSTVENTA CORREGIDA</v>
      </c>
      <c r="L42" s="51" t="str">
        <f>+IF(GENERAL!M43=GENERAL!$AI$2,GENERAL!$AI$2,CONCATENATE(OBSERVACIONES!L42,"
ESTADO DE POSTVENTAS:  ",GENERAL!M43))</f>
        <v>OK
ESTADO DE POSTVENTAS:  POSTVENTA CORREGIDA</v>
      </c>
      <c r="M42" s="70" t="str">
        <f>+IF(GENERAL!N43=GENERAL!$AI$2,GENERAL!$AI$2,CONCATENATE(OBSERVACIONES!M42,"
ESTADO DE POSTVENTAS:  ",GENERAL!N43))</f>
        <v>OK
ESTADO DE POSTVENTAS:  POSTVENTA CORREGIDA</v>
      </c>
      <c r="N42" s="70" t="str">
        <f>+IF(GENERAL!O43=GENERAL!$AI$2,GENERAL!$AI$2,CONCATENATE(OBSERVACIONES!N42,"
ESTADO DE POSTVENTAS:  ",GENERAL!O43))</f>
        <v>DETALLE DE LLAVE
ESTADO DE POSTVENTAS:  TIENE POSTVENTA</v>
      </c>
      <c r="O42" s="70" t="str">
        <f>+IF(GENERAL!P43=GENERAL!$AI$2,GENERAL!$AI$2,CONCATENATE(OBSERVACIONES!O42,"
ESTADO DE POSTVENTAS:  ",GENERAL!P43))</f>
        <v>OK
ESTADO DE POSTVENTAS:  POSTVENTA CORREGIDA</v>
      </c>
      <c r="P42" s="70" t="str">
        <f>+IF(GENERAL!Q43=GENERAL!$AI$2,GENERAL!$AI$2,CONCATENATE(OBSERVACIONES!P42,"
ESTADO DE POSTVENTAS:  ",GENERAL!Q43))</f>
        <v>OK
ESTADO DE POSTVENTAS:  POSTVENTA CORREGIDA</v>
      </c>
      <c r="Q42" s="70" t="str">
        <f>+IF(GENERAL!R43=GENERAL!$AI$2,GENERAL!$AI$2,CONCATENATE(OBSERVACIONES!Q42,"
ESTADO DE POSTVENTAS:  ",GENERAL!R43))</f>
        <v>OK
ESTADO DE POSTVENTAS:  POSTVENTA CORREGIDA</v>
      </c>
      <c r="R42" s="51" t="str">
        <f>+IF(GENERAL!S43=GENERAL!$AI$2,GENERAL!$AI$2,CONCATENATE(OBSERVACIONES!R42,"
ESTADO DE POSTVENTAS:  ",GENERAL!S43))</f>
        <v>OK
ESTADO DE POSTVENTAS:  POSTVENTA CORREGIDA</v>
      </c>
      <c r="S42" s="51" t="str">
        <f>+IF(GENERAL!T43=GENERAL!$AI$2,GENERAL!$AI$2,CONCATENATE(OBSERVACIONES!S42,"
ESTADO DE POSTVENTAS:  ",GENERAL!T43))</f>
        <v>OK
ESTADO DE POSTVENTAS:  POSTVENTA CORREGIDA</v>
      </c>
      <c r="T42" s="51" t="str">
        <f>+IF(GENERAL!U43=GENERAL!$AI$2,GENERAL!$AI$2,CONCATENATE(OBSERVACIONES!T42,"
ESTADO DE POSTVENTAS:  ",GENERAL!U43))</f>
        <v>OK
ESTADO DE POSTVENTAS:  POSTVENTA CORREGIDA</v>
      </c>
      <c r="U42" s="51" t="str">
        <f>+IF(GENERAL!V43=GENERAL!$AI$2,GENERAL!$AI$2,CONCATENATE(OBSERVACIONES!U42,"
ESTADO DE POSTVENTAS:  ",GENERAL!V43))</f>
        <v>OK
ESTADO DE POSTVENTAS:  POSTVENTA CORREGIDA</v>
      </c>
      <c r="V42" s="51" t="str">
        <f>+IF(GENERAL!W43=GENERAL!$AI$2,GENERAL!$AI$2,CONCATENATE(OBSERVACIONES!V42,"
ESTADO DE POSTVENTAS:  ",GENERAL!W43))</f>
        <v>OK
ESTADO DE POSTVENTAS:  POSTVENTA CORREGIDA</v>
      </c>
      <c r="W42" s="51" t="str">
        <f>+IF(GENERAL!V43=GENERAL!$AI$2,GENERAL!$AI$2,CONCATENATE(OBSERVACIONES!W42,"
ESTADO DE POSTVENTAS:  ",GENERAL!V43))</f>
        <v>OK
ESTADO DE POSTVENTAS:  POSTVENTA CORREGIDA</v>
      </c>
      <c r="X42" s="51" t="str">
        <f>+IF(GENERAL!W43=GENERAL!$AI$2,GENERAL!$AI$2,CONCATENATE(OBSERVACIONES!X42,"
ESTADO DE POSTVENTAS:  ",GENERAL!W43))</f>
        <v>OK
ESTADO DE POSTVENTAS:  POSTVENTA CORREGIDA</v>
      </c>
      <c r="Y42" s="51" t="str">
        <f>+IF(GENERAL!Z43=GENERAL!$AI$2,GENERAL!$AI$2,CONCATENATE(OBSERVACIONES!Y42,"
ESTADO DE POSTVENTAS:  ",GENERAL!Z43))</f>
        <v>OK
ESTADO DE POSTVENTAS:  POSTVENTA CORREGIDA</v>
      </c>
      <c r="Z42" s="51" t="str">
        <f>+IF(GENERAL!AA43=GENERAL!$AI$2,GENERAL!$AI$2,CONCATENATE(OBSERVACIONES!Z42,"
ESTADO DE POSTVENTAS:  ",GENERAL!AA43))</f>
        <v>OK
ESTADO DE POSTVENTAS:  POSTVENTA CORREGIDA</v>
      </c>
      <c r="AA42" s="51" t="str">
        <f>+IF(GENERAL!AB43=GENERAL!$AI$2,GENERAL!$AI$2,CONCATENATE(OBSERVACIONES!AA42,"
ESTADO DE POSTVENTAS:  ",GENERAL!AB43))</f>
        <v>OK
ESTADO DE POSTVENTAS:  POSTVENTA CORREGIDA</v>
      </c>
      <c r="AB42" s="51" t="str">
        <f>+IF(GENERAL!AC43=GENERAL!$AI$2,GENERAL!$AI$2,CONCATENATE(OBSERVACIONES!AB42,"
ESTADO DE POSTVENTAS:  ",GENERAL!AC43))</f>
        <v>OK
ESTADO DE POSTVENTAS:  POSTVENTA CORREGIDA</v>
      </c>
      <c r="AC42" s="51" t="str">
        <f>+IF(GENERAL!AD43=GENERAL!$AI$2,GENERAL!$AI$2,CONCATENATE(OBSERVACIONES!AC42,"
ESTADO DE POSTVENTAS:  ",GENERAL!AD43))</f>
        <v>OK
ESTADO DE POSTVENTAS:  POSTVENTA CORREGIDA</v>
      </c>
      <c r="AD42" s="51" t="str">
        <f>+IF(GENERAL!AE43=GENERAL!$AI$2,GENERAL!$AI$2,CONCATENATE(OBSERVACIONES!AD42,"
ESTADO DE POSTVENTAS:  ",GENERAL!AE43))</f>
        <v>OK
ESTADO DE POSTVENTAS:  POSTVENTA CORREGIDA</v>
      </c>
      <c r="AE42" s="51" t="str">
        <f>+IF(GENERAL!AF43=GENERAL!$AI$2,GENERAL!$AI$2,CONCATENATE(OBSERVACIONES!AE42,"
ESTADO DE POSTVENTAS:  ",GENERAL!AF43))</f>
        <v>OK
ESTADO DE POSTVENTAS:  POSTVENTA CORREGIDA</v>
      </c>
      <c r="AF42" s="51" t="str">
        <f>+IF(GENERAL!AG43=GENERAL!$AI$2,GENERAL!$AI$2,CONCATENATE(OBSERVACIONES!AF42,"
ESTADO DE POSTVENTAS:  ",GENERAL!AG43))</f>
        <v>OK
ESTADO DE POSTVENTAS:  POSTVENTA CORREGIDA</v>
      </c>
      <c r="AG42" s="51" t="str">
        <f>+IF(GENERAL!AH43=GENERAL!$AI$2,GENERAL!$AI$2,CONCATENATE(OBSERVACIONES!AG42,"
ESTADO DE POSTVENTAS:  ",GENERAL!AH43))</f>
        <v>DETALLE BOQUILLA
ESTADO DE POSTVENTAS:  TIENE POSTVENTA</v>
      </c>
      <c r="AH42" s="51" t="str">
        <f>+IF(GENERAL!AI43=GENERAL!$AI$2,GENERAL!$AI$2,CONCATENATE(OBSERVACIONES!AH42,"
ESTADO DE POSTVENTAS:  ",GENERAL!AI43))</f>
        <v>OK
ESTADO DE POSTVENTAS:  POSTVENTA CORREGIDA</v>
      </c>
      <c r="AI42" s="51" t="str">
        <f>+IF(GENERAL!AG43=GENERAL!$AI$2,GENERAL!$AI$2,CONCATENATE(OBSERVACIONES!AF42,"
ESTADO DE POSTVENTAS:  ",GENERAL!AG43))</f>
        <v>OK
ESTADO DE POSTVENTAS:  POSTVENTA CORREGIDA</v>
      </c>
      <c r="AJ42" s="51" t="str">
        <f>+IF(GENERAL!AI43=GENERAL!$AI$2,GENERAL!$AI$2,CONCATENATE(OBSERVACIONES!AH42,"
ESTADO DE POSTVENTAS:  ",GENERAL!AI43))</f>
        <v>OK
ESTADO DE POSTVENTAS:  POSTVENTA CORREGIDA</v>
      </c>
      <c r="AK42" s="51" t="str">
        <f>+IF(GENERAL!AJ43=GENERAL!$AI$2,GENERAL!$AI$2,CONCATENATE(OBSERVACIONES!AI42,"
ESTADO DE POSTVENTAS:  ",GENERAL!AJ43))</f>
        <v>OK
ESTADO DE POSTVENTAS:  POSTVENTA CORREGIDA</v>
      </c>
      <c r="AL42" s="51" t="str">
        <f>+IF(GENERAL!AK43=GENERAL!$AI$2,GENERAL!$AI$2,CONCATENATE(OBSERVACIONES!AJ42,"
ESTADO DE POSTVENTAS:  ",GENERAL!AK43))</f>
        <v>OK
ESTADO DE POSTVENTAS:  POSTVENTA CORREGIDA</v>
      </c>
      <c r="AM42" s="51" t="str">
        <f>+IF(GENERAL!AN43=GENERAL!$AI$2,GENERAL!$AI$2,CONCATENATE(OBSERVACIONES!AM42,"
ESTADO DE POSTVENTAS:  ",GENERAL!AN43))</f>
        <v>OK
ESTADO DE POSTVENTAS:  POSTVENTA CORREGIDA</v>
      </c>
      <c r="AN42" s="37">
        <v>3</v>
      </c>
      <c r="AO42" s="37">
        <v>8</v>
      </c>
      <c r="AP42" s="37">
        <v>3</v>
      </c>
      <c r="AQ42" s="37">
        <v>1</v>
      </c>
      <c r="AR42" s="43">
        <v>13</v>
      </c>
      <c r="AS42" s="40">
        <v>12</v>
      </c>
      <c r="AT42" s="37">
        <f>COUNTIFS($D$5:$AM$5,"&lt;&gt;"&amp;CODICIONALES!$A$1,$D$5:$AM$5,"&lt;&gt;"&amp;CODICIONALES!$A$2,$D$5:$AM$5,"&lt;&gt;"&amp;CODICIONALES!$B$2,$D$5:$AM$5,"&lt;&gt;"&amp;CODICIONALES!$C$2)</f>
        <v>6</v>
      </c>
      <c r="AU42" s="43">
        <f>COUNTIFS(D42:AM42,CODICIONALES!$A$2)</f>
        <v>32</v>
      </c>
      <c r="AV42" s="40">
        <f t="shared" si="0"/>
        <v>-2</v>
      </c>
    </row>
    <row r="43" spans="1:48" ht="51" customHeight="1" x14ac:dyDescent="0.25">
      <c r="A43" s="110"/>
      <c r="B43" s="2">
        <v>39</v>
      </c>
      <c r="C43" s="21" t="s">
        <v>76</v>
      </c>
      <c r="D43" s="51" t="str">
        <f>+IF(GENERAL!E44=GENERAL!$AI$2,GENERAL!$AI$2,CONCATENATE(OBSERVACIONES!D43,"
ESTADO DE POSTVENTAS:  ",GENERAL!E44))</f>
        <v>NO ENTREGADO
ESTADO DE POSTVENTAS:  TIENE POSTVENTA</v>
      </c>
      <c r="E43" s="51" t="str">
        <f>+IF(GENERAL!F44=GENERAL!$AI$2,GENERAL!$AI$2,CONCATENATE(OBSERVACIONES!E43,"
ESTADO DE POSTVENTAS:  ",GENERAL!F44))</f>
        <v>OK
ESTADO DE POSTVENTAS:  POSTVENTA CORREGIDA</v>
      </c>
      <c r="F43" s="51" t="str">
        <f>+IF(GENERAL!G44=GENERAL!$AI$2,GENERAL!$AI$2,CONCATENATE(OBSERVACIONES!F43,"
ESTADO DE POSTVENTAS:  ",GENERAL!G44))</f>
        <v>OK
ESTADO DE POSTVENTAS:  POSTVENTA CORREGIDA</v>
      </c>
      <c r="G43" s="51" t="str">
        <f>+IF(GENERAL!H44=GENERAL!$AI$2,GENERAL!$AI$2,CONCATENATE(OBSERVACIONES!G43,"
ESTADO DE POSTVENTAS:  ",GENERAL!H44))</f>
        <v>NO ENTREGADO
ESTADO DE POSTVENTAS:  TIENE POSTVENTA</v>
      </c>
      <c r="H43" s="51" t="str">
        <f>+IF(GENERAL!I44=GENERAL!$AI$2,GENERAL!$AI$2,CONCATENATE(OBSERVACIONES!H43,"
ESTADO DE POSTVENTAS:  ",GENERAL!I44))</f>
        <v>OK
ESTADO DE POSTVENTAS:  POSTVENTA CORREGIDA</v>
      </c>
      <c r="I43" s="51" t="str">
        <f>+IF(GENERAL!J44=GENERAL!$AI$2,GENERAL!$AI$2,CONCATENATE(OBSERVACIONES!I43,"
ESTADO DE POSTVENTAS:  ",GENERAL!J44))</f>
        <v>OK
ESTADO DE POSTVENTAS:  POSTVENTA CORREGIDA</v>
      </c>
      <c r="J43" s="51" t="str">
        <f>+IF(GENERAL!K44=GENERAL!$AI$2,GENERAL!$AI$2,CONCATENATE(OBSERVACIONES!J43,"
ESTADO DE POSTVENTAS:  ",GENERAL!K44))</f>
        <v>OK
ESTADO DE POSTVENTAS:  POSTVENTA CORREGIDA</v>
      </c>
      <c r="K43" s="51" t="str">
        <f>+IF(GENERAL!L44=GENERAL!$AI$2,GENERAL!$AI$2,CONCATENATE(OBSERVACIONES!K43,"
ESTADO DE POSTVENTAS:  ",GENERAL!L44))</f>
        <v>OK
ESTADO DE POSTVENTAS:  POSTVENTA CORREGIDA</v>
      </c>
      <c r="L43" s="51" t="str">
        <f>+IF(GENERAL!M44=GENERAL!$AI$2,GENERAL!$AI$2,CONCATENATE(OBSERVACIONES!L43,"
ESTADO DE POSTVENTAS:  ",GENERAL!M44))</f>
        <v>OK
ESTADO DE POSTVENTAS:  POSTVENTA CORREGIDA</v>
      </c>
      <c r="M43" s="70" t="str">
        <f>+IF(GENERAL!N44=GENERAL!$AI$2,GENERAL!$AI$2,CONCATENATE(OBSERVACIONES!M43,"
ESTADO DE POSTVENTAS:  ",GENERAL!N44))</f>
        <v>OK
ESTADO DE POSTVENTAS:  POSTVENTA CORREGIDA</v>
      </c>
      <c r="N43" s="51" t="str">
        <f>+IF(GENERAL!O44=GENERAL!$AI$2,GENERAL!$AI$2,CONCATENATE(OBSERVACIONES!N43,"
ESTADO DE POSTVENTAS:  ",GENERAL!O44))</f>
        <v>OK
ESTADO DE POSTVENTAS:  POSTVENTA CORREGIDA</v>
      </c>
      <c r="O43" s="51" t="str">
        <f>+IF(GENERAL!P44=GENERAL!$AI$2,GENERAL!$AI$2,CONCATENATE(OBSERVACIONES!O43,"
ESTADO DE POSTVENTAS:  ",GENERAL!P44))</f>
        <v>OK
ESTADO DE POSTVENTAS:  POSTVENTA CORREGIDA</v>
      </c>
      <c r="P43" s="70" t="str">
        <f>+IF(GENERAL!Q44=GENERAL!$AI$2,GENERAL!$AI$2,CONCATENATE(OBSERVACIONES!P43,"
ESTADO DE POSTVENTAS:  ",GENERAL!Q44))</f>
        <v>OK
ESTADO DE POSTVENTAS:  POSTVENTA CORREGIDA</v>
      </c>
      <c r="Q43" s="70" t="str">
        <f>+IF(GENERAL!R44=GENERAL!$AI$2,GENERAL!$AI$2,CONCATENATE(OBSERVACIONES!Q43,"
ESTADO DE POSTVENTAS:  ",GENERAL!R44))</f>
        <v>OK
ESTADO DE POSTVENTAS:  POSTVENTA CORREGIDA</v>
      </c>
      <c r="R43" s="51" t="str">
        <f>+IF(GENERAL!S44=GENERAL!$AI$2,GENERAL!$AI$2,CONCATENATE(OBSERVACIONES!R43,"
ESTADO DE POSTVENTAS:  ",GENERAL!S44))</f>
        <v>OK
ESTADO DE POSTVENTAS:  POSTVENTA CORREGIDA</v>
      </c>
      <c r="S43" s="51" t="str">
        <f>+IF(GENERAL!T44=GENERAL!$AI$2,GENERAL!$AI$2,CONCATENATE(OBSERVACIONES!S43,"
ESTADO DE POSTVENTAS:  ",GENERAL!T44))</f>
        <v>OK
ESTADO DE POSTVENTAS:  POSTVENTA CORREGIDA</v>
      </c>
      <c r="T43" s="51" t="str">
        <f>+IF(GENERAL!U44=GENERAL!$AI$2,GENERAL!$AI$2,CONCATENATE(OBSERVACIONES!T43,"
ESTADO DE POSTVENTAS:  ",GENERAL!U44))</f>
        <v>OK
ESTADO DE POSTVENTAS:  POSTVENTA CORREGIDA</v>
      </c>
      <c r="U43" s="51" t="str">
        <f>+IF(GENERAL!V44=GENERAL!$AI$2,GENERAL!$AI$2,CONCATENATE(OBSERVACIONES!U43,"
ESTADO DE POSTVENTAS:  ",GENERAL!V44))</f>
        <v>OK
ESTADO DE POSTVENTAS:  POSTVENTA CORREGIDA</v>
      </c>
      <c r="V43" s="51" t="str">
        <f>+IF(GENERAL!W44=GENERAL!$AI$2,GENERAL!$AI$2,CONCATENATE(OBSERVACIONES!V43,"
ESTADO DE POSTVENTAS:  ",GENERAL!W44))</f>
        <v>OK
ESTADO DE POSTVENTAS:  POSTVENTA CORREGIDA</v>
      </c>
      <c r="W43" s="51" t="str">
        <f>+IF(GENERAL!V44=GENERAL!$AI$2,GENERAL!$AI$2,CONCATENATE(OBSERVACIONES!W43,"
ESTADO DE POSTVENTAS:  ",GENERAL!V44))</f>
        <v>OK
ESTADO DE POSTVENTAS:  POSTVENTA CORREGIDA</v>
      </c>
      <c r="X43" s="51" t="str">
        <f>+IF(GENERAL!W44=GENERAL!$AI$2,GENERAL!$AI$2,CONCATENATE(OBSERVACIONES!X43,"
ESTADO DE POSTVENTAS:  ",GENERAL!W44))</f>
        <v>OK
ESTADO DE POSTVENTAS:  POSTVENTA CORREGIDA</v>
      </c>
      <c r="Y43" s="51" t="str">
        <f>+IF(GENERAL!Z44=GENERAL!$AI$2,GENERAL!$AI$2,CONCATENATE(OBSERVACIONES!Y43,"
ESTADO DE POSTVENTAS:  ",GENERAL!Z44))</f>
        <v>OK
ESTADO DE POSTVENTAS:  POSTVENTA CORREGIDA</v>
      </c>
      <c r="Z43" s="51" t="str">
        <f>+IF(GENERAL!AA44=GENERAL!$AI$2,GENERAL!$AI$2,CONCATENATE(OBSERVACIONES!Z43,"
ESTADO DE POSTVENTAS:  ",GENERAL!AA44))</f>
        <v>OK
ESTADO DE POSTVENTAS:  POSTVENTA CORREGIDA</v>
      </c>
      <c r="AA43" s="51" t="str">
        <f>+IF(GENERAL!AB44=GENERAL!$AI$2,GENERAL!$AI$2,CONCATENATE(OBSERVACIONES!AA43,"
ESTADO DE POSTVENTAS:  ",GENERAL!AB44))</f>
        <v>OK
ESTADO DE POSTVENTAS:  POSTVENTA CORREGIDA</v>
      </c>
      <c r="AB43" s="51" t="str">
        <f>+IF(GENERAL!AC44=GENERAL!$AI$2,GENERAL!$AI$2,CONCATENATE(OBSERVACIONES!AB43,"
ESTADO DE POSTVENTAS:  ",GENERAL!AC44))</f>
        <v>OK
ESTADO DE POSTVENTAS:  POSTVENTA CORREGIDA</v>
      </c>
      <c r="AC43" s="51" t="str">
        <f>+IF(GENERAL!AD44=GENERAL!$AI$2,GENERAL!$AI$2,CONCATENATE(OBSERVACIONES!AC43,"
ESTADO DE POSTVENTAS:  ",GENERAL!AD44))</f>
        <v>OK
ESTADO DE POSTVENTAS:  POSTVENTA CORREGIDA</v>
      </c>
      <c r="AD43" s="51" t="str">
        <f>+IF(GENERAL!AE44=GENERAL!$AI$2,GENERAL!$AI$2,CONCATENATE(OBSERVACIONES!AD43,"
ESTADO DE POSTVENTAS:  ",GENERAL!AE44))</f>
        <v>OK
ESTADO DE POSTVENTAS:  POSTVENTA CORREGIDA</v>
      </c>
      <c r="AE43" s="51" t="str">
        <f>+IF(GENERAL!AF44=GENERAL!$AI$2,GENERAL!$AI$2,CONCATENATE(OBSERVACIONES!AE43,"
ESTADO DE POSTVENTAS:  ",GENERAL!AF44))</f>
        <v>OK
ESTADO DE POSTVENTAS:  POSTVENTA CORREGIDA</v>
      </c>
      <c r="AF43" s="51" t="str">
        <f>+IF(GENERAL!AG44=GENERAL!$AI$2,GENERAL!$AI$2,CONCATENATE(OBSERVACIONES!AF43,"
ESTADO DE POSTVENTAS:  ",GENERAL!AG44))</f>
        <v>OK
ESTADO DE POSTVENTAS:  POSTVENTA CORREGIDA</v>
      </c>
      <c r="AG43" s="51" t="str">
        <f>+IF(GENERAL!AH44=GENERAL!$AI$2,GENERAL!$AI$2,CONCATENATE(OBSERVACIONES!AG43,"
ESTADO DE POSTVENTAS:  ",GENERAL!AH44))</f>
        <v>OK
ESTADO DE POSTVENTAS:  POSTVENTA CORREGIDA</v>
      </c>
      <c r="AH43" s="51" t="str">
        <f>+IF(GENERAL!AI44=GENERAL!$AI$2,GENERAL!$AI$2,CONCATENATE(OBSERVACIONES!AH43,"
ESTADO DE POSTVENTAS:  ",GENERAL!AI44))</f>
        <v>OK
ESTADO DE POSTVENTAS:  POSTVENTA CORREGIDA</v>
      </c>
      <c r="AI43" s="51" t="str">
        <f>+IF(GENERAL!AG44=GENERAL!$AI$2,GENERAL!$AI$2,CONCATENATE(OBSERVACIONES!AF43,"
ESTADO DE POSTVENTAS:  ",GENERAL!AG44))</f>
        <v>OK
ESTADO DE POSTVENTAS:  POSTVENTA CORREGIDA</v>
      </c>
      <c r="AJ43" s="51" t="str">
        <f>+IF(GENERAL!AI44=GENERAL!$AI$2,GENERAL!$AI$2,CONCATENATE(OBSERVACIONES!AH43,"
ESTADO DE POSTVENTAS:  ",GENERAL!AI44))</f>
        <v>OK
ESTADO DE POSTVENTAS:  POSTVENTA CORREGIDA</v>
      </c>
      <c r="AK43" s="51" t="str">
        <f>+IF(GENERAL!AJ44=GENERAL!$AI$2,GENERAL!$AI$2,CONCATENATE(OBSERVACIONES!AI43,"
ESTADO DE POSTVENTAS:  ",GENERAL!AJ44))</f>
        <v>OK
ESTADO DE POSTVENTAS:  POSTVENTA CORREGIDA</v>
      </c>
      <c r="AL43" s="51" t="str">
        <f>+IF(GENERAL!AK44=GENERAL!$AI$2,GENERAL!$AI$2,CONCATENATE(OBSERVACIONES!AJ43,"
ESTADO DE POSTVENTAS:  ",GENERAL!AK44))</f>
        <v>OK
ESTADO DE POSTVENTAS:  POSTVENTA CORREGIDA</v>
      </c>
      <c r="AM43" s="51" t="str">
        <f>+IF(GENERAL!AN44=GENERAL!$AI$2,GENERAL!$AI$2,CONCATENATE(OBSERVACIONES!AM43,"
ESTADO DE POSTVENTAS:  ",GENERAL!AN44))</f>
        <v>OK
ESTADO DE POSTVENTAS:  POSTVENTA CORREGIDA</v>
      </c>
      <c r="AN43" s="37">
        <v>2</v>
      </c>
      <c r="AO43" s="37">
        <v>9</v>
      </c>
      <c r="AP43" s="37">
        <v>3</v>
      </c>
      <c r="AQ43" s="37">
        <v>0</v>
      </c>
      <c r="AR43" s="43">
        <v>14</v>
      </c>
      <c r="AS43" s="40">
        <v>12</v>
      </c>
      <c r="AT43" s="37">
        <f>COUNTIFS($D$5:$AM$5,"&lt;&gt;"&amp;CODICIONALES!$A$1,$D$5:$AM$5,"&lt;&gt;"&amp;CODICIONALES!$A$2,$D$5:$AM$5,"&lt;&gt;"&amp;CODICIONALES!$B$2,$D$5:$AM$5,"&lt;&gt;"&amp;CODICIONALES!$C$2)</f>
        <v>6</v>
      </c>
      <c r="AU43" s="43">
        <f>COUNTIFS(D43:AM43,CODICIONALES!$A$2)</f>
        <v>34</v>
      </c>
      <c r="AV43" s="40">
        <f t="shared" si="0"/>
        <v>-4</v>
      </c>
    </row>
    <row r="44" spans="1:48" ht="51" customHeight="1" x14ac:dyDescent="0.25">
      <c r="A44" s="110"/>
      <c r="B44" s="2">
        <v>40</v>
      </c>
      <c r="C44" s="21" t="s">
        <v>77</v>
      </c>
      <c r="D44" s="51" t="str">
        <f>+IF(GENERAL!E45=GENERAL!$AI$2,GENERAL!$AI$2,CONCATENATE(OBSERVACIONES!D44,"
ESTADO DE POSTVENTAS:  ",GENERAL!E45))</f>
        <v>NO ENTREGADO
ESTADO DE POSTVENTAS:  TIENE POSTVENTA</v>
      </c>
      <c r="E44" s="70" t="str">
        <f>+IF(GENERAL!F45=GENERAL!$AI$2,GENERAL!$AI$2,CONCATENATE(OBSERVACIONES!E44,"
ESTADO DE POSTVENTAS:  ",GENERAL!F45))</f>
        <v>OK
ESTADO DE POSTVENTAS:  POSTVENTA CORREGIDA</v>
      </c>
      <c r="F44" s="51" t="str">
        <f>+IF(GENERAL!G45=GENERAL!$AI$2,GENERAL!$AI$2,CONCATENATE(OBSERVACIONES!F44,"
ESTADO DE POSTVENTAS:  ",GENERAL!G45))</f>
        <v>OK
ESTADO DE POSTVENTAS:  POSTVENTA CORREGIDA</v>
      </c>
      <c r="G44" s="51" t="str">
        <f>+IF(GENERAL!H45=GENERAL!$AI$2,GENERAL!$AI$2,CONCATENATE(OBSERVACIONES!G44,"
ESTADO DE POSTVENTAS:  ",GENERAL!H45))</f>
        <v>NO ENTREGADO
ESTADO DE POSTVENTAS:  TIENE POSTVENTA</v>
      </c>
      <c r="H44" s="51" t="str">
        <f>+IF(GENERAL!I45=GENERAL!$AI$2,GENERAL!$AI$2,CONCATENATE(OBSERVACIONES!H44,"
ESTADO DE POSTVENTAS:  ",GENERAL!I45))</f>
        <v>OK
ESTADO DE POSTVENTAS:  POSTVENTA CORREGIDA</v>
      </c>
      <c r="I44" s="51" t="str">
        <f>+IF(GENERAL!J45=GENERAL!$AI$2,GENERAL!$AI$2,CONCATENATE(OBSERVACIONES!I44,"
ESTADO DE POSTVENTAS:  ",GENERAL!J45))</f>
        <v>OK
ESTADO DE POSTVENTAS:  POSTVENTA CORREGIDA</v>
      </c>
      <c r="J44" s="51" t="str">
        <f>+IF(GENERAL!K45=GENERAL!$AI$2,GENERAL!$AI$2,CONCATENATE(OBSERVACIONES!J44,"
ESTADO DE POSTVENTAS:  ",GENERAL!K45))</f>
        <v>OK
ESTADO DE POSTVENTAS:  POSTVENTA CORREGIDA</v>
      </c>
      <c r="K44" s="51" t="str">
        <f>+IF(GENERAL!L45=GENERAL!$AI$2,GENERAL!$AI$2,CONCATENATE(OBSERVACIONES!K44,"
ESTADO DE POSTVENTAS:  ",GENERAL!L45))</f>
        <v>OK
ESTADO DE POSTVENTAS:  POSTVENTA CORREGIDA</v>
      </c>
      <c r="L44" s="51" t="str">
        <f>+IF(GENERAL!M45=GENERAL!$AI$2,GENERAL!$AI$2,CONCATENATE(OBSERVACIONES!L44,"
ESTADO DE POSTVENTAS:  ",GENERAL!M45))</f>
        <v>OK
ESTADO DE POSTVENTAS:  POSTVENTA CORREGIDA</v>
      </c>
      <c r="M44" s="70" t="str">
        <f>+IF(GENERAL!N45=GENERAL!$AI$2,GENERAL!$AI$2,CONCATENATE(OBSERVACIONES!M44,"
ESTADO DE POSTVENTAS:  ",GENERAL!N45))</f>
        <v>OK
ESTADO DE POSTVENTAS:  POSTVENTA CORREGIDA</v>
      </c>
      <c r="N44" s="51" t="str">
        <f>+IF(GENERAL!O45=GENERAL!$AI$2,GENERAL!$AI$2,CONCATENATE(OBSERVACIONES!N44,"
ESTADO DE POSTVENTAS:  ",GENERAL!O45))</f>
        <v>OK
ESTADO DE POSTVENTAS:  POSTVENTA CORREGIDA</v>
      </c>
      <c r="O44" s="51" t="str">
        <f>+IF(GENERAL!P45=GENERAL!$AI$2,GENERAL!$AI$2,CONCATENATE(OBSERVACIONES!O44,"
ESTADO DE POSTVENTAS:  ",GENERAL!P45))</f>
        <v>OK
ESTADO DE POSTVENTAS:  POSTVENTA CORREGIDA</v>
      </c>
      <c r="P44" s="70" t="str">
        <f>+IF(GENERAL!Q45=GENERAL!$AI$2,GENERAL!$AI$2,CONCATENATE(OBSERVACIONES!P44,"
ESTADO DE POSTVENTAS:  ",GENERAL!Q45))</f>
        <v>OK
ESTADO DE POSTVENTAS:  POSTVENTA CORREGIDA</v>
      </c>
      <c r="Q44" s="70" t="str">
        <f>+IF(GENERAL!R45=GENERAL!$AI$2,GENERAL!$AI$2,CONCATENATE(OBSERVACIONES!Q44,"
ESTADO DE POSTVENTAS:  ",GENERAL!R45))</f>
        <v>OK
ESTADO DE POSTVENTAS:  POSTVENTA CORREGIDA</v>
      </c>
      <c r="R44" s="51" t="str">
        <f>+IF(GENERAL!S45=GENERAL!$AI$2,GENERAL!$AI$2,CONCATENATE(OBSERVACIONES!R44,"
ESTADO DE POSTVENTAS:  ",GENERAL!S45))</f>
        <v>OK
ESTADO DE POSTVENTAS:  POSTVENTA CORREGIDA</v>
      </c>
      <c r="S44" s="51" t="str">
        <f>+IF(GENERAL!T45=GENERAL!$AI$2,GENERAL!$AI$2,CONCATENATE(OBSERVACIONES!S44,"
ESTADO DE POSTVENTAS:  ",GENERAL!T45))</f>
        <v>DETALLE HUMEDAD
ESTADO DE POSTVENTAS:  TIENE POSTVENTA</v>
      </c>
      <c r="T44" s="51" t="str">
        <f>+IF(GENERAL!U45=GENERAL!$AI$2,GENERAL!$AI$2,CONCATENATE(OBSERVACIONES!T44,"
ESTADO DE POSTVENTAS:  ",GENERAL!U45))</f>
        <v>DETALLE HUMEDAD
ESTADO DE POSTVENTAS:  TIENE POSTVENTA</v>
      </c>
      <c r="U44" s="51" t="str">
        <f>+IF(GENERAL!V45=GENERAL!$AI$2,GENERAL!$AI$2,CONCATENATE(OBSERVACIONES!U44,"
ESTADO DE POSTVENTAS:  ",GENERAL!V45))</f>
        <v>OK
ESTADO DE POSTVENTAS:  POSTVENTA CORREGIDA</v>
      </c>
      <c r="V44" s="70" t="str">
        <f>+IF(GENERAL!W45=GENERAL!$AI$2,GENERAL!$AI$2,CONCATENATE(OBSERVACIONES!V44,"
ESTADO DE POSTVENTAS:  ",GENERAL!W45))</f>
        <v>DETALLE PINTURA Y ESTUCO
ESTADO DE POSTVENTAS:  TIENE POSTVENTA</v>
      </c>
      <c r="W44" s="51" t="str">
        <f>+IF(GENERAL!V45=GENERAL!$AI$2,GENERAL!$AI$2,CONCATENATE(OBSERVACIONES!W44,"
ESTADO DE POSTVENTAS:  ",GENERAL!V45))</f>
        <v>OK
ESTADO DE POSTVENTAS:  POSTVENTA CORREGIDA</v>
      </c>
      <c r="X44" s="51" t="str">
        <f>+IF(GENERAL!W45=GENERAL!$AI$2,GENERAL!$AI$2,CONCATENATE(OBSERVACIONES!X44,"
ESTADO DE POSTVENTAS:  ",GENERAL!W45))</f>
        <v>OK
ESTADO DE POSTVENTAS:  TIENE POSTVENTA</v>
      </c>
      <c r="Y44" s="51" t="str">
        <f>+IF(GENERAL!Z45=GENERAL!$AI$2,GENERAL!$AI$2,CONCATENATE(OBSERVACIONES!Y44,"
ESTADO DE POSTVENTAS:  ",GENERAL!Z45))</f>
        <v>DETALLE PINTURA
ESTADO DE POSTVENTAS:  TIENE POSTVENTA</v>
      </c>
      <c r="Z44" s="51" t="str">
        <f>+IF(GENERAL!AA45=GENERAL!$AI$2,GENERAL!$AI$2,CONCATENATE(OBSERVACIONES!Z44,"
ESTADO DE POSTVENTAS:  ",GENERAL!AA45))</f>
        <v>OK
ESTADO DE POSTVENTAS:  POSTVENTA CORREGIDA</v>
      </c>
      <c r="AA44" s="51" t="str">
        <f>+IF(GENERAL!AB45=GENERAL!$AI$2,GENERAL!$AI$2,CONCATENATE(OBSERVACIONES!AA44,"
ESTADO DE POSTVENTAS:  ",GENERAL!AB45))</f>
        <v>OK
ESTADO DE POSTVENTAS:  POSTVENTA CORREGIDA</v>
      </c>
      <c r="AB44" s="70" t="str">
        <f>+IF(GENERAL!AC45=GENERAL!$AI$2,GENERAL!$AI$2,CONCATENATE(OBSERVACIONES!AB44,"
ESTADO DE POSTVENTAS:  ",GENERAL!AC45))</f>
        <v>OK
ESTADO DE POSTVENTAS:  POSTVENTA CORREGIDA</v>
      </c>
      <c r="AC44" s="70" t="str">
        <f>+IF(GENERAL!AD45=GENERAL!$AI$2,GENERAL!$AI$2,CONCATENATE(OBSERVACIONES!AC44,"
ESTADO DE POSTVENTAS:  ",GENERAL!AD45))</f>
        <v>OK
ESTADO DE POSTVENTAS:  POSTVENTA CORREGIDA</v>
      </c>
      <c r="AD44" s="51" t="str">
        <f>+IF(GENERAL!AE45=GENERAL!$AI$2,GENERAL!$AI$2,CONCATENATE(OBSERVACIONES!AD44,"
ESTADO DE POSTVENTAS:  ",GENERAL!AE45))</f>
        <v>OK
ESTADO DE POSTVENTAS:  POSTVENTA CORREGIDA</v>
      </c>
      <c r="AE44" s="70" t="str">
        <f>+IF(GENERAL!AF45=GENERAL!$AI$2,GENERAL!$AI$2,CONCATENATE(OBSERVACIONES!AE44,"
ESTADO DE POSTVENTAS:  ",GENERAL!AF45))</f>
        <v>DETALLE PINTURA
ESTADO DE POSTVENTAS:  TIENE POSTVENTA</v>
      </c>
      <c r="AF44" s="51" t="str">
        <f>+IF(GENERAL!AG45=GENERAL!$AI$2,GENERAL!$AI$2,CONCATENATE(OBSERVACIONES!AF44,"
ESTADO DE POSTVENTAS:  ",GENERAL!AG45))</f>
        <v>OK
ESTADO DE POSTVENTAS:  POSTVENTA CORREGIDA</v>
      </c>
      <c r="AG44" s="51" t="str">
        <f>+IF(GENERAL!AH45=GENERAL!$AI$2,GENERAL!$AI$2,CONCATENATE(OBSERVACIONES!AG44,"
ESTADO DE POSTVENTAS:  ",GENERAL!AH45))</f>
        <v>OK
ESTADO DE POSTVENTAS:  POSTVENTA CORREGIDA</v>
      </c>
      <c r="AH44" s="51" t="str">
        <f>+IF(GENERAL!AI45=GENERAL!$AI$2,GENERAL!$AI$2,CONCATENATE(OBSERVACIONES!AH44,"
ESTADO DE POSTVENTAS:  ",GENERAL!AI45))</f>
        <v>OK
ESTADO DE POSTVENTAS:  POSTVENTA CORREGIDA</v>
      </c>
      <c r="AI44" s="51" t="str">
        <f>+IF(GENERAL!AG45=GENERAL!$AI$2,GENERAL!$AI$2,CONCATENATE(OBSERVACIONES!AF44,"
ESTADO DE POSTVENTAS:  ",GENERAL!AG45))</f>
        <v>OK
ESTADO DE POSTVENTAS:  POSTVENTA CORREGIDA</v>
      </c>
      <c r="AJ44" s="51" t="str">
        <f>+IF(GENERAL!AI45=GENERAL!$AI$2,GENERAL!$AI$2,CONCATENATE(OBSERVACIONES!AH44,"
ESTADO DE POSTVENTAS:  ",GENERAL!AI45))</f>
        <v>OK
ESTADO DE POSTVENTAS:  POSTVENTA CORREGIDA</v>
      </c>
      <c r="AK44" s="51" t="str">
        <f>+IF(GENERAL!AJ45=GENERAL!$AI$2,GENERAL!$AI$2,CONCATENATE(OBSERVACIONES!AI44,"
ESTADO DE POSTVENTAS:  ",GENERAL!AJ45))</f>
        <v>OK
ESTADO DE POSTVENTAS:  POSTVENTA CORREGIDA</v>
      </c>
      <c r="AL44" s="51" t="str">
        <f>+IF(GENERAL!AK45=GENERAL!$AI$2,GENERAL!$AI$2,CONCATENATE(OBSERVACIONES!AJ44,"
ESTADO DE POSTVENTAS:  ",GENERAL!AK45))</f>
        <v>OK
ESTADO DE POSTVENTAS:  POSTVENTA CORREGIDA</v>
      </c>
      <c r="AM44" s="70" t="str">
        <f>+IF(GENERAL!AN45=GENERAL!$AI$2,GENERAL!$AI$2,CONCATENATE(OBSERVACIONES!AM44,"
ESTADO DE POSTVENTAS:  ",GENERAL!AN45))</f>
        <v>DETALLE PINTURA
ESTADO DE POSTVENTAS:  TIENE POSTVENTA</v>
      </c>
      <c r="AN44" s="37">
        <v>2</v>
      </c>
      <c r="AO44" s="37">
        <v>9</v>
      </c>
      <c r="AP44" s="37">
        <v>3</v>
      </c>
      <c r="AQ44" s="37">
        <v>2</v>
      </c>
      <c r="AR44" s="43">
        <v>13</v>
      </c>
      <c r="AS44" s="40">
        <v>11</v>
      </c>
      <c r="AT44" s="37">
        <f>COUNTIFS($D$5:$AM$5,"&lt;&gt;"&amp;CODICIONALES!$A$1,$D$5:$AM$5,"&lt;&gt;"&amp;CODICIONALES!$A$2,$D$5:$AM$5,"&lt;&gt;"&amp;CODICIONALES!$B$2,$D$5:$AM$5,"&lt;&gt;"&amp;CODICIONALES!$C$2)</f>
        <v>6</v>
      </c>
      <c r="AU44" s="43">
        <f>COUNTIFS(D44:AM44,CODICIONALES!$A$2)</f>
        <v>27</v>
      </c>
      <c r="AV44" s="40">
        <f t="shared" si="0"/>
        <v>3</v>
      </c>
    </row>
    <row r="45" spans="1:48" ht="51" customHeight="1" x14ac:dyDescent="0.25">
      <c r="A45" s="110"/>
      <c r="B45" s="2">
        <v>41</v>
      </c>
      <c r="C45" s="21" t="s">
        <v>59</v>
      </c>
      <c r="D45" s="51" t="str">
        <f>+IF(GENERAL!E46=GENERAL!$AI$2,GENERAL!$AI$2,CONCATENATE(OBSERVACIONES!D45,"
ESTADO DE POSTVENTAS:  ",GENERAL!E46))</f>
        <v>NO ENTREGADO
ESTADO DE POSTVENTAS:  TIENE POSTVENTA</v>
      </c>
      <c r="E45" s="51" t="str">
        <f>+IF(GENERAL!F46=GENERAL!$AI$2,GENERAL!$AI$2,CONCATENATE(OBSERVACIONES!E45,"
ESTADO DE POSTVENTAS:  ",GENERAL!F46))</f>
        <v>OK
ESTADO DE POSTVENTAS:  POSTVENTA CORREGIDA</v>
      </c>
      <c r="F45" s="51" t="str">
        <f>+IF(GENERAL!G46=GENERAL!$AI$2,GENERAL!$AI$2,CONCATENATE(OBSERVACIONES!F45,"
ESTADO DE POSTVENTAS:  ",GENERAL!G46))</f>
        <v>OK
ESTADO DE POSTVENTAS:  POSTVENTA CORREGIDA</v>
      </c>
      <c r="G45" s="51" t="str">
        <f>+IF(GENERAL!H46=GENERAL!$AI$2,GENERAL!$AI$2,CONCATENATE(OBSERVACIONES!G45,"
ESTADO DE POSTVENTAS:  ",GENERAL!H46))</f>
        <v>NO ENTREGADO
ESTADO DE POSTVENTAS:  TIENE POSTVENTA</v>
      </c>
      <c r="H45" s="70" t="str">
        <f>+IF(GENERAL!I46=GENERAL!$AI$2,GENERAL!$AI$2,CONCATENATE(OBSERVACIONES!H45,"
ESTADO DE POSTVENTAS:  ",GENERAL!I46))</f>
        <v>DETALLE BALDOSA
ESTADO DE POSTVENTAS:  TIENE POSTVENTA</v>
      </c>
      <c r="I45" s="51" t="str">
        <f>+IF(GENERAL!J46=GENERAL!$AI$2,GENERAL!$AI$2,CONCATENATE(OBSERVACIONES!I45,"
ESTADO DE POSTVENTAS:  ",GENERAL!J46))</f>
        <v>OK
ESTADO DE POSTVENTAS:  POSTVENTA CORREGIDA</v>
      </c>
      <c r="J45" s="51" t="str">
        <f>+IF(GENERAL!K46=GENERAL!$AI$2,GENERAL!$AI$2,CONCATENATE(OBSERVACIONES!J45,"
ESTADO DE POSTVENTAS:  ",GENERAL!K46))</f>
        <v>OK
ESTADO DE POSTVENTAS:  POSTVENTA CORREGIDA</v>
      </c>
      <c r="K45" s="51" t="str">
        <f>+IF(GENERAL!L46=GENERAL!$AI$2,GENERAL!$AI$2,CONCATENATE(OBSERVACIONES!K45,"
ESTADO DE POSTVENTAS:  ",GENERAL!L46))</f>
        <v>OK
ESTADO DE POSTVENTAS:  POSTVENTA CORREGIDA</v>
      </c>
      <c r="L45" s="51" t="str">
        <f>+IF(GENERAL!M46=GENERAL!$AI$2,GENERAL!$AI$2,CONCATENATE(OBSERVACIONES!L45,"
ESTADO DE POSTVENTAS:  ",GENERAL!M46))</f>
        <v>OK
ESTADO DE POSTVENTAS:  POSTVENTA CORREGIDA</v>
      </c>
      <c r="M45" s="70" t="str">
        <f>+IF(GENERAL!N46=GENERAL!$AI$2,GENERAL!$AI$2,CONCATENATE(OBSERVACIONES!M45,"
ESTADO DE POSTVENTAS:  ",GENERAL!N46))</f>
        <v>OK
ESTADO DE POSTVENTAS:  POSTVENTA CORREGIDA</v>
      </c>
      <c r="N45" s="51" t="str">
        <f>+IF(GENERAL!O46=GENERAL!$AI$2,GENERAL!$AI$2,CONCATENATE(OBSERVACIONES!N45,"
ESTADO DE POSTVENTAS:  ",GENERAL!O46))</f>
        <v>OK
ESTADO DE POSTVENTAS:  POSTVENTA CORREGIDA</v>
      </c>
      <c r="O45" s="51" t="str">
        <f>+IF(GENERAL!P46=GENERAL!$AI$2,GENERAL!$AI$2,CONCATENATE(OBSERVACIONES!O45,"
ESTADO DE POSTVENTAS:  ",GENERAL!P46))</f>
        <v>OK
ESTADO DE POSTVENTAS:  POSTVENTA CORREGIDA</v>
      </c>
      <c r="P45" s="70" t="str">
        <f>+IF(GENERAL!Q46=GENERAL!$AI$2,GENERAL!$AI$2,CONCATENATE(OBSERVACIONES!P45,"
ESTADO DE POSTVENTAS:  ",GENERAL!Q46))</f>
        <v>OK
ESTADO DE POSTVENTAS:  POSTVENTA CORREGIDA</v>
      </c>
      <c r="Q45" s="70" t="str">
        <f>+IF(GENERAL!R46=GENERAL!$AI$2,GENERAL!$AI$2,CONCATENATE(OBSERVACIONES!Q45,"
ESTADO DE POSTVENTAS:  ",GENERAL!R46))</f>
        <v>OK
ESTADO DE POSTVENTAS:  POSTVENTA CORREGIDA</v>
      </c>
      <c r="R45" s="51" t="str">
        <f>+IF(GENERAL!S46=GENERAL!$AI$2,GENERAL!$AI$2,CONCATENATE(OBSERVACIONES!R45,"
ESTADO DE POSTVENTAS:  ",GENERAL!S46))</f>
        <v>OK
ESTADO DE POSTVENTAS:  POSTVENTA CORREGIDA</v>
      </c>
      <c r="S45" s="51" t="str">
        <f>+IF(GENERAL!T46=GENERAL!$AI$2,GENERAL!$AI$2,CONCATENATE(OBSERVACIONES!S45,"
ESTADO DE POSTVENTAS:  ",GENERAL!T46))</f>
        <v>OK
ESTADO DE POSTVENTAS:  POSTVENTA CORREGIDA</v>
      </c>
      <c r="T45" s="51" t="str">
        <f>+IF(GENERAL!U46=GENERAL!$AI$2,GENERAL!$AI$2,CONCATENATE(OBSERVACIONES!T45,"
ESTADO DE POSTVENTAS:  ",GENERAL!U46))</f>
        <v>OK
ESTADO DE POSTVENTAS:  POSTVENTA CORREGIDA</v>
      </c>
      <c r="U45" s="51" t="str">
        <f>+IF(GENERAL!V46=GENERAL!$AI$2,GENERAL!$AI$2,CONCATENATE(OBSERVACIONES!U45,"
ESTADO DE POSTVENTAS:  ",GENERAL!V46))</f>
        <v>OK
ESTADO DE POSTVENTAS:  POSTVENTA CORREGIDA</v>
      </c>
      <c r="V45" s="51" t="str">
        <f>+IF(GENERAL!W46=GENERAL!$AI$2,GENERAL!$AI$2,CONCATENATE(OBSERVACIONES!V45,"
ESTADO DE POSTVENTAS:  ",GENERAL!W46))</f>
        <v>OK
ESTADO DE POSTVENTAS:  POSTVENTA CORREGIDA</v>
      </c>
      <c r="W45" s="51" t="str">
        <f>+IF(GENERAL!V46=GENERAL!$AI$2,GENERAL!$AI$2,CONCATENATE(OBSERVACIONES!W45,"
ESTADO DE POSTVENTAS:  ",GENERAL!V46))</f>
        <v>OK
ESTADO DE POSTVENTAS:  POSTVENTA CORREGIDA</v>
      </c>
      <c r="X45" s="51" t="str">
        <f>+IF(GENERAL!W46=GENERAL!$AI$2,GENERAL!$AI$2,CONCATENATE(OBSERVACIONES!X45,"
ESTADO DE POSTVENTAS:  ",GENERAL!W46))</f>
        <v>OK
ESTADO DE POSTVENTAS:  POSTVENTA CORREGIDA</v>
      </c>
      <c r="Y45" s="51" t="str">
        <f>+IF(GENERAL!Z46=GENERAL!$AI$2,GENERAL!$AI$2,CONCATENATE(OBSERVACIONES!Y45,"
ESTADO DE POSTVENTAS:  ",GENERAL!Z46))</f>
        <v>OK
ESTADO DE POSTVENTAS:  POSTVENTA CORREGIDA</v>
      </c>
      <c r="Z45" s="51" t="str">
        <f>+IF(GENERAL!AA46=GENERAL!$AI$2,GENERAL!$AI$2,CONCATENATE(OBSERVACIONES!Z45,"
ESTADO DE POSTVENTAS:  ",GENERAL!AA46))</f>
        <v>OK
ESTADO DE POSTVENTAS:  POSTVENTA CORREGIDA</v>
      </c>
      <c r="AA45" s="70" t="str">
        <f>+IF(GENERAL!AB46=GENERAL!$AI$2,GENERAL!$AI$2,CONCATENATE(OBSERVACIONES!AA45,"
ESTADO DE POSTVENTAS:  ",GENERAL!AB46))</f>
        <v>DETALLE BALDOSAS
ESTADO DE POSTVENTAS:  TIENE POSTVENTA</v>
      </c>
      <c r="AB45" s="51" t="str">
        <f>+IF(GENERAL!AC46=GENERAL!$AI$2,GENERAL!$AI$2,CONCATENATE(OBSERVACIONES!AB45,"
ESTADO DE POSTVENTAS:  ",GENERAL!AC46))</f>
        <v>OK
ESTADO DE POSTVENTAS:  POSTVENTA CORREGIDA</v>
      </c>
      <c r="AC45" s="51" t="str">
        <f>+IF(GENERAL!AD46=GENERAL!$AI$2,GENERAL!$AI$2,CONCATENATE(OBSERVACIONES!AC45,"
ESTADO DE POSTVENTAS:  ",GENERAL!AD46))</f>
        <v>OK
ESTADO DE POSTVENTAS:  POSTVENTA CORREGIDA</v>
      </c>
      <c r="AD45" s="51" t="str">
        <f>+IF(GENERAL!AE46=GENERAL!$AI$2,GENERAL!$AI$2,CONCATENATE(OBSERVACIONES!AD45,"
ESTADO DE POSTVENTAS:  ",GENERAL!AE46))</f>
        <v>OK
ESTADO DE POSTVENTAS:  POSTVENTA CORREGIDA</v>
      </c>
      <c r="AE45" s="51" t="str">
        <f>+IF(GENERAL!AF46=GENERAL!$AI$2,GENERAL!$AI$2,CONCATENATE(OBSERVACIONES!AE45,"
ESTADO DE POSTVENTAS:  ",GENERAL!AF46))</f>
        <v>OK
ESTADO DE POSTVENTAS:  POSTVENTA CORREGIDA</v>
      </c>
      <c r="AF45" s="51" t="str">
        <f>+IF(GENERAL!AG46=GENERAL!$AI$2,GENERAL!$AI$2,CONCATENATE(OBSERVACIONES!AF45,"
ESTADO DE POSTVENTAS:  ",GENERAL!AG46))</f>
        <v>OK
ESTADO DE POSTVENTAS:  POSTVENTA CORREGIDA</v>
      </c>
      <c r="AG45" s="51" t="str">
        <f>+IF(GENERAL!AH46=GENERAL!$AI$2,GENERAL!$AI$2,CONCATENATE(OBSERVACIONES!AG45,"
ESTADO DE POSTVENTAS:  ",GENERAL!AH46))</f>
        <v>DETALLE BOQUILLA
ESTADO DE POSTVENTAS:  TIENE POSTVENTA</v>
      </c>
      <c r="AH45" s="51" t="str">
        <f>+IF(GENERAL!AI46=GENERAL!$AI$2,GENERAL!$AI$2,CONCATENATE(OBSERVACIONES!AH45,"
ESTADO DE POSTVENTAS:  ",GENERAL!AI46))</f>
        <v>OK
ESTADO DE POSTVENTAS:  POSTVENTA CORREGIDA</v>
      </c>
      <c r="AI45" s="51" t="str">
        <f>+IF(GENERAL!AG46=GENERAL!$AI$2,GENERAL!$AI$2,CONCATENATE(OBSERVACIONES!AF45,"
ESTADO DE POSTVENTAS:  ",GENERAL!AG46))</f>
        <v>OK
ESTADO DE POSTVENTAS:  POSTVENTA CORREGIDA</v>
      </c>
      <c r="AJ45" s="51" t="str">
        <f>+IF(GENERAL!AI46=GENERAL!$AI$2,GENERAL!$AI$2,CONCATENATE(OBSERVACIONES!AH45,"
ESTADO DE POSTVENTAS:  ",GENERAL!AI46))</f>
        <v>OK
ESTADO DE POSTVENTAS:  POSTVENTA CORREGIDA</v>
      </c>
      <c r="AK45" s="51" t="str">
        <f>+IF(GENERAL!AJ46=GENERAL!$AI$2,GENERAL!$AI$2,CONCATENATE(OBSERVACIONES!AI45,"
ESTADO DE POSTVENTAS:  ",GENERAL!AJ46))</f>
        <v>OK
ESTADO DE POSTVENTAS:  POSTVENTA CORREGIDA</v>
      </c>
      <c r="AL45" s="51" t="str">
        <f>+IF(GENERAL!AK46=GENERAL!$AI$2,GENERAL!$AI$2,CONCATENATE(OBSERVACIONES!AJ45,"
ESTADO DE POSTVENTAS:  ",GENERAL!AK46))</f>
        <v>OK
ESTADO DE POSTVENTAS:  POSTVENTA CORREGIDA</v>
      </c>
      <c r="AM45" s="51" t="str">
        <f>+IF(GENERAL!AN46=GENERAL!$AI$2,GENERAL!$AI$2,CONCATENATE(OBSERVACIONES!AM45,"
ESTADO DE POSTVENTAS:  ",GENERAL!AN46))</f>
        <v>OK
ESTADO DE POSTVENTAS:  POSTVENTA CORREGIDA</v>
      </c>
      <c r="AN45" s="37">
        <v>1</v>
      </c>
      <c r="AO45" s="37">
        <v>10</v>
      </c>
      <c r="AP45" s="37">
        <v>3</v>
      </c>
      <c r="AQ45" s="37">
        <v>0</v>
      </c>
      <c r="AR45" s="43">
        <v>14</v>
      </c>
      <c r="AS45" s="40">
        <v>12</v>
      </c>
      <c r="AT45" s="37">
        <f>COUNTIFS($D$5:$AM$5,"&lt;&gt;"&amp;CODICIONALES!$A$1,$D$5:$AM$5,"&lt;&gt;"&amp;CODICIONALES!$A$2,$D$5:$AM$5,"&lt;&gt;"&amp;CODICIONALES!$B$2,$D$5:$AM$5,"&lt;&gt;"&amp;CODICIONALES!$C$2)</f>
        <v>6</v>
      </c>
      <c r="AU45" s="43">
        <f>COUNTIFS(D45:AM45,CODICIONALES!$A$2)</f>
        <v>31</v>
      </c>
      <c r="AV45" s="40">
        <f t="shared" si="0"/>
        <v>-1</v>
      </c>
    </row>
    <row r="46" spans="1:48" ht="51" customHeight="1" x14ac:dyDescent="0.25">
      <c r="A46" s="110"/>
      <c r="B46" s="2">
        <v>42</v>
      </c>
      <c r="C46" s="21" t="s">
        <v>61</v>
      </c>
      <c r="D46" s="51" t="str">
        <f>+IF(GENERAL!E47=GENERAL!$AI$2,GENERAL!$AI$2,CONCATENATE(OBSERVACIONES!D46,"
ESTADO DE POSTVENTAS:  ",GENERAL!E47))</f>
        <v>NO ENTREGADO
ESTADO DE POSTVENTAS:  TIENE POSTVENTA</v>
      </c>
      <c r="E46" s="51" t="str">
        <f>+IF(GENERAL!F47=GENERAL!$AI$2,GENERAL!$AI$2,CONCATENATE(OBSERVACIONES!E46,"
ESTADO DE POSTVENTAS:  ",GENERAL!F47))</f>
        <v>OK
ESTADO DE POSTVENTAS:  POSTVENTA CORREGIDA</v>
      </c>
      <c r="F46" s="51" t="str">
        <f>+IF(GENERAL!G47=GENERAL!$AI$2,GENERAL!$AI$2,CONCATENATE(OBSERVACIONES!F46,"
ESTADO DE POSTVENTAS:  ",GENERAL!G47))</f>
        <v>OK
ESTADO DE POSTVENTAS:  POSTVENTA CORREGIDA</v>
      </c>
      <c r="G46" s="51" t="str">
        <f>+IF(GENERAL!H47=GENERAL!$AI$2,GENERAL!$AI$2,CONCATENATE(OBSERVACIONES!G46,"
ESTADO DE POSTVENTAS:  ",GENERAL!H47))</f>
        <v>NO ENTREGADO
ESTADO DE POSTVENTAS:  TIENE POSTVENTA</v>
      </c>
      <c r="H46" s="51" t="str">
        <f>+IF(GENERAL!I47=GENERAL!$AI$2,GENERAL!$AI$2,CONCATENATE(OBSERVACIONES!H46,"
ESTADO DE POSTVENTAS:  ",GENERAL!I47))</f>
        <v>OK
ESTADO DE POSTVENTAS:  POSTVENTA CORREGIDA</v>
      </c>
      <c r="I46" s="51" t="str">
        <f>+IF(GENERAL!J47=GENERAL!$AI$2,GENERAL!$AI$2,CONCATENATE(OBSERVACIONES!I46,"
ESTADO DE POSTVENTAS:  ",GENERAL!J47))</f>
        <v>OK
ESTADO DE POSTVENTAS:  POSTVENTA CORREGIDA</v>
      </c>
      <c r="J46" s="51" t="str">
        <f>+IF(GENERAL!K47=GENERAL!$AI$2,GENERAL!$AI$2,CONCATENATE(OBSERVACIONES!J46,"
ESTADO DE POSTVENTAS:  ",GENERAL!K47))</f>
        <v>OK
ESTADO DE POSTVENTAS:  POSTVENTA CORREGIDA</v>
      </c>
      <c r="K46" s="51" t="str">
        <f>+IF(GENERAL!L47=GENERAL!$AI$2,GENERAL!$AI$2,CONCATENATE(OBSERVACIONES!K46,"
ESTADO DE POSTVENTAS:  ",GENERAL!L47))</f>
        <v>OK
ESTADO DE POSTVENTAS:  POSTVENTA CORREGIDA</v>
      </c>
      <c r="L46" s="51" t="str">
        <f>+IF(GENERAL!M47=GENERAL!$AI$2,GENERAL!$AI$2,CONCATENATE(OBSERVACIONES!L46,"
ESTADO DE POSTVENTAS:  ",GENERAL!M47))</f>
        <v>OK
ESTADO DE POSTVENTAS:  POSTVENTA CORREGIDA</v>
      </c>
      <c r="M46" s="70" t="str">
        <f>+IF(GENERAL!N47=GENERAL!$AI$2,GENERAL!$AI$2,CONCATENATE(OBSERVACIONES!M46,"
ESTADO DE POSTVENTAS:  ",GENERAL!N47))</f>
        <v>OK
ESTADO DE POSTVENTAS:  POSTVENTA CORREGIDA</v>
      </c>
      <c r="N46" s="51" t="str">
        <f>+IF(GENERAL!O47=GENERAL!$AI$2,GENERAL!$AI$2,CONCATENATE(OBSERVACIONES!N46,"
ESTADO DE POSTVENTAS:  ",GENERAL!O47))</f>
        <v>OK
ESTADO DE POSTVENTAS:  POSTVENTA CORREGIDA</v>
      </c>
      <c r="O46" s="51" t="str">
        <f>+IF(GENERAL!P47=GENERAL!$AI$2,GENERAL!$AI$2,CONCATENATE(OBSERVACIONES!O46,"
ESTADO DE POSTVENTAS:  ",GENERAL!P47))</f>
        <v>OK
ESTADO DE POSTVENTAS:  POSTVENTA CORREGIDA</v>
      </c>
      <c r="P46" s="70" t="str">
        <f>+IF(GENERAL!Q47=GENERAL!$AI$2,GENERAL!$AI$2,CONCATENATE(OBSERVACIONES!P46,"
ESTADO DE POSTVENTAS:  ",GENERAL!Q47))</f>
        <v>OK
ESTADO DE POSTVENTAS:  POSTVENTA CORREGIDA</v>
      </c>
      <c r="Q46" s="70" t="str">
        <f>+IF(GENERAL!R47=GENERAL!$AI$2,GENERAL!$AI$2,CONCATENATE(OBSERVACIONES!Q46,"
ESTADO DE POSTVENTAS:  ",GENERAL!R47))</f>
        <v>OK
ESTADO DE POSTVENTAS:  POSTVENTA CORREGIDA</v>
      </c>
      <c r="R46" s="51" t="str">
        <f>+IF(GENERAL!S47=GENERAL!$AI$2,GENERAL!$AI$2,CONCATENATE(OBSERVACIONES!R46,"
ESTADO DE POSTVENTAS:  ",GENERAL!S47))</f>
        <v>OK
ESTADO DE POSTVENTAS:  POSTVENTA CORREGIDA</v>
      </c>
      <c r="S46" s="51" t="str">
        <f>+IF(GENERAL!T47=GENERAL!$AI$2,GENERAL!$AI$2,CONCATENATE(OBSERVACIONES!S46,"
ESTADO DE POSTVENTAS:  ",GENERAL!T47))</f>
        <v>OK
ESTADO DE POSTVENTAS:  POSTVENTA CORREGIDA</v>
      </c>
      <c r="T46" s="51" t="str">
        <f>+IF(GENERAL!U47=GENERAL!$AI$2,GENERAL!$AI$2,CONCATENATE(OBSERVACIONES!T46,"
ESTADO DE POSTVENTAS:  ",GENERAL!U47))</f>
        <v>OK
ESTADO DE POSTVENTAS:  POSTVENTA CORREGIDA</v>
      </c>
      <c r="U46" s="51" t="str">
        <f>+IF(GENERAL!V47=GENERAL!$AI$2,GENERAL!$AI$2,CONCATENATE(OBSERVACIONES!U46,"
ESTADO DE POSTVENTAS:  ",GENERAL!V47))</f>
        <v>OK
ESTADO DE POSTVENTAS:  POSTVENTA CORREGIDA</v>
      </c>
      <c r="V46" s="51" t="str">
        <f>+IF(GENERAL!W47=GENERAL!$AI$2,GENERAL!$AI$2,CONCATENATE(OBSERVACIONES!V46,"
ESTADO DE POSTVENTAS:  ",GENERAL!W47))</f>
        <v>OK
ESTADO DE POSTVENTAS:  POSTVENTA CORREGIDA</v>
      </c>
      <c r="W46" s="51" t="str">
        <f>+IF(GENERAL!V47=GENERAL!$AI$2,GENERAL!$AI$2,CONCATENATE(OBSERVACIONES!W46,"
ESTADO DE POSTVENTAS:  ",GENERAL!V47))</f>
        <v>OK
ESTADO DE POSTVENTAS:  POSTVENTA CORREGIDA</v>
      </c>
      <c r="X46" s="51" t="str">
        <f>+IF(GENERAL!W47=GENERAL!$AI$2,GENERAL!$AI$2,CONCATENATE(OBSERVACIONES!X46,"
ESTADO DE POSTVENTAS:  ",GENERAL!W47))</f>
        <v>OK
ESTADO DE POSTVENTAS:  POSTVENTA CORREGIDA</v>
      </c>
      <c r="Y46" s="51" t="str">
        <f>+IF(GENERAL!Z47=GENERAL!$AI$2,GENERAL!$AI$2,CONCATENATE(OBSERVACIONES!Y46,"
ESTADO DE POSTVENTAS:  ",GENERAL!Z47))</f>
        <v>OK
ESTADO DE POSTVENTAS:  POSTVENTA CORREGIDA</v>
      </c>
      <c r="Z46" s="51" t="str">
        <f>+IF(GENERAL!AA47=GENERAL!$AI$2,GENERAL!$AI$2,CONCATENATE(OBSERVACIONES!Z46,"
ESTADO DE POSTVENTAS:  ",GENERAL!AA47))</f>
        <v>OK
ESTADO DE POSTVENTAS:  POSTVENTA CORREGIDA</v>
      </c>
      <c r="AA46" s="51" t="str">
        <f>+IF(GENERAL!AB47=GENERAL!$AI$2,GENERAL!$AI$2,CONCATENATE(OBSERVACIONES!AA46,"
ESTADO DE POSTVENTAS:  ",GENERAL!AB47))</f>
        <v>OK
ESTADO DE POSTVENTAS:  POSTVENTA CORREGIDA</v>
      </c>
      <c r="AB46" s="51" t="str">
        <f>+IF(GENERAL!AC47=GENERAL!$AI$2,GENERAL!$AI$2,CONCATENATE(OBSERVACIONES!AB46,"
ESTADO DE POSTVENTAS:  ",GENERAL!AC47))</f>
        <v>OK
ESTADO DE POSTVENTAS:  POSTVENTA CORREGIDA</v>
      </c>
      <c r="AC46" s="51" t="str">
        <f>+IF(GENERAL!AD47=GENERAL!$AI$2,GENERAL!$AI$2,CONCATENATE(OBSERVACIONES!AC46,"
ESTADO DE POSTVENTAS:  ",GENERAL!AD47))</f>
        <v>OK
ESTADO DE POSTVENTAS:  POSTVENTA CORREGIDA</v>
      </c>
      <c r="AD46" s="51" t="str">
        <f>+IF(GENERAL!AE47=GENERAL!$AI$2,GENERAL!$AI$2,CONCATENATE(OBSERVACIONES!AD46,"
ESTADO DE POSTVENTAS:  ",GENERAL!AE47))</f>
        <v>OK
ESTADO DE POSTVENTAS:  POSTVENTA CORREGIDA</v>
      </c>
      <c r="AE46" s="51" t="str">
        <f>+IF(GENERAL!AF47=GENERAL!$AI$2,GENERAL!$AI$2,CONCATENATE(OBSERVACIONES!AE46,"
ESTADO DE POSTVENTAS:  ",GENERAL!AF47))</f>
        <v>OK
ESTADO DE POSTVENTAS:  POSTVENTA CORREGIDA</v>
      </c>
      <c r="AF46" s="51" t="str">
        <f>+IF(GENERAL!AG47=GENERAL!$AI$2,GENERAL!$AI$2,CONCATENATE(OBSERVACIONES!AF46,"
ESTADO DE POSTVENTAS:  ",GENERAL!AG47))</f>
        <v>OK
ESTADO DE POSTVENTAS:  POSTVENTA CORREGIDA</v>
      </c>
      <c r="AG46" s="51" t="str">
        <f>+IF(GENERAL!AH47=GENERAL!$AI$2,GENERAL!$AI$2,CONCATENATE(OBSERVACIONES!AG46,"
ESTADO DE POSTVENTAS:  ",GENERAL!AH47))</f>
        <v>OK
ESTADO DE POSTVENTAS:  POSTVENTA CORREGIDA</v>
      </c>
      <c r="AH46" s="51" t="str">
        <f>+IF(GENERAL!AI47=GENERAL!$AI$2,GENERAL!$AI$2,CONCATENATE(OBSERVACIONES!AH46,"
ESTADO DE POSTVENTAS:  ",GENERAL!AI47))</f>
        <v>OK
ESTADO DE POSTVENTAS:  POSTVENTA CORREGIDA</v>
      </c>
      <c r="AI46" s="51" t="str">
        <f>+IF(GENERAL!AG47=GENERAL!$AI$2,GENERAL!$AI$2,CONCATENATE(OBSERVACIONES!AF46,"
ESTADO DE POSTVENTAS:  ",GENERAL!AG47))</f>
        <v>OK
ESTADO DE POSTVENTAS:  POSTVENTA CORREGIDA</v>
      </c>
      <c r="AJ46" s="51" t="str">
        <f>+IF(GENERAL!AI47=GENERAL!$AI$2,GENERAL!$AI$2,CONCATENATE(OBSERVACIONES!AH46,"
ESTADO DE POSTVENTAS:  ",GENERAL!AI47))</f>
        <v>OK
ESTADO DE POSTVENTAS:  POSTVENTA CORREGIDA</v>
      </c>
      <c r="AK46" s="51" t="str">
        <f>+IF(GENERAL!AJ47=GENERAL!$AI$2,GENERAL!$AI$2,CONCATENATE(OBSERVACIONES!AI46,"
ESTADO DE POSTVENTAS:  ",GENERAL!AJ47))</f>
        <v>OK
ESTADO DE POSTVENTAS:  POSTVENTA CORREGIDA</v>
      </c>
      <c r="AL46" s="51" t="str">
        <f>+IF(GENERAL!AK47=GENERAL!$AI$2,GENERAL!$AI$2,CONCATENATE(OBSERVACIONES!AJ46,"
ESTADO DE POSTVENTAS:  ",GENERAL!AK47))</f>
        <v>OK
ESTADO DE POSTVENTAS:  POSTVENTA CORREGIDA</v>
      </c>
      <c r="AM46" s="51" t="str">
        <f>+IF(GENERAL!AN47=GENERAL!$AI$2,GENERAL!$AI$2,CONCATENATE(OBSERVACIONES!AM46,"
ESTADO DE POSTVENTAS:  ",GENERAL!AN47))</f>
        <v>OK
ESTADO DE POSTVENTAS:  POSTVENTA CORREGIDA</v>
      </c>
      <c r="AN46" s="37">
        <v>2</v>
      </c>
      <c r="AO46" s="37">
        <v>9</v>
      </c>
      <c r="AP46" s="37">
        <v>3</v>
      </c>
      <c r="AQ46" s="37">
        <v>0</v>
      </c>
      <c r="AR46" s="43">
        <v>14</v>
      </c>
      <c r="AS46" s="40">
        <v>12</v>
      </c>
      <c r="AT46" s="37">
        <f>COUNTIFS($D$5:$AM$5,"&lt;&gt;"&amp;CODICIONALES!$A$1,$D$5:$AM$5,"&lt;&gt;"&amp;CODICIONALES!$A$2,$D$5:$AM$5,"&lt;&gt;"&amp;CODICIONALES!$B$2,$D$5:$AM$5,"&lt;&gt;"&amp;CODICIONALES!$C$2)</f>
        <v>6</v>
      </c>
      <c r="AU46" s="43">
        <f>COUNTIFS(D46:AM46,CODICIONALES!$A$2)</f>
        <v>34</v>
      </c>
      <c r="AV46" s="40">
        <f t="shared" si="0"/>
        <v>-4</v>
      </c>
    </row>
    <row r="47" spans="1:48" ht="51" customHeight="1" x14ac:dyDescent="0.25">
      <c r="A47" s="110"/>
      <c r="B47" s="2">
        <v>43</v>
      </c>
      <c r="C47" s="21" t="s">
        <v>62</v>
      </c>
      <c r="D47" s="51" t="str">
        <f>+IF(GENERAL!E48=GENERAL!$AI$2,GENERAL!$AI$2,CONCATENATE(OBSERVACIONES!D47,"
ESTADO DE POSTVENTAS:  ",GENERAL!E48))</f>
        <v>NO ENTREGADO
ESTADO DE POSTVENTAS:  TIENE POSTVENTA</v>
      </c>
      <c r="E47" s="51" t="str">
        <f>+IF(GENERAL!F48=GENERAL!$AI$2,GENERAL!$AI$2,CONCATENATE(OBSERVACIONES!E47,"
ESTADO DE POSTVENTAS:  ",GENERAL!F48))</f>
        <v>OK
ESTADO DE POSTVENTAS:  POSTVENTA CORREGIDA</v>
      </c>
      <c r="F47" s="51" t="str">
        <f>+IF(GENERAL!G48=GENERAL!$AI$2,GENERAL!$AI$2,CONCATENATE(OBSERVACIONES!F47,"
ESTADO DE POSTVENTAS:  ",GENERAL!G48))</f>
        <v>OK
ESTADO DE POSTVENTAS:  POSTVENTA CORREGIDA</v>
      </c>
      <c r="G47" s="51" t="str">
        <f>+IF(GENERAL!H48=GENERAL!$AI$2,GENERAL!$AI$2,CONCATENATE(OBSERVACIONES!G47,"
ESTADO DE POSTVENTAS:  ",GENERAL!H48))</f>
        <v>NO ENTREGADO
ESTADO DE POSTVENTAS:  TIENE POSTVENTA</v>
      </c>
      <c r="H47" s="51" t="str">
        <f>+IF(GENERAL!I48=GENERAL!$AI$2,GENERAL!$AI$2,CONCATENATE(OBSERVACIONES!H47,"
ESTADO DE POSTVENTAS:  ",GENERAL!I48))</f>
        <v>OK
ESTADO DE POSTVENTAS:  POSTVENTA CORREGIDA</v>
      </c>
      <c r="I47" s="51" t="str">
        <f>+IF(GENERAL!J48=GENERAL!$AI$2,GENERAL!$AI$2,CONCATENATE(OBSERVACIONES!I47,"
ESTADO DE POSTVENTAS:  ",GENERAL!J48))</f>
        <v>OK
ESTADO DE POSTVENTAS:  POSTVENTA CORREGIDA</v>
      </c>
      <c r="J47" s="51" t="str">
        <f>+IF(GENERAL!K48=GENERAL!$AI$2,GENERAL!$AI$2,CONCATENATE(OBSERVACIONES!J47,"
ESTADO DE POSTVENTAS:  ",GENERAL!K48))</f>
        <v>OK
ESTADO DE POSTVENTAS:  POSTVENTA CORREGIDA</v>
      </c>
      <c r="K47" s="51" t="str">
        <f>+IF(GENERAL!L48=GENERAL!$AI$2,GENERAL!$AI$2,CONCATENATE(OBSERVACIONES!K47,"
ESTADO DE POSTVENTAS:  ",GENERAL!L48))</f>
        <v>OK
ESTADO DE POSTVENTAS:  POSTVENTA CORREGIDA</v>
      </c>
      <c r="L47" s="51" t="str">
        <f>+IF(GENERAL!M48=GENERAL!$AI$2,GENERAL!$AI$2,CONCATENATE(OBSERVACIONES!L47,"
ESTADO DE POSTVENTAS:  ",GENERAL!M48))</f>
        <v>OK
ESTADO DE POSTVENTAS:  POSTVENTA CORREGIDA</v>
      </c>
      <c r="M47" s="70" t="str">
        <f>+IF(GENERAL!N48=GENERAL!$AI$2,GENERAL!$AI$2,CONCATENATE(OBSERVACIONES!M47,"
ESTADO DE POSTVENTAS:  ",GENERAL!N48))</f>
        <v>OK
ESTADO DE POSTVENTAS:  POSTVENTA CORREGIDA</v>
      </c>
      <c r="N47" s="51" t="str">
        <f>+IF(GENERAL!O48=GENERAL!$AI$2,GENERAL!$AI$2,CONCATENATE(OBSERVACIONES!N47,"
ESTADO DE POSTVENTAS:  ",GENERAL!O48))</f>
        <v>OK
ESTADO DE POSTVENTAS:  POSTVENTA CORREGIDA</v>
      </c>
      <c r="O47" s="51" t="str">
        <f>+IF(GENERAL!P48=GENERAL!$AI$2,GENERAL!$AI$2,CONCATENATE(OBSERVACIONES!O47,"
ESTADO DE POSTVENTAS:  ",GENERAL!P48))</f>
        <v>OK
ESTADO DE POSTVENTAS:  POSTVENTA CORREGIDA</v>
      </c>
      <c r="P47" s="70" t="str">
        <f>+IF(GENERAL!Q48=GENERAL!$AI$2,GENERAL!$AI$2,CONCATENATE(OBSERVACIONES!P47,"
ESTADO DE POSTVENTAS:  ",GENERAL!Q48))</f>
        <v>OK
ESTADO DE POSTVENTAS:  POSTVENTA CORREGIDA</v>
      </c>
      <c r="Q47" s="70" t="str">
        <f>+IF(GENERAL!R48=GENERAL!$AI$2,GENERAL!$AI$2,CONCATENATE(OBSERVACIONES!Q47,"
ESTADO DE POSTVENTAS:  ",GENERAL!R48))</f>
        <v>OK
ESTADO DE POSTVENTAS:  POSTVENTA CORREGIDA</v>
      </c>
      <c r="R47" s="51" t="str">
        <f>+IF(GENERAL!S48=GENERAL!$AI$2,GENERAL!$AI$2,CONCATENATE(OBSERVACIONES!R47,"
ESTADO DE POSTVENTAS:  ",GENERAL!S48))</f>
        <v>OK
ESTADO DE POSTVENTAS:  POSTVENTA CORREGIDA</v>
      </c>
      <c r="S47" s="51" t="str">
        <f>+IF(GENERAL!T48=GENERAL!$AI$2,GENERAL!$AI$2,CONCATENATE(OBSERVACIONES!S47,"
ESTADO DE POSTVENTAS:  ",GENERAL!T48))</f>
        <v>OK
ESTADO DE POSTVENTAS:  POSTVENTA CORREGIDA</v>
      </c>
      <c r="T47" s="51" t="str">
        <f>+IF(GENERAL!U48=GENERAL!$AI$2,GENERAL!$AI$2,CONCATENATE(OBSERVACIONES!T47,"
ESTADO DE POSTVENTAS:  ",GENERAL!U48))</f>
        <v>OK
ESTADO DE POSTVENTAS:  POSTVENTA CORREGIDA</v>
      </c>
      <c r="U47" s="51" t="str">
        <f>+IF(GENERAL!V48=GENERAL!$AI$2,GENERAL!$AI$2,CONCATENATE(OBSERVACIONES!U47,"
ESTADO DE POSTVENTAS:  ",GENERAL!V48))</f>
        <v>OK
ESTADO DE POSTVENTAS:  POSTVENTA CORREGIDA</v>
      </c>
      <c r="V47" s="70" t="str">
        <f>+IF(GENERAL!W48=GENERAL!$AI$2,GENERAL!$AI$2,CONCATENATE(OBSERVACIONES!V47,"
ESTADO DE POSTVENTAS:  ",GENERAL!W48))</f>
        <v>DETALLE FILTRACION
ESTADO DE POSTVENTAS:  TIENE POSTVENTA</v>
      </c>
      <c r="W47" s="51" t="str">
        <f>+IF(GENERAL!V48=GENERAL!$AI$2,GENERAL!$AI$2,CONCATENATE(OBSERVACIONES!W47,"
ESTADO DE POSTVENTAS:  ",GENERAL!V48))</f>
        <v>OK
ESTADO DE POSTVENTAS:  POSTVENTA CORREGIDA</v>
      </c>
      <c r="X47" s="51" t="str">
        <f>+IF(GENERAL!W48=GENERAL!$AI$2,GENERAL!$AI$2,CONCATENATE(OBSERVACIONES!X47,"
ESTADO DE POSTVENTAS:  ",GENERAL!W48))</f>
        <v>OK
ESTADO DE POSTVENTAS:  TIENE POSTVENTA</v>
      </c>
      <c r="Y47" s="51" t="str">
        <f>+IF(GENERAL!Z48=GENERAL!$AI$2,GENERAL!$AI$2,CONCATENATE(OBSERVACIONES!Y47,"
ESTADO DE POSTVENTAS:  ",GENERAL!Z48))</f>
        <v>OK
ESTADO DE POSTVENTAS:  POSTVENTA CORREGIDA</v>
      </c>
      <c r="Z47" s="51" t="str">
        <f>+IF(GENERAL!AA48=GENERAL!$AI$2,GENERAL!$AI$2,CONCATENATE(OBSERVACIONES!Z47,"
ESTADO DE POSTVENTAS:  ",GENERAL!AA48))</f>
        <v>OK
ESTADO DE POSTVENTAS:  POSTVENTA CORREGIDA</v>
      </c>
      <c r="AA47" s="51" t="str">
        <f>+IF(GENERAL!AB48=GENERAL!$AI$2,GENERAL!$AI$2,CONCATENATE(OBSERVACIONES!AA47,"
ESTADO DE POSTVENTAS:  ",GENERAL!AB48))</f>
        <v>OK
ESTADO DE POSTVENTAS:  POSTVENTA CORREGIDA</v>
      </c>
      <c r="AB47" s="51" t="str">
        <f>+IF(GENERAL!AC48=GENERAL!$AI$2,GENERAL!$AI$2,CONCATENATE(OBSERVACIONES!AB47,"
ESTADO DE POSTVENTAS:  ",GENERAL!AC48))</f>
        <v>OK
ESTADO DE POSTVENTAS:  POSTVENTA CORREGIDA</v>
      </c>
      <c r="AC47" s="51" t="str">
        <f>+IF(GENERAL!AD48=GENERAL!$AI$2,GENERAL!$AI$2,CONCATENATE(OBSERVACIONES!AC47,"
ESTADO DE POSTVENTAS:  ",GENERAL!AD48))</f>
        <v>OK
ESTADO DE POSTVENTAS:  POSTVENTA CORREGIDA</v>
      </c>
      <c r="AD47" s="51" t="str">
        <f>+IF(GENERAL!AE48=GENERAL!$AI$2,GENERAL!$AI$2,CONCATENATE(OBSERVACIONES!AD47,"
ESTADO DE POSTVENTAS:  ",GENERAL!AE48))</f>
        <v>OK
ESTADO DE POSTVENTAS:  POSTVENTA CORREGIDA</v>
      </c>
      <c r="AE47" s="51" t="str">
        <f>+IF(GENERAL!AF48=GENERAL!$AI$2,GENERAL!$AI$2,CONCATENATE(OBSERVACIONES!AE47,"
ESTADO DE POSTVENTAS:  ",GENERAL!AF48))</f>
        <v>OK
ESTADO DE POSTVENTAS:  POSTVENTA CORREGIDA</v>
      </c>
      <c r="AF47" s="51" t="str">
        <f>+IF(GENERAL!AG48=GENERAL!$AI$2,GENERAL!$AI$2,CONCATENATE(OBSERVACIONES!AF47,"
ESTADO DE POSTVENTAS:  ",GENERAL!AG48))</f>
        <v>OK
ESTADO DE POSTVENTAS:  POSTVENTA CORREGIDA</v>
      </c>
      <c r="AG47" s="51" t="str">
        <f>+IF(GENERAL!AH48=GENERAL!$AI$2,GENERAL!$AI$2,CONCATENATE(OBSERVACIONES!AG47,"
ESTADO DE POSTVENTAS:  ",GENERAL!AH48))</f>
        <v>OK
ESTADO DE POSTVENTAS:  POSTVENTA CORREGIDA</v>
      </c>
      <c r="AH47" s="51" t="str">
        <f>+IF(GENERAL!AI48=GENERAL!$AI$2,GENERAL!$AI$2,CONCATENATE(OBSERVACIONES!AH47,"
ESTADO DE POSTVENTAS:  ",GENERAL!AI48))</f>
        <v>OK
ESTADO DE POSTVENTAS:  POSTVENTA CORREGIDA</v>
      </c>
      <c r="AI47" s="51" t="str">
        <f>+IF(GENERAL!AG48=GENERAL!$AI$2,GENERAL!$AI$2,CONCATENATE(OBSERVACIONES!AF47,"
ESTADO DE POSTVENTAS:  ",GENERAL!AG48))</f>
        <v>OK
ESTADO DE POSTVENTAS:  POSTVENTA CORREGIDA</v>
      </c>
      <c r="AJ47" s="51" t="str">
        <f>+IF(GENERAL!AI48=GENERAL!$AI$2,GENERAL!$AI$2,CONCATENATE(OBSERVACIONES!AH47,"
ESTADO DE POSTVENTAS:  ",GENERAL!AI48))</f>
        <v>OK
ESTADO DE POSTVENTAS:  POSTVENTA CORREGIDA</v>
      </c>
      <c r="AK47" s="51" t="str">
        <f>+IF(GENERAL!AJ48=GENERAL!$AI$2,GENERAL!$AI$2,CONCATENATE(OBSERVACIONES!AI47,"
ESTADO DE POSTVENTAS:  ",GENERAL!AJ48))</f>
        <v>OK
ESTADO DE POSTVENTAS:  POSTVENTA CORREGIDA</v>
      </c>
      <c r="AL47" s="70" t="str">
        <f>+IF(GENERAL!AK48=GENERAL!$AI$2,GENERAL!$AI$2,CONCATENATE(OBSERVACIONES!AJ47,"
ESTADO DE POSTVENTAS:  ",GENERAL!AK48))</f>
        <v>OK
ESTADO DE POSTVENTAS:  POSTVENTA CORREGIDA</v>
      </c>
      <c r="AM47" s="51" t="str">
        <f>+IF(GENERAL!AN48=GENERAL!$AI$2,GENERAL!$AI$2,CONCATENATE(OBSERVACIONES!AM47,"
ESTADO DE POSTVENTAS:  ",GENERAL!AN48))</f>
        <v>OK
ESTADO DE POSTVENTAS:  POSTVENTA CORREGIDA</v>
      </c>
      <c r="AN47" s="37">
        <v>1</v>
      </c>
      <c r="AO47" s="37">
        <v>10</v>
      </c>
      <c r="AP47" s="37">
        <v>3</v>
      </c>
      <c r="AQ47" s="37">
        <v>0</v>
      </c>
      <c r="AR47" s="43">
        <v>14</v>
      </c>
      <c r="AS47" s="40">
        <v>12</v>
      </c>
      <c r="AT47" s="37">
        <f>COUNTIFS($D$5:$AM$5,"&lt;&gt;"&amp;CODICIONALES!$A$1,$D$5:$AM$5,"&lt;&gt;"&amp;CODICIONALES!$A$2,$D$5:$AM$5,"&lt;&gt;"&amp;CODICIONALES!$B$2,$D$5:$AM$5,"&lt;&gt;"&amp;CODICIONALES!$C$2)</f>
        <v>6</v>
      </c>
      <c r="AU47" s="43">
        <f>COUNTIFS(D47:AM47,CODICIONALES!$A$2)</f>
        <v>32</v>
      </c>
      <c r="AV47" s="40">
        <f t="shared" si="0"/>
        <v>-2</v>
      </c>
    </row>
    <row r="48" spans="1:48" ht="51" customHeight="1" x14ac:dyDescent="0.25">
      <c r="A48" s="111"/>
      <c r="B48" s="2">
        <v>44</v>
      </c>
      <c r="C48" s="26" t="s">
        <v>78</v>
      </c>
      <c r="D48" s="51" t="str">
        <f>+IF(GENERAL!E49=GENERAL!$AI$2,GENERAL!$AI$2,CONCATENATE(OBSERVACIONES!D48,"
ESTADO DE POSTVENTAS:  ",GENERAL!E49))</f>
        <v>NO ENTREGADO
ESTADO DE POSTVENTAS:  TIENE POSTVENTA</v>
      </c>
      <c r="E48" s="51" t="str">
        <f>+IF(GENERAL!F49=GENERAL!$AI$2,GENERAL!$AI$2,CONCATENATE(OBSERVACIONES!E48,"
ESTADO DE POSTVENTAS:  ",GENERAL!F49))</f>
        <v>OK
ESTADO DE POSTVENTAS:  POSTVENTA CORREGIDA</v>
      </c>
      <c r="F48" s="51" t="str">
        <f>+IF(GENERAL!G49=GENERAL!$AI$2,GENERAL!$AI$2,CONCATENATE(OBSERVACIONES!F48,"
ESTADO DE POSTVENTAS:  ",GENERAL!G49))</f>
        <v>OK
ESTADO DE POSTVENTAS:  POSTVENTA CORREGIDA</v>
      </c>
      <c r="G48" s="51" t="str">
        <f>+IF(GENERAL!H49=GENERAL!$AI$2,GENERAL!$AI$2,CONCATENATE(OBSERVACIONES!G48,"
ESTADO DE POSTVENTAS:  ",GENERAL!H49))</f>
        <v>NO ENTREGADO
ESTADO DE POSTVENTAS:  TIENE POSTVENTA</v>
      </c>
      <c r="H48" s="51" t="str">
        <f>+IF(GENERAL!I49=GENERAL!$AI$2,GENERAL!$AI$2,CONCATENATE(OBSERVACIONES!H48,"
ESTADO DE POSTVENTAS:  ",GENERAL!I49))</f>
        <v>OK
ESTADO DE POSTVENTAS:  POSTVENTA CORREGIDA</v>
      </c>
      <c r="I48" s="51" t="str">
        <f>+IF(GENERAL!J49=GENERAL!$AI$2,GENERAL!$AI$2,CONCATENATE(OBSERVACIONES!I48,"
ESTADO DE POSTVENTAS:  ",GENERAL!J49))</f>
        <v>OK
ESTADO DE POSTVENTAS:  POSTVENTA CORREGIDA</v>
      </c>
      <c r="J48" s="51" t="str">
        <f>+IF(GENERAL!K49=GENERAL!$AI$2,GENERAL!$AI$2,CONCATENATE(OBSERVACIONES!J48,"
ESTADO DE POSTVENTAS:  ",GENERAL!K49))</f>
        <v>OK
ESTADO DE POSTVENTAS:  POSTVENTA CORREGIDA</v>
      </c>
      <c r="K48" s="51" t="str">
        <f>+IF(GENERAL!L49=GENERAL!$AI$2,GENERAL!$AI$2,CONCATENATE(OBSERVACIONES!K48,"
ESTADO DE POSTVENTAS:  ",GENERAL!L49))</f>
        <v>OK
ESTADO DE POSTVENTAS:  POSTVENTA CORREGIDA</v>
      </c>
      <c r="L48" s="51" t="str">
        <f>+IF(GENERAL!M49=GENERAL!$AI$2,GENERAL!$AI$2,CONCATENATE(OBSERVACIONES!L48,"
ESTADO DE POSTVENTAS:  ",GENERAL!M49))</f>
        <v>OK
ESTADO DE POSTVENTAS:  POSTVENTA CORREGIDA</v>
      </c>
      <c r="M48" s="70" t="str">
        <f>+IF(GENERAL!N49=GENERAL!$AI$2,GENERAL!$AI$2,CONCATENATE(OBSERVACIONES!M48,"
ESTADO DE POSTVENTAS:  ",GENERAL!N49))</f>
        <v>OK
ESTADO DE POSTVENTAS:  POSTVENTA CORREGIDA</v>
      </c>
      <c r="N48" s="51" t="str">
        <f>+IF(GENERAL!O49=GENERAL!$AI$2,GENERAL!$AI$2,CONCATENATE(OBSERVACIONES!N48,"
ESTADO DE POSTVENTAS:  ",GENERAL!O49))</f>
        <v>OK
ESTADO DE POSTVENTAS:  POSTVENTA CORREGIDA</v>
      </c>
      <c r="O48" s="51" t="str">
        <f>+IF(GENERAL!P49=GENERAL!$AI$2,GENERAL!$AI$2,CONCATENATE(OBSERVACIONES!O48,"
ESTADO DE POSTVENTAS:  ",GENERAL!P49))</f>
        <v>OK
ESTADO DE POSTVENTAS:  POSTVENTA CORREGIDA</v>
      </c>
      <c r="P48" s="70" t="str">
        <f>+IF(GENERAL!Q49=GENERAL!$AI$2,GENERAL!$AI$2,CONCATENATE(OBSERVACIONES!P48,"
ESTADO DE POSTVENTAS:  ",GENERAL!Q49))</f>
        <v>OK
ESTADO DE POSTVENTAS:  POSTVENTA CORREGIDA</v>
      </c>
      <c r="Q48" s="70" t="str">
        <f>+IF(GENERAL!R49=GENERAL!$AI$2,GENERAL!$AI$2,CONCATENATE(OBSERVACIONES!Q48,"
ESTADO DE POSTVENTAS:  ",GENERAL!R49))</f>
        <v>OK
ESTADO DE POSTVENTAS:  POSTVENTA CORREGIDA</v>
      </c>
      <c r="R48" s="51" t="str">
        <f>+IF(GENERAL!S49=GENERAL!$AI$2,GENERAL!$AI$2,CONCATENATE(OBSERVACIONES!R48,"
ESTADO DE POSTVENTAS:  ",GENERAL!S49))</f>
        <v>OK
ESTADO DE POSTVENTAS:  POSTVENTA CORREGIDA</v>
      </c>
      <c r="S48" s="51" t="str">
        <f>+IF(GENERAL!T49=GENERAL!$AI$2,GENERAL!$AI$2,CONCATENATE(OBSERVACIONES!S48,"
ESTADO DE POSTVENTAS:  ",GENERAL!T49))</f>
        <v>OK
ESTADO DE POSTVENTAS:  POSTVENTA CORREGIDA</v>
      </c>
      <c r="T48" s="51" t="str">
        <f>+IF(GENERAL!U49=GENERAL!$AI$2,GENERAL!$AI$2,CONCATENATE(OBSERVACIONES!T48,"
ESTADO DE POSTVENTAS:  ",GENERAL!U49))</f>
        <v>OK
ESTADO DE POSTVENTAS:  POSTVENTA CORREGIDA</v>
      </c>
      <c r="U48" s="51" t="str">
        <f>+IF(GENERAL!V49=GENERAL!$AI$2,GENERAL!$AI$2,CONCATENATE(OBSERVACIONES!U48,"
ESTADO DE POSTVENTAS:  ",GENERAL!V49))</f>
        <v>OK
ESTADO DE POSTVENTAS:  POSTVENTA CORREGIDA</v>
      </c>
      <c r="V48" s="51" t="str">
        <f>+IF(GENERAL!W49=GENERAL!$AI$2,GENERAL!$AI$2,CONCATENATE(OBSERVACIONES!V48,"
ESTADO DE POSTVENTAS:  ",GENERAL!W49))</f>
        <v>OK
ESTADO DE POSTVENTAS:  POSTVENTA CORREGIDA</v>
      </c>
      <c r="W48" s="51" t="str">
        <f>+IF(GENERAL!V49=GENERAL!$AI$2,GENERAL!$AI$2,CONCATENATE(OBSERVACIONES!W48,"
ESTADO DE POSTVENTAS:  ",GENERAL!V49))</f>
        <v>OK
ESTADO DE POSTVENTAS:  POSTVENTA CORREGIDA</v>
      </c>
      <c r="X48" s="51" t="str">
        <f>+IF(GENERAL!W49=GENERAL!$AI$2,GENERAL!$AI$2,CONCATENATE(OBSERVACIONES!X48,"
ESTADO DE POSTVENTAS:  ",GENERAL!W49))</f>
        <v>OK
ESTADO DE POSTVENTAS:  POSTVENTA CORREGIDA</v>
      </c>
      <c r="Y48" s="51" t="str">
        <f>+IF(GENERAL!Z49=GENERAL!$AI$2,GENERAL!$AI$2,CONCATENATE(OBSERVACIONES!Y48,"
ESTADO DE POSTVENTAS:  ",GENERAL!Z49))</f>
        <v>OK
ESTADO DE POSTVENTAS:  POSTVENTA CORREGIDA</v>
      </c>
      <c r="Z48" s="51" t="str">
        <f>+IF(GENERAL!AA49=GENERAL!$AI$2,GENERAL!$AI$2,CONCATENATE(OBSERVACIONES!Z48,"
ESTADO DE POSTVENTAS:  ",GENERAL!AA49))</f>
        <v>OK
ESTADO DE POSTVENTAS:  POSTVENTA CORREGIDA</v>
      </c>
      <c r="AA48" s="51" t="str">
        <f>+IF(GENERAL!AB49=GENERAL!$AI$2,GENERAL!$AI$2,CONCATENATE(OBSERVACIONES!AA48,"
ESTADO DE POSTVENTAS:  ",GENERAL!AB49))</f>
        <v>OK
ESTADO DE POSTVENTAS:  POSTVENTA CORREGIDA</v>
      </c>
      <c r="AB48" s="51" t="str">
        <f>+IF(GENERAL!AC49=GENERAL!$AI$2,GENERAL!$AI$2,CONCATENATE(OBSERVACIONES!AB48,"
ESTADO DE POSTVENTAS:  ",GENERAL!AC49))</f>
        <v>OK
ESTADO DE POSTVENTAS:  POSTVENTA CORREGIDA</v>
      </c>
      <c r="AC48" s="51" t="str">
        <f>+IF(GENERAL!AD49=GENERAL!$AI$2,GENERAL!$AI$2,CONCATENATE(OBSERVACIONES!AC48,"
ESTADO DE POSTVENTAS:  ",GENERAL!AD49))</f>
        <v>OK
ESTADO DE POSTVENTAS:  POSTVENTA CORREGIDA</v>
      </c>
      <c r="AD48" s="51" t="str">
        <f>+IF(GENERAL!AE49=GENERAL!$AI$2,GENERAL!$AI$2,CONCATENATE(OBSERVACIONES!AD48,"
ESTADO DE POSTVENTAS:  ",GENERAL!AE49))</f>
        <v>OK
ESTADO DE POSTVENTAS:  POSTVENTA CORREGIDA</v>
      </c>
      <c r="AE48" s="51" t="str">
        <f>+IF(GENERAL!AF49=GENERAL!$AI$2,GENERAL!$AI$2,CONCATENATE(OBSERVACIONES!AE48,"
ESTADO DE POSTVENTAS:  ",GENERAL!AF49))</f>
        <v>OK
ESTADO DE POSTVENTAS:  POSTVENTA CORREGIDA</v>
      </c>
      <c r="AF48" s="51" t="str">
        <f>+IF(GENERAL!AG49=GENERAL!$AI$2,GENERAL!$AI$2,CONCATENATE(OBSERVACIONES!AF48,"
ESTADO DE POSTVENTAS:  ",GENERAL!AG49))</f>
        <v>OK
ESTADO DE POSTVENTAS:  POSTVENTA CORREGIDA</v>
      </c>
      <c r="AG48" s="51" t="str">
        <f>+IF(GENERAL!AH49=GENERAL!$AI$2,GENERAL!$AI$2,CONCATENATE(OBSERVACIONES!AG48,"
ESTADO DE POSTVENTAS:  ",GENERAL!AH49))</f>
        <v>OK
ESTADO DE POSTVENTAS:  POSTVENTA CORREGIDA</v>
      </c>
      <c r="AH48" s="51" t="str">
        <f>+IF(GENERAL!AI49=GENERAL!$AI$2,GENERAL!$AI$2,CONCATENATE(OBSERVACIONES!AH48,"
ESTADO DE POSTVENTAS:  ",GENERAL!AI49))</f>
        <v>OK
ESTADO DE POSTVENTAS:  POSTVENTA CORREGIDA</v>
      </c>
      <c r="AI48" s="51" t="str">
        <f>+IF(GENERAL!AG49=GENERAL!$AI$2,GENERAL!$AI$2,CONCATENATE(OBSERVACIONES!AF48,"
ESTADO DE POSTVENTAS:  ",GENERAL!AG49))</f>
        <v>OK
ESTADO DE POSTVENTAS:  POSTVENTA CORREGIDA</v>
      </c>
      <c r="AJ48" s="51" t="str">
        <f>+IF(GENERAL!AI49=GENERAL!$AI$2,GENERAL!$AI$2,CONCATENATE(OBSERVACIONES!AH48,"
ESTADO DE POSTVENTAS:  ",GENERAL!AI49))</f>
        <v>OK
ESTADO DE POSTVENTAS:  POSTVENTA CORREGIDA</v>
      </c>
      <c r="AK48" s="51" t="str">
        <f>+IF(GENERAL!AJ49=GENERAL!$AI$2,GENERAL!$AI$2,CONCATENATE(OBSERVACIONES!AI48,"
ESTADO DE POSTVENTAS:  ",GENERAL!AJ49))</f>
        <v>OK
ESTADO DE POSTVENTAS:  POSTVENTA CORREGIDA</v>
      </c>
      <c r="AL48" s="51" t="str">
        <f>+IF(GENERAL!AK49=GENERAL!$AI$2,GENERAL!$AI$2,CONCATENATE(OBSERVACIONES!AJ48,"
ESTADO DE POSTVENTAS:  ",GENERAL!AK49))</f>
        <v>OK
ESTADO DE POSTVENTAS:  POSTVENTA CORREGIDA</v>
      </c>
      <c r="AM48" s="51" t="str">
        <f>+IF(GENERAL!AN49=GENERAL!$AI$2,GENERAL!$AI$2,CONCATENATE(OBSERVACIONES!AM48,"
ESTADO DE POSTVENTAS:  ",GENERAL!AN49))</f>
        <v>OK
ESTADO DE POSTVENTAS:  POSTVENTA CORREGIDA</v>
      </c>
      <c r="AN48" s="37">
        <v>4</v>
      </c>
      <c r="AO48" s="37">
        <v>7</v>
      </c>
      <c r="AP48" s="37">
        <v>3</v>
      </c>
      <c r="AQ48" s="37">
        <v>1</v>
      </c>
      <c r="AR48" s="43">
        <v>13</v>
      </c>
      <c r="AS48" s="40">
        <v>12</v>
      </c>
      <c r="AT48" s="37">
        <f>COUNTIFS($D$5:$AM$5,"&lt;&gt;"&amp;CODICIONALES!$A$1,$D$5:$AM$5,"&lt;&gt;"&amp;CODICIONALES!$A$2,$D$5:$AM$5,"&lt;&gt;"&amp;CODICIONALES!$B$2,$D$5:$AM$5,"&lt;&gt;"&amp;CODICIONALES!$C$2)</f>
        <v>6</v>
      </c>
      <c r="AU48" s="43">
        <f>COUNTIFS(D48:AM48,CODICIONALES!$A$2)</f>
        <v>34</v>
      </c>
      <c r="AV48" s="40">
        <f t="shared" si="0"/>
        <v>-4</v>
      </c>
    </row>
    <row r="49" spans="1:48" ht="51" customHeight="1" x14ac:dyDescent="0.25">
      <c r="A49" s="112" t="s">
        <v>81</v>
      </c>
      <c r="B49" s="2">
        <v>45</v>
      </c>
      <c r="C49" s="25" t="s">
        <v>82</v>
      </c>
      <c r="D49" s="51" t="str">
        <f>+IF(GENERAL!E50=GENERAL!$AI$2,GENERAL!$AI$2,CONCATENATE(OBSERVACIONES!D49,"
ESTADO DE POSTVENTAS:  ",GENERAL!E50))</f>
        <v>NO ENTREGADO
ESTADO DE POSTVENTAS:  TIENE POSTVENTA</v>
      </c>
      <c r="E49" s="51" t="str">
        <f>+IF(GENERAL!F50=GENERAL!$AI$2,GENERAL!$AI$2,CONCATENATE(OBSERVACIONES!E49,"
ESTADO DE POSTVENTAS:  ",GENERAL!F50))</f>
        <v>OK
ESTADO DE POSTVENTAS:  POSTVENTA CORREGIDA</v>
      </c>
      <c r="F49" s="51" t="str">
        <f>+IF(GENERAL!G50=GENERAL!$AI$2,GENERAL!$AI$2,CONCATENATE(OBSERVACIONES!F49,"
ESTADO DE POSTVENTAS:  ",GENERAL!G50))</f>
        <v>OK
ESTADO DE POSTVENTAS:  POSTVENTA CORREGIDA</v>
      </c>
      <c r="G49" s="51" t="str">
        <f>+IF(GENERAL!H50=GENERAL!$AI$2,GENERAL!$AI$2,CONCATENATE(OBSERVACIONES!G49,"
ESTADO DE POSTVENTAS:  ",GENERAL!H50))</f>
        <v>NO ENTREGADO
ESTADO DE POSTVENTAS:  TIENE POSTVENTA</v>
      </c>
      <c r="H49" s="51" t="str">
        <f>+IF(GENERAL!I50=GENERAL!$AI$2,GENERAL!$AI$2,CONCATENATE(OBSERVACIONES!H49,"
ESTADO DE POSTVENTAS:  ",GENERAL!I50))</f>
        <v>OK
ESTADO DE POSTVENTAS:  POSTVENTA CORREGIDA</v>
      </c>
      <c r="I49" s="51" t="str">
        <f>+IF(GENERAL!J50=GENERAL!$AI$2,GENERAL!$AI$2,CONCATENATE(OBSERVACIONES!I49,"
ESTADO DE POSTVENTAS:  ",GENERAL!J50))</f>
        <v>OK
ESTADO DE POSTVENTAS:  POSTVENTA CORREGIDA</v>
      </c>
      <c r="J49" s="51" t="str">
        <f>+IF(GENERAL!K50=GENERAL!$AI$2,GENERAL!$AI$2,CONCATENATE(OBSERVACIONES!J49,"
ESTADO DE POSTVENTAS:  ",GENERAL!K50))</f>
        <v>OK
ESTADO DE POSTVENTAS:  POSTVENTA CORREGIDA</v>
      </c>
      <c r="K49" s="51" t="str">
        <f>+IF(GENERAL!L50=GENERAL!$AI$2,GENERAL!$AI$2,CONCATENATE(OBSERVACIONES!K49,"
ESTADO DE POSTVENTAS:  ",GENERAL!L50))</f>
        <v>OK
ESTADO DE POSTVENTAS:  POSTVENTA CORREGIDA</v>
      </c>
      <c r="L49" s="51" t="str">
        <f>+IF(GENERAL!M50=GENERAL!$AI$2,GENERAL!$AI$2,CONCATENATE(OBSERVACIONES!L49,"
ESTADO DE POSTVENTAS:  ",GENERAL!M50))</f>
        <v>OK
ESTADO DE POSTVENTAS:  POSTVENTA CORREGIDA</v>
      </c>
      <c r="M49" s="70" t="str">
        <f>+IF(GENERAL!N50=GENERAL!$AI$2,GENERAL!$AI$2,CONCATENATE(OBSERVACIONES!M49,"
ESTADO DE POSTVENTAS:  ",GENERAL!N50))</f>
        <v>OK
ESTADO DE POSTVENTAS:  POSTVENTA CORREGIDA</v>
      </c>
      <c r="N49" s="51" t="str">
        <f>+IF(GENERAL!O50=GENERAL!$AI$2,GENERAL!$AI$2,CONCATENATE(OBSERVACIONES!N49,"
ESTADO DE POSTVENTAS:  ",GENERAL!O50))</f>
        <v>OK
ESTADO DE POSTVENTAS:  POSTVENTA CORREGIDA</v>
      </c>
      <c r="O49" s="51" t="str">
        <f>+IF(GENERAL!P50=GENERAL!$AI$2,GENERAL!$AI$2,CONCATENATE(OBSERVACIONES!O49,"
ESTADO DE POSTVENTAS:  ",GENERAL!P50))</f>
        <v>DETALLE CAMBIO
ESTADO DE POSTVENTAS:  TIENE POSTVENTA</v>
      </c>
      <c r="P49" s="70" t="str">
        <f>+IF(GENERAL!Q50=GENERAL!$AI$2,GENERAL!$AI$2,CONCATENATE(OBSERVACIONES!P49,"
ESTADO DE POSTVENTAS:  ",GENERAL!Q50))</f>
        <v>OK
ESTADO DE POSTVENTAS:  POSTVENTA CORREGIDA</v>
      </c>
      <c r="Q49" s="70" t="str">
        <f>+IF(GENERAL!R50=GENERAL!$AI$2,GENERAL!$AI$2,CONCATENATE(OBSERVACIONES!Q49,"
ESTADO DE POSTVENTAS:  ",GENERAL!R50))</f>
        <v>OK
ESTADO DE POSTVENTAS:  POSTVENTA CORREGIDA</v>
      </c>
      <c r="R49" s="51" t="str">
        <f>+IF(GENERAL!S50=GENERAL!$AI$2,GENERAL!$AI$2,CONCATENATE(OBSERVACIONES!R49,"
ESTADO DE POSTVENTAS:  ",GENERAL!S50))</f>
        <v>OK
ESTADO DE POSTVENTAS:  POSTVENTA CORREGIDA</v>
      </c>
      <c r="S49" s="51" t="str">
        <f>+IF(GENERAL!T50=GENERAL!$AI$2,GENERAL!$AI$2,CONCATENATE(OBSERVACIONES!S49,"
ESTADO DE POSTVENTAS:  ",GENERAL!T50))</f>
        <v>OK
ESTADO DE POSTVENTAS:  POSTVENTA CORREGIDA</v>
      </c>
      <c r="T49" s="51" t="str">
        <f>+IF(GENERAL!U50=GENERAL!$AI$2,GENERAL!$AI$2,CONCATENATE(OBSERVACIONES!T49,"
ESTADO DE POSTVENTAS:  ",GENERAL!U50))</f>
        <v>DETALLE MARCO
ESTADO DE POSTVENTAS:  TIENE POSTVENTA</v>
      </c>
      <c r="U49" s="51" t="str">
        <f>+IF(GENERAL!V50=GENERAL!$AI$2,GENERAL!$AI$2,CONCATENATE(OBSERVACIONES!U49,"
ESTADO DE POSTVENTAS:  ",GENERAL!V50))</f>
        <v>OK
ESTADO DE POSTVENTAS:  POSTVENTA CORREGIDA</v>
      </c>
      <c r="V49" s="51" t="str">
        <f>+IF(GENERAL!W50=GENERAL!$AI$2,GENERAL!$AI$2,CONCATENATE(OBSERVACIONES!V49,"
ESTADO DE POSTVENTAS:  ",GENERAL!W50))</f>
        <v>OK
ESTADO DE POSTVENTAS:  POSTVENTA CORREGIDA</v>
      </c>
      <c r="W49" s="51" t="str">
        <f>+IF(GENERAL!V50=GENERAL!$AI$2,GENERAL!$AI$2,CONCATENATE(OBSERVACIONES!W49,"
ESTADO DE POSTVENTAS:  ",GENERAL!V50))</f>
        <v>OK
ESTADO DE POSTVENTAS:  POSTVENTA CORREGIDA</v>
      </c>
      <c r="X49" s="51" t="str">
        <f>+IF(GENERAL!W50=GENERAL!$AI$2,GENERAL!$AI$2,CONCATENATE(OBSERVACIONES!X49,"
ESTADO DE POSTVENTAS:  ",GENERAL!W50))</f>
        <v>OK
ESTADO DE POSTVENTAS:  POSTVENTA CORREGIDA</v>
      </c>
      <c r="Y49" s="51" t="str">
        <f>+IF(GENERAL!Z50=GENERAL!$AI$2,GENERAL!$AI$2,CONCATENATE(OBSERVACIONES!Y49,"
ESTADO DE POSTVENTAS:  ",GENERAL!Z50))</f>
        <v>OK
ESTADO DE POSTVENTAS:  POSTVENTA CORREGIDA</v>
      </c>
      <c r="Z49" s="51" t="str">
        <f>+IF(GENERAL!AA50=GENERAL!$AI$2,GENERAL!$AI$2,CONCATENATE(OBSERVACIONES!Z49,"
ESTADO DE POSTVENTAS:  ",GENERAL!AA50))</f>
        <v>OK
ESTADO DE POSTVENTAS:  POSTVENTA CORREGIDA</v>
      </c>
      <c r="AA49" s="51" t="str">
        <f>+IF(GENERAL!AB50=GENERAL!$AI$2,GENERAL!$AI$2,CONCATENATE(OBSERVACIONES!AA49,"
ESTADO DE POSTVENTAS:  ",GENERAL!AB50))</f>
        <v>OK
ESTADO DE POSTVENTAS:  POSTVENTA CORREGIDA</v>
      </c>
      <c r="AB49" s="70" t="str">
        <f>+IF(GENERAL!AC50=GENERAL!$AI$2,GENERAL!$AI$2,CONCATENATE(OBSERVACIONES!AB49,"
ESTADO DE POSTVENTAS:  ",GENERAL!AC50))</f>
        <v>OK
ESTADO DE POSTVENTAS:  POSTVENTA CORREGIDA</v>
      </c>
      <c r="AC49" s="70" t="str">
        <f>+IF(GENERAL!AD50=GENERAL!$AI$2,GENERAL!$AI$2,CONCATENATE(OBSERVACIONES!AC49,"
ESTADO DE POSTVENTAS:  ",GENERAL!AD50))</f>
        <v>OK
ESTADO DE POSTVENTAS:  POSTVENTA CORREGIDA</v>
      </c>
      <c r="AD49" s="51" t="str">
        <f>+IF(GENERAL!AE50=GENERAL!$AI$2,GENERAL!$AI$2,CONCATENATE(OBSERVACIONES!AD49,"
ESTADO DE POSTVENTAS:  ",GENERAL!AE50))</f>
        <v>OK
ESTADO DE POSTVENTAS:  POSTVENTA CORREGIDA</v>
      </c>
      <c r="AE49" s="51" t="str">
        <f>+IF(GENERAL!AF50=GENERAL!$AI$2,GENERAL!$AI$2,CONCATENATE(OBSERVACIONES!AE49,"
ESTADO DE POSTVENTAS:  ",GENERAL!AF50))</f>
        <v>OK
ESTADO DE POSTVENTAS:  POSTVENTA CORREGIDA</v>
      </c>
      <c r="AF49" s="51" t="str">
        <f>+IF(GENERAL!AG50=GENERAL!$AI$2,GENERAL!$AI$2,CONCATENATE(OBSERVACIONES!AF49,"
ESTADO DE POSTVENTAS:  ",GENERAL!AG50))</f>
        <v>OK
ESTADO DE POSTVENTAS:  POSTVENTA CORREGIDA</v>
      </c>
      <c r="AG49" s="51" t="str">
        <f>+IF(GENERAL!AH50=GENERAL!$AI$2,GENERAL!$AI$2,CONCATENATE(OBSERVACIONES!AG49,"
ESTADO DE POSTVENTAS:  ",GENERAL!AH50))</f>
        <v>OK
ESTADO DE POSTVENTAS:  POSTVENTA CORREGIDA</v>
      </c>
      <c r="AH49" s="51" t="str">
        <f>+IF(GENERAL!AI50=GENERAL!$AI$2,GENERAL!$AI$2,CONCATENATE(OBSERVACIONES!AH49,"
ESTADO DE POSTVENTAS:  ",GENERAL!AI50))</f>
        <v>OK
ESTADO DE POSTVENTAS:  POSTVENTA CORREGIDA</v>
      </c>
      <c r="AI49" s="51" t="str">
        <f>+IF(GENERAL!AG50=GENERAL!$AI$2,GENERAL!$AI$2,CONCATENATE(OBSERVACIONES!AF49,"
ESTADO DE POSTVENTAS:  ",GENERAL!AG50))</f>
        <v>OK
ESTADO DE POSTVENTAS:  POSTVENTA CORREGIDA</v>
      </c>
      <c r="AJ49" s="51" t="str">
        <f>+IF(GENERAL!AI50=GENERAL!$AI$2,GENERAL!$AI$2,CONCATENATE(OBSERVACIONES!AH49,"
ESTADO DE POSTVENTAS:  ",GENERAL!AI50))</f>
        <v>OK
ESTADO DE POSTVENTAS:  POSTVENTA CORREGIDA</v>
      </c>
      <c r="AK49" s="51" t="str">
        <f>+IF(GENERAL!AJ50=GENERAL!$AI$2,GENERAL!$AI$2,CONCATENATE(OBSERVACIONES!AI49,"
ESTADO DE POSTVENTAS:  ",GENERAL!AJ50))</f>
        <v>OK
ESTADO DE POSTVENTAS:  POSTVENTA CORREGIDA</v>
      </c>
      <c r="AL49" s="51" t="str">
        <f>+IF(GENERAL!AK50=GENERAL!$AI$2,GENERAL!$AI$2,CONCATENATE(OBSERVACIONES!AJ49,"
ESTADO DE POSTVENTAS:  ",GENERAL!AK50))</f>
        <v>OK
ESTADO DE POSTVENTAS:  POSTVENTA CORREGIDA</v>
      </c>
      <c r="AM49" s="51" t="str">
        <f>+IF(GENERAL!AN50=GENERAL!$AI$2,GENERAL!$AI$2,CONCATENATE(OBSERVACIONES!AM49,"
ESTADO DE POSTVENTAS:  ",GENERAL!AN50))</f>
        <v>OK
ESTADO DE POSTVENTAS:  POSTVENTA CORREGIDA</v>
      </c>
      <c r="AN49" s="37">
        <v>2</v>
      </c>
      <c r="AO49" s="37">
        <v>9</v>
      </c>
      <c r="AP49" s="37">
        <v>3</v>
      </c>
      <c r="AQ49" s="37">
        <v>2</v>
      </c>
      <c r="AR49" s="43">
        <v>12</v>
      </c>
      <c r="AS49" s="40">
        <v>12</v>
      </c>
      <c r="AT49" s="37">
        <f>COUNTIFS($D$5:$AM$5,"&lt;&gt;"&amp;CODICIONALES!$A$1,$D$5:$AM$5,"&lt;&gt;"&amp;CODICIONALES!$A$2,$D$5:$AM$5,"&lt;&gt;"&amp;CODICIONALES!$B$2,$D$5:$AM$5,"&lt;&gt;"&amp;CODICIONALES!$C$2)</f>
        <v>6</v>
      </c>
      <c r="AU49" s="43">
        <f>COUNTIFS(D49:AM49,CODICIONALES!$A$2)</f>
        <v>32</v>
      </c>
      <c r="AV49" s="40">
        <f t="shared" si="0"/>
        <v>-2</v>
      </c>
    </row>
    <row r="50" spans="1:48" ht="51" customHeight="1" x14ac:dyDescent="0.25">
      <c r="A50" s="110"/>
      <c r="B50" s="2">
        <v>46</v>
      </c>
      <c r="C50" s="23" t="s">
        <v>83</v>
      </c>
      <c r="D50" s="51" t="str">
        <f>+IF(GENERAL!E51=GENERAL!$AI$2,GENERAL!$AI$2,CONCATENATE(OBSERVACIONES!D50,"
ESTADO DE POSTVENTAS:  ",GENERAL!E51))</f>
        <v>NO ENTREGADO
ESTADO DE POSTVENTAS:  TIENE POSTVENTA</v>
      </c>
      <c r="E50" s="51" t="str">
        <f>+IF(GENERAL!F51=GENERAL!$AI$2,GENERAL!$AI$2,CONCATENATE(OBSERVACIONES!E50,"
ESTADO DE POSTVENTAS:  ",GENERAL!F51))</f>
        <v>OK
ESTADO DE POSTVENTAS:  POSTVENTA CORREGIDA</v>
      </c>
      <c r="F50" s="51" t="str">
        <f>+IF(GENERAL!G51=GENERAL!$AI$2,GENERAL!$AI$2,CONCATENATE(OBSERVACIONES!F50,"
ESTADO DE POSTVENTAS:  ",GENERAL!G51))</f>
        <v>OK
ESTADO DE POSTVENTAS:  POSTVENTA CORREGIDA</v>
      </c>
      <c r="G50" s="51" t="str">
        <f>+IF(GENERAL!H51=GENERAL!$AI$2,GENERAL!$AI$2,CONCATENATE(OBSERVACIONES!G50,"
ESTADO DE POSTVENTAS:  ",GENERAL!H51))</f>
        <v>NO ENTREGADO
ESTADO DE POSTVENTAS:  TIENE POSTVENTA</v>
      </c>
      <c r="H50" s="51" t="str">
        <f>+IF(GENERAL!I51=GENERAL!$AI$2,GENERAL!$AI$2,CONCATENATE(OBSERVACIONES!H50,"
ESTADO DE POSTVENTAS:  ",GENERAL!I51))</f>
        <v>OK
ESTADO DE POSTVENTAS:  POSTVENTA CORREGIDA</v>
      </c>
      <c r="I50" s="51" t="str">
        <f>+IF(GENERAL!J51=GENERAL!$AI$2,GENERAL!$AI$2,CONCATENATE(OBSERVACIONES!I50,"
ESTADO DE POSTVENTAS:  ",GENERAL!J51))</f>
        <v>OK
ESTADO DE POSTVENTAS:  POSTVENTA CORREGIDA</v>
      </c>
      <c r="J50" s="51" t="str">
        <f>+IF(GENERAL!K51=GENERAL!$AI$2,GENERAL!$AI$2,CONCATENATE(OBSERVACIONES!J50,"
ESTADO DE POSTVENTAS:  ",GENERAL!K51))</f>
        <v>OK
ESTADO DE POSTVENTAS:  POSTVENTA CORREGIDA</v>
      </c>
      <c r="K50" s="51" t="str">
        <f>+IF(GENERAL!L51=GENERAL!$AI$2,GENERAL!$AI$2,CONCATENATE(OBSERVACIONES!K50,"
ESTADO DE POSTVENTAS:  ",GENERAL!L51))</f>
        <v>OK
ESTADO DE POSTVENTAS:  POSTVENTA CORREGIDA</v>
      </c>
      <c r="L50" s="51" t="str">
        <f>+IF(GENERAL!M51=GENERAL!$AI$2,GENERAL!$AI$2,CONCATENATE(OBSERVACIONES!L50,"
ESTADO DE POSTVENTAS:  ",GENERAL!M51))</f>
        <v>OK
ESTADO DE POSTVENTAS:  POSTVENTA CORREGIDA</v>
      </c>
      <c r="M50" s="70" t="str">
        <f>+IF(GENERAL!N51=GENERAL!$AI$2,GENERAL!$AI$2,CONCATENATE(OBSERVACIONES!M50,"
ESTADO DE POSTVENTAS:  ",GENERAL!N51))</f>
        <v>OK
ESTADO DE POSTVENTAS:  POSTVENTA CORREGIDA</v>
      </c>
      <c r="N50" s="51" t="str">
        <f>+IF(GENERAL!O51=GENERAL!$AI$2,GENERAL!$AI$2,CONCATENATE(OBSERVACIONES!N50,"
ESTADO DE POSTVENTAS:  ",GENERAL!O51))</f>
        <v>OK
ESTADO DE POSTVENTAS:  POSTVENTA CORREGIDA</v>
      </c>
      <c r="O50" s="51" t="str">
        <f>+IF(GENERAL!P51=GENERAL!$AI$2,GENERAL!$AI$2,CONCATENATE(OBSERVACIONES!O50,"
ESTADO DE POSTVENTAS:  ",GENERAL!P51))</f>
        <v>OK
ESTADO DE POSTVENTAS:  POSTVENTA CORREGIDA</v>
      </c>
      <c r="P50" s="70" t="str">
        <f>+IF(GENERAL!Q51=GENERAL!$AI$2,GENERAL!$AI$2,CONCATENATE(OBSERVACIONES!P50,"
ESTADO DE POSTVENTAS:  ",GENERAL!Q51))</f>
        <v>OK
ESTADO DE POSTVENTAS:  POSTVENTA CORREGIDA</v>
      </c>
      <c r="Q50" s="70" t="str">
        <f>+IF(GENERAL!R51=GENERAL!$AI$2,GENERAL!$AI$2,CONCATENATE(OBSERVACIONES!Q50,"
ESTADO DE POSTVENTAS:  ",GENERAL!R51))</f>
        <v>OK
ESTADO DE POSTVENTAS:  POSTVENTA CORREGIDA</v>
      </c>
      <c r="R50" s="51" t="str">
        <f>+IF(GENERAL!S51=GENERAL!$AI$2,GENERAL!$AI$2,CONCATENATE(OBSERVACIONES!R50,"
ESTADO DE POSTVENTAS:  ",GENERAL!S51))</f>
        <v>OK
ESTADO DE POSTVENTAS:  POSTVENTA CORREGIDA</v>
      </c>
      <c r="S50" s="51" t="str">
        <f>+IF(GENERAL!T51=GENERAL!$AI$2,GENERAL!$AI$2,CONCATENATE(OBSERVACIONES!S50,"
ESTADO DE POSTVENTAS:  ",GENERAL!T51))</f>
        <v>OK
ESTADO DE POSTVENTAS:  POSTVENTA CORREGIDA</v>
      </c>
      <c r="T50" s="51" t="str">
        <f>+IF(GENERAL!U51=GENERAL!$AI$2,GENERAL!$AI$2,CONCATENATE(OBSERVACIONES!T50,"
ESTADO DE POSTVENTAS:  ",GENERAL!U51))</f>
        <v>OK
ESTADO DE POSTVENTAS:  POSTVENTA CORREGIDA</v>
      </c>
      <c r="U50" s="51" t="str">
        <f>+IF(GENERAL!V51=GENERAL!$AI$2,GENERAL!$AI$2,CONCATENATE(OBSERVACIONES!U50,"
ESTADO DE POSTVENTAS:  ",GENERAL!V51))</f>
        <v>OK
ESTADO DE POSTVENTAS:  POSTVENTA CORREGIDA</v>
      </c>
      <c r="V50" s="51" t="str">
        <f>+IF(GENERAL!W51=GENERAL!$AI$2,GENERAL!$AI$2,CONCATENATE(OBSERVACIONES!V50,"
ESTADO DE POSTVENTAS:  ",GENERAL!W51))</f>
        <v>OK
ESTADO DE POSTVENTAS:  POSTVENTA CORREGIDA</v>
      </c>
      <c r="W50" s="51" t="str">
        <f>+IF(GENERAL!V51=GENERAL!$AI$2,GENERAL!$AI$2,CONCATENATE(OBSERVACIONES!W50,"
ESTADO DE POSTVENTAS:  ",GENERAL!V51))</f>
        <v>OK
ESTADO DE POSTVENTAS:  POSTVENTA CORREGIDA</v>
      </c>
      <c r="X50" s="51" t="str">
        <f>+IF(GENERAL!W51=GENERAL!$AI$2,GENERAL!$AI$2,CONCATENATE(OBSERVACIONES!X50,"
ESTADO DE POSTVENTAS:  ",GENERAL!W51))</f>
        <v>OK
ESTADO DE POSTVENTAS:  POSTVENTA CORREGIDA</v>
      </c>
      <c r="Y50" s="51" t="str">
        <f>+IF(GENERAL!Z51=GENERAL!$AI$2,GENERAL!$AI$2,CONCATENATE(OBSERVACIONES!Y50,"
ESTADO DE POSTVENTAS:  ",GENERAL!Z51))</f>
        <v>OK
ESTADO DE POSTVENTAS:  POSTVENTA CORREGIDA</v>
      </c>
      <c r="Z50" s="51" t="str">
        <f>+IF(GENERAL!AA51=GENERAL!$AI$2,GENERAL!$AI$2,CONCATENATE(OBSERVACIONES!Z50,"
ESTADO DE POSTVENTAS:  ",GENERAL!AA51))</f>
        <v>OK
ESTADO DE POSTVENTAS:  POSTVENTA CORREGIDA</v>
      </c>
      <c r="AA50" s="51" t="str">
        <f>+IF(GENERAL!AB51=GENERAL!$AI$2,GENERAL!$AI$2,CONCATENATE(OBSERVACIONES!AA50,"
ESTADO DE POSTVENTAS:  ",GENERAL!AB51))</f>
        <v>OK
ESTADO DE POSTVENTAS:  POSTVENTA CORREGIDA</v>
      </c>
      <c r="AB50" s="51" t="str">
        <f>+IF(GENERAL!AC51=GENERAL!$AI$2,GENERAL!$AI$2,CONCATENATE(OBSERVACIONES!AB50,"
ESTADO DE POSTVENTAS:  ",GENERAL!AC51))</f>
        <v>OK
ESTADO DE POSTVENTAS:  POSTVENTA CORREGIDA</v>
      </c>
      <c r="AC50" s="51" t="str">
        <f>+IF(GENERAL!AD51=GENERAL!$AI$2,GENERAL!$AI$2,CONCATENATE(OBSERVACIONES!AC50,"
ESTADO DE POSTVENTAS:  ",GENERAL!AD51))</f>
        <v>OK
ESTADO DE POSTVENTAS:  POSTVENTA CORREGIDA</v>
      </c>
      <c r="AD50" s="51" t="str">
        <f>+IF(GENERAL!AE51=GENERAL!$AI$2,GENERAL!$AI$2,CONCATENATE(OBSERVACIONES!AD50,"
ESTADO DE POSTVENTAS:  ",GENERAL!AE51))</f>
        <v>OK
ESTADO DE POSTVENTAS:  POSTVENTA CORREGIDA</v>
      </c>
      <c r="AE50" s="51" t="str">
        <f>+IF(GENERAL!AF51=GENERAL!$AI$2,GENERAL!$AI$2,CONCATENATE(OBSERVACIONES!AE50,"
ESTADO DE POSTVENTAS:  ",GENERAL!AF51))</f>
        <v>OK
ESTADO DE POSTVENTAS:  POSTVENTA CORREGIDA</v>
      </c>
      <c r="AF50" s="51" t="str">
        <f>+IF(GENERAL!AG51=GENERAL!$AI$2,GENERAL!$AI$2,CONCATENATE(OBSERVACIONES!AF50,"
ESTADO DE POSTVENTAS:  ",GENERAL!AG51))</f>
        <v>OK
ESTADO DE POSTVENTAS:  POSTVENTA CORREGIDA</v>
      </c>
      <c r="AG50" s="51" t="str">
        <f>+IF(GENERAL!AH51=GENERAL!$AI$2,GENERAL!$AI$2,CONCATENATE(OBSERVACIONES!AG50,"
ESTADO DE POSTVENTAS:  ",GENERAL!AH51))</f>
        <v>OK
ESTADO DE POSTVENTAS:  POSTVENTA CORREGIDA</v>
      </c>
      <c r="AH50" s="51" t="str">
        <f>+IF(GENERAL!AI51=GENERAL!$AI$2,GENERAL!$AI$2,CONCATENATE(OBSERVACIONES!AH50,"
ESTADO DE POSTVENTAS:  ",GENERAL!AI51))</f>
        <v>OK
ESTADO DE POSTVENTAS:  POSTVENTA CORREGIDA</v>
      </c>
      <c r="AI50" s="51" t="str">
        <f>+IF(GENERAL!AG51=GENERAL!$AI$2,GENERAL!$AI$2,CONCATENATE(OBSERVACIONES!AF50,"
ESTADO DE POSTVENTAS:  ",GENERAL!AG51))</f>
        <v>OK
ESTADO DE POSTVENTAS:  POSTVENTA CORREGIDA</v>
      </c>
      <c r="AJ50" s="51" t="str">
        <f>+IF(GENERAL!AI51=GENERAL!$AI$2,GENERAL!$AI$2,CONCATENATE(OBSERVACIONES!AH50,"
ESTADO DE POSTVENTAS:  ",GENERAL!AI51))</f>
        <v>OK
ESTADO DE POSTVENTAS:  POSTVENTA CORREGIDA</v>
      </c>
      <c r="AK50" s="51" t="str">
        <f>+IF(GENERAL!AJ51=GENERAL!$AI$2,GENERAL!$AI$2,CONCATENATE(OBSERVACIONES!AI50,"
ESTADO DE POSTVENTAS:  ",GENERAL!AJ51))</f>
        <v>OK
ESTADO DE POSTVENTAS:  POSTVENTA CORREGIDA</v>
      </c>
      <c r="AL50" s="51" t="str">
        <f>+IF(GENERAL!AK51=GENERAL!$AI$2,GENERAL!$AI$2,CONCATENATE(OBSERVACIONES!AJ50,"
ESTADO DE POSTVENTAS:  ",GENERAL!AK51))</f>
        <v>OK
ESTADO DE POSTVENTAS:  POSTVENTA CORREGIDA</v>
      </c>
      <c r="AM50" s="51" t="str">
        <f>+IF(GENERAL!AN51=GENERAL!$AI$2,GENERAL!$AI$2,CONCATENATE(OBSERVACIONES!AM50,"
ESTADO DE POSTVENTAS:  ",GENERAL!AN51))</f>
        <v>OK
ESTADO DE POSTVENTAS:  POSTVENTA CORREGIDA</v>
      </c>
      <c r="AN50" s="37">
        <v>1</v>
      </c>
      <c r="AO50" s="37">
        <v>10</v>
      </c>
      <c r="AP50" s="37">
        <v>3</v>
      </c>
      <c r="AQ50" s="37">
        <v>1</v>
      </c>
      <c r="AR50" s="43">
        <v>13</v>
      </c>
      <c r="AS50" s="40">
        <v>12</v>
      </c>
      <c r="AT50" s="37">
        <f>COUNTIFS($D$5:$AM$5,"&lt;&gt;"&amp;CODICIONALES!$A$1,$D$5:$AM$5,"&lt;&gt;"&amp;CODICIONALES!$A$2,$D$5:$AM$5,"&lt;&gt;"&amp;CODICIONALES!$B$2,$D$5:$AM$5,"&lt;&gt;"&amp;CODICIONALES!$C$2)</f>
        <v>6</v>
      </c>
      <c r="AU50" s="43">
        <f>COUNTIFS(D50:AM50,CODICIONALES!$A$2)</f>
        <v>34</v>
      </c>
      <c r="AV50" s="40">
        <f t="shared" si="0"/>
        <v>-4</v>
      </c>
    </row>
    <row r="51" spans="1:48" ht="51" customHeight="1" x14ac:dyDescent="0.25">
      <c r="A51" s="110"/>
      <c r="B51" s="2">
        <v>47</v>
      </c>
      <c r="C51" s="21" t="s">
        <v>45</v>
      </c>
      <c r="D51" s="51" t="str">
        <f>+IF(GENERAL!E52=GENERAL!$AI$2,GENERAL!$AI$2,CONCATENATE(OBSERVACIONES!D51,"
ESTADO DE POSTVENTAS:  ",GENERAL!E52))</f>
        <v>NO ENTREGADO
ESTADO DE POSTVENTAS:  TIENE POSTVENTA</v>
      </c>
      <c r="E51" s="51" t="str">
        <f>+IF(GENERAL!F52=GENERAL!$AI$2,GENERAL!$AI$2,CONCATENATE(OBSERVACIONES!E51,"
ESTADO DE POSTVENTAS:  ",GENERAL!F52))</f>
        <v>OK
ESTADO DE POSTVENTAS:  POSTVENTA CORREGIDA</v>
      </c>
      <c r="F51" s="51" t="str">
        <f>+IF(GENERAL!G52=GENERAL!$AI$2,GENERAL!$AI$2,CONCATENATE(OBSERVACIONES!F51,"
ESTADO DE POSTVENTAS:  ",GENERAL!G52))</f>
        <v>OK
ESTADO DE POSTVENTAS:  POSTVENTA CORREGIDA</v>
      </c>
      <c r="G51" s="51" t="str">
        <f>+IF(GENERAL!H52=GENERAL!$AI$2,GENERAL!$AI$2,CONCATENATE(OBSERVACIONES!G51,"
ESTADO DE POSTVENTAS:  ",GENERAL!H52))</f>
        <v>NO ENTREGADO
ESTADO DE POSTVENTAS:  TIENE POSTVENTA</v>
      </c>
      <c r="H51" s="51" t="str">
        <f>+IF(GENERAL!I52=GENERAL!$AI$2,GENERAL!$AI$2,CONCATENATE(OBSERVACIONES!H51,"
ESTADO DE POSTVENTAS:  ",GENERAL!I52))</f>
        <v>OK
ESTADO DE POSTVENTAS:  POSTVENTA CORREGIDA</v>
      </c>
      <c r="I51" s="51" t="str">
        <f>+IF(GENERAL!J52=GENERAL!$AI$2,GENERAL!$AI$2,CONCATENATE(OBSERVACIONES!I51,"
ESTADO DE POSTVENTAS:  ",GENERAL!J52))</f>
        <v>OK
ESTADO DE POSTVENTAS:  POSTVENTA CORREGIDA</v>
      </c>
      <c r="J51" s="51" t="str">
        <f>+IF(GENERAL!K52=GENERAL!$AI$2,GENERAL!$AI$2,CONCATENATE(OBSERVACIONES!J51,"
ESTADO DE POSTVENTAS:  ",GENERAL!K52))</f>
        <v>OK
ESTADO DE POSTVENTAS:  POSTVENTA CORREGIDA</v>
      </c>
      <c r="K51" s="51" t="str">
        <f>+IF(GENERAL!L52=GENERAL!$AI$2,GENERAL!$AI$2,CONCATENATE(OBSERVACIONES!K51,"
ESTADO DE POSTVENTAS:  ",GENERAL!L52))</f>
        <v>OK
ESTADO DE POSTVENTAS:  POSTVENTA CORREGIDA</v>
      </c>
      <c r="L51" s="51" t="str">
        <f>+IF(GENERAL!M52=GENERAL!$AI$2,GENERAL!$AI$2,CONCATENATE(OBSERVACIONES!L51,"
ESTADO DE POSTVENTAS:  ",GENERAL!M52))</f>
        <v>OK
ESTADO DE POSTVENTAS:  POSTVENTA CORREGIDA</v>
      </c>
      <c r="M51" s="70" t="str">
        <f>+IF(GENERAL!N52=GENERAL!$AI$2,GENERAL!$AI$2,CONCATENATE(OBSERVACIONES!M51,"
ESTADO DE POSTVENTAS:  ",GENERAL!N52))</f>
        <v>OK
ESTADO DE POSTVENTAS:  POSTVENTA CORREGIDA</v>
      </c>
      <c r="N51" s="51" t="str">
        <f>+IF(GENERAL!O52=GENERAL!$AI$2,GENERAL!$AI$2,CONCATENATE(OBSERVACIONES!N51,"
ESTADO DE POSTVENTAS:  ",GENERAL!O52))</f>
        <v>OK
ESTADO DE POSTVENTAS:  POSTVENTA CORREGIDA</v>
      </c>
      <c r="O51" s="70" t="str">
        <f>+IF(GENERAL!P52=GENERAL!$AI$2,GENERAL!$AI$2,CONCATENATE(OBSERVACIONES!O51,"
ESTADO DE POSTVENTAS:  ",GENERAL!P52))</f>
        <v>OK
ESTADO DE POSTVENTAS:  POSTVENTA CORREGIDA</v>
      </c>
      <c r="P51" s="70" t="str">
        <f>+IF(GENERAL!Q52=GENERAL!$AI$2,GENERAL!$AI$2,CONCATENATE(OBSERVACIONES!P51,"
ESTADO DE POSTVENTAS:  ",GENERAL!Q52))</f>
        <v>OK
ESTADO DE POSTVENTAS:  POSTVENTA CORREGIDA</v>
      </c>
      <c r="Q51" s="70" t="str">
        <f>+IF(GENERAL!R52=GENERAL!$AI$2,GENERAL!$AI$2,CONCATENATE(OBSERVACIONES!Q51,"
ESTADO DE POSTVENTAS:  ",GENERAL!R52))</f>
        <v>OK
ESTADO DE POSTVENTAS:  POSTVENTA CORREGIDA</v>
      </c>
      <c r="R51" s="51" t="str">
        <f>+IF(GENERAL!S52=GENERAL!$AI$2,GENERAL!$AI$2,CONCATENATE(OBSERVACIONES!R51,"
ESTADO DE POSTVENTAS:  ",GENERAL!S52))</f>
        <v>OK
ESTADO DE POSTVENTAS:  POSTVENTA CORREGIDA</v>
      </c>
      <c r="S51" s="70" t="str">
        <f>+IF(GENERAL!T52=GENERAL!$AI$2,GENERAL!$AI$2,CONCATENATE(OBSERVACIONES!S51,"
ESTADO DE POSTVENTAS:  ",GENERAL!T52))</f>
        <v>OK
ESTADO DE POSTVENTAS:  POSTVENTA CORREGIDA</v>
      </c>
      <c r="T51" s="51" t="str">
        <f>+IF(GENERAL!U52=GENERAL!$AI$2,GENERAL!$AI$2,CONCATENATE(OBSERVACIONES!T51,"
ESTADO DE POSTVENTAS:  ",GENERAL!U52))</f>
        <v>OK
ESTADO DE POSTVENTAS:  POSTVENTA CORREGIDA</v>
      </c>
      <c r="U51" s="51" t="str">
        <f>+IF(GENERAL!V52=GENERAL!$AI$2,GENERAL!$AI$2,CONCATENATE(OBSERVACIONES!U51,"
ESTADO DE POSTVENTAS:  ",GENERAL!V52))</f>
        <v>OK
ESTADO DE POSTVENTAS:  POSTVENTA CORREGIDA</v>
      </c>
      <c r="V51" s="51" t="str">
        <f>+IF(GENERAL!W52=GENERAL!$AI$2,GENERAL!$AI$2,CONCATENATE(OBSERVACIONES!V51,"
ESTADO DE POSTVENTAS:  ",GENERAL!W52))</f>
        <v>OK
ESTADO DE POSTVENTAS:  POSTVENTA CORREGIDA</v>
      </c>
      <c r="W51" s="51" t="str">
        <f>+IF(GENERAL!V52=GENERAL!$AI$2,GENERAL!$AI$2,CONCATENATE(OBSERVACIONES!W51,"
ESTADO DE POSTVENTAS:  ",GENERAL!V52))</f>
        <v>OK
ESTADO DE POSTVENTAS:  POSTVENTA CORREGIDA</v>
      </c>
      <c r="X51" s="51" t="str">
        <f>+IF(GENERAL!W52=GENERAL!$AI$2,GENERAL!$AI$2,CONCATENATE(OBSERVACIONES!X51,"
ESTADO DE POSTVENTAS:  ",GENERAL!W52))</f>
        <v>OK
ESTADO DE POSTVENTAS:  POSTVENTA CORREGIDA</v>
      </c>
      <c r="Y51" s="51" t="str">
        <f>+IF(GENERAL!Z52=GENERAL!$AI$2,GENERAL!$AI$2,CONCATENATE(OBSERVACIONES!Y51,"
ESTADO DE POSTVENTAS:  ",GENERAL!Z52))</f>
        <v>OK
ESTADO DE POSTVENTAS:  POSTVENTA CORREGIDA</v>
      </c>
      <c r="Z51" s="51" t="str">
        <f>+IF(GENERAL!AA52=GENERAL!$AI$2,GENERAL!$AI$2,CONCATENATE(OBSERVACIONES!Z51,"
ESTADO DE POSTVENTAS:  ",GENERAL!AA52))</f>
        <v>OK
ESTADO DE POSTVENTAS:  POSTVENTA CORREGIDA</v>
      </c>
      <c r="AA51" s="51" t="str">
        <f>+IF(GENERAL!AB52=GENERAL!$AI$2,GENERAL!$AI$2,CONCATENATE(OBSERVACIONES!AA51,"
ESTADO DE POSTVENTAS:  ",GENERAL!AB52))</f>
        <v>OK
ESTADO DE POSTVENTAS:  POSTVENTA CORREGIDA</v>
      </c>
      <c r="AB51" s="51" t="str">
        <f>+IF(GENERAL!AC52=GENERAL!$AI$2,GENERAL!$AI$2,CONCATENATE(OBSERVACIONES!AB51,"
ESTADO DE POSTVENTAS:  ",GENERAL!AC52))</f>
        <v>OK
ESTADO DE POSTVENTAS:  POSTVENTA CORREGIDA</v>
      </c>
      <c r="AC51" s="51" t="str">
        <f>+IF(GENERAL!AD52=GENERAL!$AI$2,GENERAL!$AI$2,CONCATENATE(OBSERVACIONES!AC51,"
ESTADO DE POSTVENTAS:  ",GENERAL!AD52))</f>
        <v>OK
ESTADO DE POSTVENTAS:  POSTVENTA CORREGIDA</v>
      </c>
      <c r="AD51" s="51" t="str">
        <f>+IF(GENERAL!AE52=GENERAL!$AI$2,GENERAL!$AI$2,CONCATENATE(OBSERVACIONES!AD51,"
ESTADO DE POSTVENTAS:  ",GENERAL!AE52))</f>
        <v>OK
ESTADO DE POSTVENTAS:  POSTVENTA CORREGIDA</v>
      </c>
      <c r="AE51" s="51" t="str">
        <f>+IF(GENERAL!AF52=GENERAL!$AI$2,GENERAL!$AI$2,CONCATENATE(OBSERVACIONES!AE51,"
ESTADO DE POSTVENTAS:  ",GENERAL!AF52))</f>
        <v>OK
ESTADO DE POSTVENTAS:  POSTVENTA CORREGIDA</v>
      </c>
      <c r="AF51" s="51" t="str">
        <f>+IF(GENERAL!AG52=GENERAL!$AI$2,GENERAL!$AI$2,CONCATENATE(OBSERVACIONES!AF51,"
ESTADO DE POSTVENTAS:  ",GENERAL!AG52))</f>
        <v>OK
ESTADO DE POSTVENTAS:  POSTVENTA CORREGIDA</v>
      </c>
      <c r="AG51" s="51" t="str">
        <f>+IF(GENERAL!AH52=GENERAL!$AI$2,GENERAL!$AI$2,CONCATENATE(OBSERVACIONES!AG51,"
ESTADO DE POSTVENTAS:  ",GENERAL!AH52))</f>
        <v>OK
ESTADO DE POSTVENTAS:  POSTVENTA CORREGIDA</v>
      </c>
      <c r="AH51" s="51" t="str">
        <f>+IF(GENERAL!AI52=GENERAL!$AI$2,GENERAL!$AI$2,CONCATENATE(OBSERVACIONES!AH51,"
ESTADO DE POSTVENTAS:  ",GENERAL!AI52))</f>
        <v>OK
ESTADO DE POSTVENTAS:  POSTVENTA CORREGIDA</v>
      </c>
      <c r="AI51" s="51" t="str">
        <f>+IF(GENERAL!AG52=GENERAL!$AI$2,GENERAL!$AI$2,CONCATENATE(OBSERVACIONES!AF51,"
ESTADO DE POSTVENTAS:  ",GENERAL!AG52))</f>
        <v>OK
ESTADO DE POSTVENTAS:  POSTVENTA CORREGIDA</v>
      </c>
      <c r="AJ51" s="51" t="str">
        <f>+IF(GENERAL!AI52=GENERAL!$AI$2,GENERAL!$AI$2,CONCATENATE(OBSERVACIONES!AH51,"
ESTADO DE POSTVENTAS:  ",GENERAL!AI52))</f>
        <v>OK
ESTADO DE POSTVENTAS:  POSTVENTA CORREGIDA</v>
      </c>
      <c r="AK51" s="51" t="str">
        <f>+IF(GENERAL!AJ52=GENERAL!$AI$2,GENERAL!$AI$2,CONCATENATE(OBSERVACIONES!AI51,"
ESTADO DE POSTVENTAS:  ",GENERAL!AJ52))</f>
        <v>OK
ESTADO DE POSTVENTAS:  POSTVENTA CORREGIDA</v>
      </c>
      <c r="AL51" s="51" t="str">
        <f>+IF(GENERAL!AK52=GENERAL!$AI$2,GENERAL!$AI$2,CONCATENATE(OBSERVACIONES!AJ51,"
ESTADO DE POSTVENTAS:  ",GENERAL!AK52))</f>
        <v>OK
ESTADO DE POSTVENTAS:  POSTVENTA CORREGIDA</v>
      </c>
      <c r="AM51" s="51" t="str">
        <f>+IF(GENERAL!AN52=GENERAL!$AI$2,GENERAL!$AI$2,CONCATENATE(OBSERVACIONES!AM51,"
ESTADO DE POSTVENTAS:  ",GENERAL!AN52))</f>
        <v>OK
ESTADO DE POSTVENTAS:  POSTVENTA CORREGIDA</v>
      </c>
      <c r="AN51" s="37">
        <v>2</v>
      </c>
      <c r="AO51" s="37">
        <v>9</v>
      </c>
      <c r="AP51" s="37">
        <v>3</v>
      </c>
      <c r="AQ51" s="37">
        <v>0</v>
      </c>
      <c r="AR51" s="43">
        <v>14</v>
      </c>
      <c r="AS51" s="40">
        <v>12</v>
      </c>
      <c r="AT51" s="37">
        <f>COUNTIFS($D$5:$AM$5,"&lt;&gt;"&amp;CODICIONALES!$A$1,$D$5:$AM$5,"&lt;&gt;"&amp;CODICIONALES!$A$2,$D$5:$AM$5,"&lt;&gt;"&amp;CODICIONALES!$B$2,$D$5:$AM$5,"&lt;&gt;"&amp;CODICIONALES!$C$2)</f>
        <v>6</v>
      </c>
      <c r="AU51" s="43">
        <f>COUNTIFS(D51:AM51,CODICIONALES!$A$2)</f>
        <v>34</v>
      </c>
      <c r="AV51" s="40">
        <f t="shared" si="0"/>
        <v>-4</v>
      </c>
    </row>
    <row r="52" spans="1:48" ht="51" customHeight="1" x14ac:dyDescent="0.25">
      <c r="A52" s="110"/>
      <c r="B52" s="2">
        <v>48</v>
      </c>
      <c r="C52" s="21" t="s">
        <v>47</v>
      </c>
      <c r="D52" s="51" t="str">
        <f>+IF(GENERAL!E53=GENERAL!$AI$2,GENERAL!$AI$2,CONCATENATE(OBSERVACIONES!D52,"
ESTADO DE POSTVENTAS:  ",GENERAL!E53))</f>
        <v>NO ENTREGADO
ESTADO DE POSTVENTAS:  TIENE POSTVENTA</v>
      </c>
      <c r="E52" s="51" t="str">
        <f>+IF(GENERAL!F53=GENERAL!$AI$2,GENERAL!$AI$2,CONCATENATE(OBSERVACIONES!E52,"
ESTADO DE POSTVENTAS:  ",GENERAL!F53))</f>
        <v>OK
ESTADO DE POSTVENTAS:  POSTVENTA CORREGIDA</v>
      </c>
      <c r="F52" s="51" t="str">
        <f>+IF(GENERAL!G53=GENERAL!$AI$2,GENERAL!$AI$2,CONCATENATE(OBSERVACIONES!F52,"
ESTADO DE POSTVENTAS:  ",GENERAL!G53))</f>
        <v>OK
ESTADO DE POSTVENTAS:  POSTVENTA CORREGIDA</v>
      </c>
      <c r="G52" s="51" t="str">
        <f>+IF(GENERAL!H53=GENERAL!$AI$2,GENERAL!$AI$2,CONCATENATE(OBSERVACIONES!G52,"
ESTADO DE POSTVENTAS:  ",GENERAL!H53))</f>
        <v>NO ENTREGADO
ESTADO DE POSTVENTAS:  TIENE POSTVENTA</v>
      </c>
      <c r="H52" s="51" t="str">
        <f>+IF(GENERAL!I53=GENERAL!$AI$2,GENERAL!$AI$2,CONCATENATE(OBSERVACIONES!H52,"
ESTADO DE POSTVENTAS:  ",GENERAL!I53))</f>
        <v>OK
ESTADO DE POSTVENTAS:  POSTVENTA CORREGIDA</v>
      </c>
      <c r="I52" s="51" t="str">
        <f>+IF(GENERAL!J53=GENERAL!$AI$2,GENERAL!$AI$2,CONCATENATE(OBSERVACIONES!I52,"
ESTADO DE POSTVENTAS:  ",GENERAL!J53))</f>
        <v>OK
ESTADO DE POSTVENTAS:  POSTVENTA CORREGIDA</v>
      </c>
      <c r="J52" s="51" t="str">
        <f>+IF(GENERAL!K53=GENERAL!$AI$2,GENERAL!$AI$2,CONCATENATE(OBSERVACIONES!J52,"
ESTADO DE POSTVENTAS:  ",GENERAL!K53))</f>
        <v>OK
ESTADO DE POSTVENTAS:  POSTVENTA CORREGIDA</v>
      </c>
      <c r="K52" s="51" t="str">
        <f>+IF(GENERAL!L53=GENERAL!$AI$2,GENERAL!$AI$2,CONCATENATE(OBSERVACIONES!K52,"
ESTADO DE POSTVENTAS:  ",GENERAL!L53))</f>
        <v>OK
ESTADO DE POSTVENTAS:  POSTVENTA CORREGIDA</v>
      </c>
      <c r="L52" s="51" t="str">
        <f>+IF(GENERAL!M53=GENERAL!$AI$2,GENERAL!$AI$2,CONCATENATE(OBSERVACIONES!L52,"
ESTADO DE POSTVENTAS:  ",GENERAL!M53))</f>
        <v>OK
ESTADO DE POSTVENTAS:  POSTVENTA CORREGIDA</v>
      </c>
      <c r="M52" s="70" t="str">
        <f>+IF(GENERAL!N53=GENERAL!$AI$2,GENERAL!$AI$2,CONCATENATE(OBSERVACIONES!M52,"
ESTADO DE POSTVENTAS:  ",GENERAL!N53))</f>
        <v>OK
ESTADO DE POSTVENTAS:  POSTVENTA CORREGIDA</v>
      </c>
      <c r="N52" s="51" t="str">
        <f>+IF(GENERAL!O53=GENERAL!$AI$2,GENERAL!$AI$2,CONCATENATE(OBSERVACIONES!N52,"
ESTADO DE POSTVENTAS:  ",GENERAL!O53))</f>
        <v>OK
ESTADO DE POSTVENTAS:  POSTVENTA CORREGIDA</v>
      </c>
      <c r="O52" s="51" t="str">
        <f>+IF(GENERAL!P53=GENERAL!$AI$2,GENERAL!$AI$2,CONCATENATE(OBSERVACIONES!O52,"
ESTADO DE POSTVENTAS:  ",GENERAL!P53))</f>
        <v>OK
ESTADO DE POSTVENTAS:  POSTVENTA CORREGIDA</v>
      </c>
      <c r="P52" s="70" t="str">
        <f>+IF(GENERAL!Q53=GENERAL!$AI$2,GENERAL!$AI$2,CONCATENATE(OBSERVACIONES!P52,"
ESTADO DE POSTVENTAS:  ",GENERAL!Q53))</f>
        <v>OK
ESTADO DE POSTVENTAS:  POSTVENTA CORREGIDA</v>
      </c>
      <c r="Q52" s="70" t="str">
        <f>+IF(GENERAL!R53=GENERAL!$AI$2,GENERAL!$AI$2,CONCATENATE(OBSERVACIONES!Q52,"
ESTADO DE POSTVENTAS:  ",GENERAL!R53))</f>
        <v>OK
ESTADO DE POSTVENTAS:  POSTVENTA CORREGIDA</v>
      </c>
      <c r="R52" s="51" t="str">
        <f>+IF(GENERAL!S53=GENERAL!$AI$2,GENERAL!$AI$2,CONCATENATE(OBSERVACIONES!R52,"
ESTADO DE POSTVENTAS:  ",GENERAL!S53))</f>
        <v>OK
ESTADO DE POSTVENTAS:  POSTVENTA CORREGIDA</v>
      </c>
      <c r="S52" s="51" t="str">
        <f>+IF(GENERAL!T53=GENERAL!$AI$2,GENERAL!$AI$2,CONCATENATE(OBSERVACIONES!S52,"
ESTADO DE POSTVENTAS:  ",GENERAL!T53))</f>
        <v>OK
ESTADO DE POSTVENTAS:  POSTVENTA CORREGIDA</v>
      </c>
      <c r="T52" s="51" t="str">
        <f>+IF(GENERAL!U53=GENERAL!$AI$2,GENERAL!$AI$2,CONCATENATE(OBSERVACIONES!T52,"
ESTADO DE POSTVENTAS:  ",GENERAL!U53))</f>
        <v>OK
ESTADO DE POSTVENTAS:  POSTVENTA CORREGIDA</v>
      </c>
      <c r="U52" s="51" t="str">
        <f>+IF(GENERAL!V53=GENERAL!$AI$2,GENERAL!$AI$2,CONCATENATE(OBSERVACIONES!U52,"
ESTADO DE POSTVENTAS:  ",GENERAL!V53))</f>
        <v>OK
ESTADO DE POSTVENTAS:  POSTVENTA CORREGIDA</v>
      </c>
      <c r="V52" s="51" t="str">
        <f>+IF(GENERAL!W53=GENERAL!$AI$2,GENERAL!$AI$2,CONCATENATE(OBSERVACIONES!V52,"
ESTADO DE POSTVENTAS:  ",GENERAL!W53))</f>
        <v>OK
ESTADO DE POSTVENTAS:  POSTVENTA CORREGIDA</v>
      </c>
      <c r="W52" s="51" t="str">
        <f>+IF(GENERAL!V53=GENERAL!$AI$2,GENERAL!$AI$2,CONCATENATE(OBSERVACIONES!W52,"
ESTADO DE POSTVENTAS:  ",GENERAL!V53))</f>
        <v>OK
ESTADO DE POSTVENTAS:  POSTVENTA CORREGIDA</v>
      </c>
      <c r="X52" s="51" t="str">
        <f>+IF(GENERAL!W53=GENERAL!$AI$2,GENERAL!$AI$2,CONCATENATE(OBSERVACIONES!X52,"
ESTADO DE POSTVENTAS:  ",GENERAL!W53))</f>
        <v>OK
ESTADO DE POSTVENTAS:  POSTVENTA CORREGIDA</v>
      </c>
      <c r="Y52" s="51" t="str">
        <f>+IF(GENERAL!Z53=GENERAL!$AI$2,GENERAL!$AI$2,CONCATENATE(OBSERVACIONES!Y52,"
ESTADO DE POSTVENTAS:  ",GENERAL!Z53))</f>
        <v>OK
ESTADO DE POSTVENTAS:  POSTVENTA CORREGIDA</v>
      </c>
      <c r="Z52" s="51" t="str">
        <f>+IF(GENERAL!AA53=GENERAL!$AI$2,GENERAL!$AI$2,CONCATENATE(OBSERVACIONES!Z52,"
ESTADO DE POSTVENTAS:  ",GENERAL!AA53))</f>
        <v>OK
ESTADO DE POSTVENTAS:  POSTVENTA CORREGIDA</v>
      </c>
      <c r="AA52" s="51" t="str">
        <f>+IF(GENERAL!AB53=GENERAL!$AI$2,GENERAL!$AI$2,CONCATENATE(OBSERVACIONES!AA52,"
ESTADO DE POSTVENTAS:  ",GENERAL!AB53))</f>
        <v>OK
ESTADO DE POSTVENTAS:  POSTVENTA CORREGIDA</v>
      </c>
      <c r="AB52" s="51" t="str">
        <f>+IF(GENERAL!AC53=GENERAL!$AI$2,GENERAL!$AI$2,CONCATENATE(OBSERVACIONES!AB52,"
ESTADO DE POSTVENTAS:  ",GENERAL!AC53))</f>
        <v>OK
ESTADO DE POSTVENTAS:  POSTVENTA CORREGIDA</v>
      </c>
      <c r="AC52" s="51" t="str">
        <f>+IF(GENERAL!AD53=GENERAL!$AI$2,GENERAL!$AI$2,CONCATENATE(OBSERVACIONES!AC52,"
ESTADO DE POSTVENTAS:  ",GENERAL!AD53))</f>
        <v>OK
ESTADO DE POSTVENTAS:  POSTVENTA CORREGIDA</v>
      </c>
      <c r="AD52" s="51" t="str">
        <f>+IF(GENERAL!AE53=GENERAL!$AI$2,GENERAL!$AI$2,CONCATENATE(OBSERVACIONES!AD52,"
ESTADO DE POSTVENTAS:  ",GENERAL!AE53))</f>
        <v>OK
ESTADO DE POSTVENTAS:  POSTVENTA CORREGIDA</v>
      </c>
      <c r="AE52" s="51" t="str">
        <f>+IF(GENERAL!AF53=GENERAL!$AI$2,GENERAL!$AI$2,CONCATENATE(OBSERVACIONES!AE52,"
ESTADO DE POSTVENTAS:  ",GENERAL!AF53))</f>
        <v>OK
ESTADO DE POSTVENTAS:  POSTVENTA CORREGIDA</v>
      </c>
      <c r="AF52" s="51" t="str">
        <f>+IF(GENERAL!AG53=GENERAL!$AI$2,GENERAL!$AI$2,CONCATENATE(OBSERVACIONES!AF52,"
ESTADO DE POSTVENTAS:  ",GENERAL!AG53))</f>
        <v>OK
ESTADO DE POSTVENTAS:  POSTVENTA CORREGIDA</v>
      </c>
      <c r="AG52" s="51" t="str">
        <f>+IF(GENERAL!AH53=GENERAL!$AI$2,GENERAL!$AI$2,CONCATENATE(OBSERVACIONES!AG52,"
ESTADO DE POSTVENTAS:  ",GENERAL!AH53))</f>
        <v>OK
ESTADO DE POSTVENTAS:  POSTVENTA CORREGIDA</v>
      </c>
      <c r="AH52" s="51" t="str">
        <f>+IF(GENERAL!AI53=GENERAL!$AI$2,GENERAL!$AI$2,CONCATENATE(OBSERVACIONES!AH52,"
ESTADO DE POSTVENTAS:  ",GENERAL!AI53))</f>
        <v>OK
ESTADO DE POSTVENTAS:  POSTVENTA CORREGIDA</v>
      </c>
      <c r="AI52" s="51" t="str">
        <f>+IF(GENERAL!AG53=GENERAL!$AI$2,GENERAL!$AI$2,CONCATENATE(OBSERVACIONES!AF52,"
ESTADO DE POSTVENTAS:  ",GENERAL!AG53))</f>
        <v>OK
ESTADO DE POSTVENTAS:  POSTVENTA CORREGIDA</v>
      </c>
      <c r="AJ52" s="51" t="str">
        <f>+IF(GENERAL!AI53=GENERAL!$AI$2,GENERAL!$AI$2,CONCATENATE(OBSERVACIONES!AH52,"
ESTADO DE POSTVENTAS:  ",GENERAL!AI53))</f>
        <v>OK
ESTADO DE POSTVENTAS:  POSTVENTA CORREGIDA</v>
      </c>
      <c r="AK52" s="51" t="str">
        <f>+IF(GENERAL!AJ53=GENERAL!$AI$2,GENERAL!$AI$2,CONCATENATE(OBSERVACIONES!AI52,"
ESTADO DE POSTVENTAS:  ",GENERAL!AJ53))</f>
        <v>OK
ESTADO DE POSTVENTAS:  POSTVENTA CORREGIDA</v>
      </c>
      <c r="AL52" s="51" t="str">
        <f>+IF(GENERAL!AK53=GENERAL!$AI$2,GENERAL!$AI$2,CONCATENATE(OBSERVACIONES!AJ52,"
ESTADO DE POSTVENTAS:  ",GENERAL!AK53))</f>
        <v>OK
ESTADO DE POSTVENTAS:  POSTVENTA CORREGIDA</v>
      </c>
      <c r="AM52" s="51" t="str">
        <f>+IF(GENERAL!AN53=GENERAL!$AI$2,GENERAL!$AI$2,CONCATENATE(OBSERVACIONES!AM52,"
ESTADO DE POSTVENTAS:  ",GENERAL!AN53))</f>
        <v>OK
ESTADO DE POSTVENTAS:  POSTVENTA CORREGIDA</v>
      </c>
      <c r="AN52" s="37">
        <v>1</v>
      </c>
      <c r="AO52" s="37">
        <v>10</v>
      </c>
      <c r="AP52" s="37">
        <v>3</v>
      </c>
      <c r="AQ52" s="37">
        <v>0</v>
      </c>
      <c r="AR52" s="43">
        <v>14</v>
      </c>
      <c r="AS52" s="40">
        <v>12</v>
      </c>
      <c r="AT52" s="37">
        <f>COUNTIFS($D$5:$AM$5,"&lt;&gt;"&amp;CODICIONALES!$A$1,$D$5:$AM$5,"&lt;&gt;"&amp;CODICIONALES!$A$2,$D$5:$AM$5,"&lt;&gt;"&amp;CODICIONALES!$B$2,$D$5:$AM$5,"&lt;&gt;"&amp;CODICIONALES!$C$2)</f>
        <v>6</v>
      </c>
      <c r="AU52" s="43">
        <f>COUNTIFS(D52:AM52,CODICIONALES!$A$2)</f>
        <v>34</v>
      </c>
      <c r="AV52" s="40">
        <f t="shared" si="0"/>
        <v>-4</v>
      </c>
    </row>
    <row r="53" spans="1:48" ht="51" customHeight="1" x14ac:dyDescent="0.25">
      <c r="A53" s="110"/>
      <c r="B53" s="2">
        <v>49</v>
      </c>
      <c r="C53" s="21" t="s">
        <v>67</v>
      </c>
      <c r="D53" s="51" t="str">
        <f>+IF(GENERAL!E54=GENERAL!$AI$2,GENERAL!$AI$2,CONCATENATE(OBSERVACIONES!D53,"
ESTADO DE POSTVENTAS:  ",GENERAL!E54))</f>
        <v>NO ENTREGADO
ESTADO DE POSTVENTAS:  TIENE POSTVENTA</v>
      </c>
      <c r="E53" s="51" t="str">
        <f>+IF(GENERAL!F54=GENERAL!$AI$2,GENERAL!$AI$2,CONCATENATE(OBSERVACIONES!E53,"
ESTADO DE POSTVENTAS:  ",GENERAL!F54))</f>
        <v>OK
ESTADO DE POSTVENTAS:  POSTVENTA CORREGIDA</v>
      </c>
      <c r="F53" s="51" t="str">
        <f>+IF(GENERAL!G54=GENERAL!$AI$2,GENERAL!$AI$2,CONCATENATE(OBSERVACIONES!F53,"
ESTADO DE POSTVENTAS:  ",GENERAL!G54))</f>
        <v>OK
ESTADO DE POSTVENTAS:  POSTVENTA CORREGIDA</v>
      </c>
      <c r="G53" s="51" t="str">
        <f>+IF(GENERAL!H54=GENERAL!$AI$2,GENERAL!$AI$2,CONCATENATE(OBSERVACIONES!G53,"
ESTADO DE POSTVENTAS:  ",GENERAL!H54))</f>
        <v>NO ENTREGADO
ESTADO DE POSTVENTAS:  TIENE POSTVENTA</v>
      </c>
      <c r="H53" s="51" t="str">
        <f>+IF(GENERAL!I54=GENERAL!$AI$2,GENERAL!$AI$2,CONCATENATE(OBSERVACIONES!H53,"
ESTADO DE POSTVENTAS:  ",GENERAL!I54))</f>
        <v>OK
ESTADO DE POSTVENTAS:  POSTVENTA CORREGIDA</v>
      </c>
      <c r="I53" s="51" t="str">
        <f>+IF(GENERAL!J54=GENERAL!$AI$2,GENERAL!$AI$2,CONCATENATE(OBSERVACIONES!I53,"
ESTADO DE POSTVENTAS:  ",GENERAL!J54))</f>
        <v>OK
ESTADO DE POSTVENTAS:  POSTVENTA CORREGIDA</v>
      </c>
      <c r="J53" s="51" t="str">
        <f>+IF(GENERAL!K54=GENERAL!$AI$2,GENERAL!$AI$2,CONCATENATE(OBSERVACIONES!J53,"
ESTADO DE POSTVENTAS:  ",GENERAL!K54))</f>
        <v>OK
ESTADO DE POSTVENTAS:  POSTVENTA CORREGIDA</v>
      </c>
      <c r="K53" s="51" t="str">
        <f>+IF(GENERAL!L54=GENERAL!$AI$2,GENERAL!$AI$2,CONCATENATE(OBSERVACIONES!K53,"
ESTADO DE POSTVENTAS:  ",GENERAL!L54))</f>
        <v>OK
ESTADO DE POSTVENTAS:  POSTVENTA CORREGIDA</v>
      </c>
      <c r="L53" s="51" t="str">
        <f>+IF(GENERAL!M54=GENERAL!$AI$2,GENERAL!$AI$2,CONCATENATE(OBSERVACIONES!L53,"
ESTADO DE POSTVENTAS:  ",GENERAL!M54))</f>
        <v>OK
ESTADO DE POSTVENTAS:  POSTVENTA CORREGIDA</v>
      </c>
      <c r="M53" s="70" t="str">
        <f>+IF(GENERAL!N54=GENERAL!$AI$2,GENERAL!$AI$2,CONCATENATE(OBSERVACIONES!M53,"
ESTADO DE POSTVENTAS:  ",GENERAL!N54))</f>
        <v>OK
ESTADO DE POSTVENTAS:  POSTVENTA CORREGIDA</v>
      </c>
      <c r="N53" s="51" t="str">
        <f>+IF(GENERAL!O54=GENERAL!$AI$2,GENERAL!$AI$2,CONCATENATE(OBSERVACIONES!N53,"
ESTADO DE POSTVENTAS:  ",GENERAL!O54))</f>
        <v>OK
ESTADO DE POSTVENTAS:  POSTVENTA CORREGIDA</v>
      </c>
      <c r="O53" s="51" t="str">
        <f>+IF(GENERAL!P54=GENERAL!$AI$2,GENERAL!$AI$2,CONCATENATE(OBSERVACIONES!O53,"
ESTADO DE POSTVENTAS:  ",GENERAL!P54))</f>
        <v>OK
ESTADO DE POSTVENTAS:  POSTVENTA CORREGIDA</v>
      </c>
      <c r="P53" s="70" t="str">
        <f>+IF(GENERAL!Q54=GENERAL!$AI$2,GENERAL!$AI$2,CONCATENATE(OBSERVACIONES!P53,"
ESTADO DE POSTVENTAS:  ",GENERAL!Q54))</f>
        <v>OK
ESTADO DE POSTVENTAS:  POSTVENTA CORREGIDA</v>
      </c>
      <c r="Q53" s="70" t="str">
        <f>+IF(GENERAL!R54=GENERAL!$AI$2,GENERAL!$AI$2,CONCATENATE(OBSERVACIONES!Q53,"
ESTADO DE POSTVENTAS:  ",GENERAL!R54))</f>
        <v>OK
ESTADO DE POSTVENTAS:  POSTVENTA CORREGIDA</v>
      </c>
      <c r="R53" s="51" t="str">
        <f>+IF(GENERAL!S54=GENERAL!$AI$2,GENERAL!$AI$2,CONCATENATE(OBSERVACIONES!R53,"
ESTADO DE POSTVENTAS:  ",GENERAL!S54))</f>
        <v>OK
ESTADO DE POSTVENTAS:  POSTVENTA CORREGIDA</v>
      </c>
      <c r="S53" s="51" t="str">
        <f>+IF(GENERAL!T54=GENERAL!$AI$2,GENERAL!$AI$2,CONCATENATE(OBSERVACIONES!S53,"
ESTADO DE POSTVENTAS:  ",GENERAL!T54))</f>
        <v>OK
ESTADO DE POSTVENTAS:  POSTVENTA CORREGIDA</v>
      </c>
      <c r="T53" s="51" t="str">
        <f>+IF(GENERAL!U54=GENERAL!$AI$2,GENERAL!$AI$2,CONCATENATE(OBSERVACIONES!T53,"
ESTADO DE POSTVENTAS:  ",GENERAL!U54))</f>
        <v>OK
ESTADO DE POSTVENTAS:  POSTVENTA CORREGIDA</v>
      </c>
      <c r="U53" s="51" t="str">
        <f>+IF(GENERAL!V54=GENERAL!$AI$2,GENERAL!$AI$2,CONCATENATE(OBSERVACIONES!U53,"
ESTADO DE POSTVENTAS:  ",GENERAL!V54))</f>
        <v>OK
ESTADO DE POSTVENTAS:  POSTVENTA CORREGIDA</v>
      </c>
      <c r="V53" s="51" t="str">
        <f>+IF(GENERAL!W54=GENERAL!$AI$2,GENERAL!$AI$2,CONCATENATE(OBSERVACIONES!V53,"
ESTADO DE POSTVENTAS:  ",GENERAL!W54))</f>
        <v>OK
ESTADO DE POSTVENTAS:  POSTVENTA CORREGIDA</v>
      </c>
      <c r="W53" s="51" t="str">
        <f>+IF(GENERAL!V54=GENERAL!$AI$2,GENERAL!$AI$2,CONCATENATE(OBSERVACIONES!W53,"
ESTADO DE POSTVENTAS:  ",GENERAL!V54))</f>
        <v>OK
ESTADO DE POSTVENTAS:  POSTVENTA CORREGIDA</v>
      </c>
      <c r="X53" s="51" t="str">
        <f>+IF(GENERAL!W54=GENERAL!$AI$2,GENERAL!$AI$2,CONCATENATE(OBSERVACIONES!X53,"
ESTADO DE POSTVENTAS:  ",GENERAL!W54))</f>
        <v>OK
ESTADO DE POSTVENTAS:  POSTVENTA CORREGIDA</v>
      </c>
      <c r="Y53" s="51" t="str">
        <f>+IF(GENERAL!Z54=GENERAL!$AI$2,GENERAL!$AI$2,CONCATENATE(OBSERVACIONES!Y53,"
ESTADO DE POSTVENTAS:  ",GENERAL!Z54))</f>
        <v>OK
ESTADO DE POSTVENTAS:  POSTVENTA CORREGIDA</v>
      </c>
      <c r="Z53" s="51" t="str">
        <f>+IF(GENERAL!AA54=GENERAL!$AI$2,GENERAL!$AI$2,CONCATENATE(OBSERVACIONES!Z53,"
ESTADO DE POSTVENTAS:  ",GENERAL!AA54))</f>
        <v>OK
ESTADO DE POSTVENTAS:  POSTVENTA CORREGIDA</v>
      </c>
      <c r="AA53" s="51" t="str">
        <f>+IF(GENERAL!AB54=GENERAL!$AI$2,GENERAL!$AI$2,CONCATENATE(OBSERVACIONES!AA53,"
ESTADO DE POSTVENTAS:  ",GENERAL!AB54))</f>
        <v>OK
ESTADO DE POSTVENTAS:  POSTVENTA CORREGIDA</v>
      </c>
      <c r="AB53" s="51" t="str">
        <f>+IF(GENERAL!AC54=GENERAL!$AI$2,GENERAL!$AI$2,CONCATENATE(OBSERVACIONES!AB53,"
ESTADO DE POSTVENTAS:  ",GENERAL!AC54))</f>
        <v>OK
ESTADO DE POSTVENTAS:  POSTVENTA CORREGIDA</v>
      </c>
      <c r="AC53" s="51" t="str">
        <f>+IF(GENERAL!AD54=GENERAL!$AI$2,GENERAL!$AI$2,CONCATENATE(OBSERVACIONES!AC53,"
ESTADO DE POSTVENTAS:  ",GENERAL!AD54))</f>
        <v>OK
ESTADO DE POSTVENTAS:  POSTVENTA CORREGIDA</v>
      </c>
      <c r="AD53" s="51" t="str">
        <f>+IF(GENERAL!AE54=GENERAL!$AI$2,GENERAL!$AI$2,CONCATENATE(OBSERVACIONES!AD53,"
ESTADO DE POSTVENTAS:  ",GENERAL!AE54))</f>
        <v>OK
ESTADO DE POSTVENTAS:  POSTVENTA CORREGIDA</v>
      </c>
      <c r="AE53" s="51" t="str">
        <f>+IF(GENERAL!AF54=GENERAL!$AI$2,GENERAL!$AI$2,CONCATENATE(OBSERVACIONES!AE53,"
ESTADO DE POSTVENTAS:  ",GENERAL!AF54))</f>
        <v>OK
ESTADO DE POSTVENTAS:  POSTVENTA CORREGIDA</v>
      </c>
      <c r="AF53" s="51" t="str">
        <f>+IF(GENERAL!AG54=GENERAL!$AI$2,GENERAL!$AI$2,CONCATENATE(OBSERVACIONES!AF53,"
ESTADO DE POSTVENTAS:  ",GENERAL!AG54))</f>
        <v>OK
ESTADO DE POSTVENTAS:  POSTVENTA CORREGIDA</v>
      </c>
      <c r="AG53" s="51" t="str">
        <f>+IF(GENERAL!AH54=GENERAL!$AI$2,GENERAL!$AI$2,CONCATENATE(OBSERVACIONES!AG53,"
ESTADO DE POSTVENTAS:  ",GENERAL!AH54))</f>
        <v>OK
ESTADO DE POSTVENTAS:  POSTVENTA CORREGIDA</v>
      </c>
      <c r="AH53" s="51" t="str">
        <f>+IF(GENERAL!AI54=GENERAL!$AI$2,GENERAL!$AI$2,CONCATENATE(OBSERVACIONES!AH53,"
ESTADO DE POSTVENTAS:  ",GENERAL!AI54))</f>
        <v>OK
ESTADO DE POSTVENTAS:  POSTVENTA CORREGIDA</v>
      </c>
      <c r="AI53" s="51" t="str">
        <f>+IF(GENERAL!AG54=GENERAL!$AI$2,GENERAL!$AI$2,CONCATENATE(OBSERVACIONES!AF53,"
ESTADO DE POSTVENTAS:  ",GENERAL!AG54))</f>
        <v>OK
ESTADO DE POSTVENTAS:  POSTVENTA CORREGIDA</v>
      </c>
      <c r="AJ53" s="51" t="str">
        <f>+IF(GENERAL!AI54=GENERAL!$AI$2,GENERAL!$AI$2,CONCATENATE(OBSERVACIONES!AH53,"
ESTADO DE POSTVENTAS:  ",GENERAL!AI54))</f>
        <v>OK
ESTADO DE POSTVENTAS:  POSTVENTA CORREGIDA</v>
      </c>
      <c r="AK53" s="51" t="str">
        <f>+IF(GENERAL!AJ54=GENERAL!$AI$2,GENERAL!$AI$2,CONCATENATE(OBSERVACIONES!AI53,"
ESTADO DE POSTVENTAS:  ",GENERAL!AJ54))</f>
        <v>OK
ESTADO DE POSTVENTAS:  POSTVENTA CORREGIDA</v>
      </c>
      <c r="AL53" s="51" t="str">
        <f>+IF(GENERAL!AK54=GENERAL!$AI$2,GENERAL!$AI$2,CONCATENATE(OBSERVACIONES!AJ53,"
ESTADO DE POSTVENTAS:  ",GENERAL!AK54))</f>
        <v>OK
ESTADO DE POSTVENTAS:  POSTVENTA CORREGIDA</v>
      </c>
      <c r="AM53" s="51" t="str">
        <f>+IF(GENERAL!AN54=GENERAL!$AI$2,GENERAL!$AI$2,CONCATENATE(OBSERVACIONES!AM53,"
ESTADO DE POSTVENTAS:  ",GENERAL!AN54))</f>
        <v>OK
ESTADO DE POSTVENTAS:  POSTVENTA CORREGIDA</v>
      </c>
      <c r="AN53" s="37">
        <v>0</v>
      </c>
      <c r="AO53" s="37">
        <v>11</v>
      </c>
      <c r="AP53" s="37">
        <v>3</v>
      </c>
      <c r="AQ53" s="37">
        <v>0</v>
      </c>
      <c r="AR53" s="43">
        <v>14</v>
      </c>
      <c r="AS53" s="40">
        <v>12</v>
      </c>
      <c r="AT53" s="37">
        <f>COUNTIFS($D$5:$AM$5,"&lt;&gt;"&amp;CODICIONALES!$A$1,$D$5:$AM$5,"&lt;&gt;"&amp;CODICIONALES!$A$2,$D$5:$AM$5,"&lt;&gt;"&amp;CODICIONALES!$B$2,$D$5:$AM$5,"&lt;&gt;"&amp;CODICIONALES!$C$2)</f>
        <v>6</v>
      </c>
      <c r="AU53" s="43">
        <f>COUNTIFS(D53:AM53,CODICIONALES!$A$2)</f>
        <v>34</v>
      </c>
      <c r="AV53" s="40">
        <f t="shared" si="0"/>
        <v>-4</v>
      </c>
    </row>
    <row r="54" spans="1:48" ht="51" customHeight="1" x14ac:dyDescent="0.25">
      <c r="A54" s="110"/>
      <c r="B54" s="2">
        <v>50</v>
      </c>
      <c r="C54" s="21" t="s">
        <v>84</v>
      </c>
      <c r="D54" s="51" t="str">
        <f>+IF(GENERAL!E55=GENERAL!$AI$2,GENERAL!$AI$2,CONCATENATE(OBSERVACIONES!D54,"
ESTADO DE POSTVENTAS:  ",GENERAL!E55))</f>
        <v>NO ENTREGADO
ESTADO DE POSTVENTAS:  TIENE POSTVENTA</v>
      </c>
      <c r="E54" s="51" t="str">
        <f>+IF(GENERAL!F55=GENERAL!$AI$2,GENERAL!$AI$2,CONCATENATE(OBSERVACIONES!E54,"
ESTADO DE POSTVENTAS:  ",GENERAL!F55))</f>
        <v>OK
ESTADO DE POSTVENTAS:  POSTVENTA CORREGIDA</v>
      </c>
      <c r="F54" s="51" t="str">
        <f>+IF(GENERAL!G55=GENERAL!$AI$2,GENERAL!$AI$2,CONCATENATE(OBSERVACIONES!F54,"
ESTADO DE POSTVENTAS:  ",GENERAL!G55))</f>
        <v>OK
ESTADO DE POSTVENTAS:  POSTVENTA CORREGIDA</v>
      </c>
      <c r="G54" s="51" t="str">
        <f>+IF(GENERAL!H55=GENERAL!$AI$2,GENERAL!$AI$2,CONCATENATE(OBSERVACIONES!G54,"
ESTADO DE POSTVENTAS:  ",GENERAL!H55))</f>
        <v>NO ENTREGADO
ESTADO DE POSTVENTAS:  TIENE POSTVENTA</v>
      </c>
      <c r="H54" s="51" t="str">
        <f>+IF(GENERAL!I55=GENERAL!$AI$2,GENERAL!$AI$2,CONCATENATE(OBSERVACIONES!H54,"
ESTADO DE POSTVENTAS:  ",GENERAL!I55))</f>
        <v>OK
ESTADO DE POSTVENTAS:  POSTVENTA CORREGIDA</v>
      </c>
      <c r="I54" s="51" t="str">
        <f>+IF(GENERAL!J55=GENERAL!$AI$2,GENERAL!$AI$2,CONCATENATE(OBSERVACIONES!I54,"
ESTADO DE POSTVENTAS:  ",GENERAL!J55))</f>
        <v>OK
ESTADO DE POSTVENTAS:  POSTVENTA CORREGIDA</v>
      </c>
      <c r="J54" s="51" t="str">
        <f>+IF(GENERAL!K55=GENERAL!$AI$2,GENERAL!$AI$2,CONCATENATE(OBSERVACIONES!J54,"
ESTADO DE POSTVENTAS:  ",GENERAL!K55))</f>
        <v>OK
ESTADO DE POSTVENTAS:  POSTVENTA CORREGIDA</v>
      </c>
      <c r="K54" s="51" t="str">
        <f>+IF(GENERAL!L55=GENERAL!$AI$2,GENERAL!$AI$2,CONCATENATE(OBSERVACIONES!K54,"
ESTADO DE POSTVENTAS:  ",GENERAL!L55))</f>
        <v>OK
ESTADO DE POSTVENTAS:  POSTVENTA CORREGIDA</v>
      </c>
      <c r="L54" s="51" t="str">
        <f>+IF(GENERAL!M55=GENERAL!$AI$2,GENERAL!$AI$2,CONCATENATE(OBSERVACIONES!L54,"
ESTADO DE POSTVENTAS:  ",GENERAL!M55))</f>
        <v>OK
ESTADO DE POSTVENTAS:  POSTVENTA CORREGIDA</v>
      </c>
      <c r="M54" s="70" t="str">
        <f>+IF(GENERAL!N55=GENERAL!$AI$2,GENERAL!$AI$2,CONCATENATE(OBSERVACIONES!M54,"
ESTADO DE POSTVENTAS:  ",GENERAL!N55))</f>
        <v>OK
ESTADO DE POSTVENTAS:  POSTVENTA CORREGIDA</v>
      </c>
      <c r="N54" s="51" t="str">
        <f>+IF(GENERAL!O55=GENERAL!$AI$2,GENERAL!$AI$2,CONCATENATE(OBSERVACIONES!N54,"
ESTADO DE POSTVENTAS:  ",GENERAL!O55))</f>
        <v>OK
ESTADO DE POSTVENTAS:  POSTVENTA CORREGIDA</v>
      </c>
      <c r="O54" s="51" t="str">
        <f>+IF(GENERAL!P55=GENERAL!$AI$2,GENERAL!$AI$2,CONCATENATE(OBSERVACIONES!O54,"
ESTADO DE POSTVENTAS:  ",GENERAL!P55))</f>
        <v>OK
ESTADO DE POSTVENTAS:  POSTVENTA CORREGIDA</v>
      </c>
      <c r="P54" s="70" t="str">
        <f>+IF(GENERAL!Q55=GENERAL!$AI$2,GENERAL!$AI$2,CONCATENATE(OBSERVACIONES!P54,"
ESTADO DE POSTVENTAS:  ",GENERAL!Q55))</f>
        <v>OK
ESTADO DE POSTVENTAS:  POSTVENTA CORREGIDA</v>
      </c>
      <c r="Q54" s="70" t="str">
        <f>+IF(GENERAL!R55=GENERAL!$AI$2,GENERAL!$AI$2,CONCATENATE(OBSERVACIONES!Q54,"
ESTADO DE POSTVENTAS:  ",GENERAL!R55))</f>
        <v>OK
ESTADO DE POSTVENTAS:  POSTVENTA CORREGIDA</v>
      </c>
      <c r="R54" s="51" t="str">
        <f>+IF(GENERAL!S55=GENERAL!$AI$2,GENERAL!$AI$2,CONCATENATE(OBSERVACIONES!R54,"
ESTADO DE POSTVENTAS:  ",GENERAL!S55))</f>
        <v>OK
ESTADO DE POSTVENTAS:  POSTVENTA CORREGIDA</v>
      </c>
      <c r="S54" s="51" t="str">
        <f>+IF(GENERAL!T55=GENERAL!$AI$2,GENERAL!$AI$2,CONCATENATE(OBSERVACIONES!S54,"
ESTADO DE POSTVENTAS:  ",GENERAL!T55))</f>
        <v>OK
ESTADO DE POSTVENTAS:  POSTVENTA CORREGIDA</v>
      </c>
      <c r="T54" s="51" t="str">
        <f>+IF(GENERAL!U55=GENERAL!$AI$2,GENERAL!$AI$2,CONCATENATE(OBSERVACIONES!T54,"
ESTADO DE POSTVENTAS:  ",GENERAL!U55))</f>
        <v>OK
ESTADO DE POSTVENTAS:  POSTVENTA CORREGIDA</v>
      </c>
      <c r="U54" s="51" t="str">
        <f>+IF(GENERAL!V55=GENERAL!$AI$2,GENERAL!$AI$2,CONCATENATE(OBSERVACIONES!U54,"
ESTADO DE POSTVENTAS:  ",GENERAL!V55))</f>
        <v>OK
ESTADO DE POSTVENTAS:  POSTVENTA CORREGIDA</v>
      </c>
      <c r="V54" s="51" t="str">
        <f>+IF(GENERAL!W55=GENERAL!$AI$2,GENERAL!$AI$2,CONCATENATE(OBSERVACIONES!V54,"
ESTADO DE POSTVENTAS:  ",GENERAL!W55))</f>
        <v>OK
ESTADO DE POSTVENTAS:  POSTVENTA CORREGIDA</v>
      </c>
      <c r="W54" s="51" t="str">
        <f>+IF(GENERAL!V55=GENERAL!$AI$2,GENERAL!$AI$2,CONCATENATE(OBSERVACIONES!W54,"
ESTADO DE POSTVENTAS:  ",GENERAL!V55))</f>
        <v>OK
ESTADO DE POSTVENTAS:  POSTVENTA CORREGIDA</v>
      </c>
      <c r="X54" s="51" t="str">
        <f>+IF(GENERAL!W55=GENERAL!$AI$2,GENERAL!$AI$2,CONCATENATE(OBSERVACIONES!X54,"
ESTADO DE POSTVENTAS:  ",GENERAL!W55))</f>
        <v>OK
ESTADO DE POSTVENTAS:  POSTVENTA CORREGIDA</v>
      </c>
      <c r="Y54" s="51" t="str">
        <f>+IF(GENERAL!Z55=GENERAL!$AI$2,GENERAL!$AI$2,CONCATENATE(OBSERVACIONES!Y54,"
ESTADO DE POSTVENTAS:  ",GENERAL!Z55))</f>
        <v>OK
ESTADO DE POSTVENTAS:  POSTVENTA CORREGIDA</v>
      </c>
      <c r="Z54" s="51" t="str">
        <f>+IF(GENERAL!AA55=GENERAL!$AI$2,GENERAL!$AI$2,CONCATENATE(OBSERVACIONES!Z54,"
ESTADO DE POSTVENTAS:  ",GENERAL!AA55))</f>
        <v>OK
ESTADO DE POSTVENTAS:  POSTVENTA CORREGIDA</v>
      </c>
      <c r="AA54" s="51" t="str">
        <f>+IF(GENERAL!AB55=GENERAL!$AI$2,GENERAL!$AI$2,CONCATENATE(OBSERVACIONES!AA54,"
ESTADO DE POSTVENTAS:  ",GENERAL!AB55))</f>
        <v>OK
ESTADO DE POSTVENTAS:  POSTVENTA CORREGIDA</v>
      </c>
      <c r="AB54" s="51" t="str">
        <f>+IF(GENERAL!AC55=GENERAL!$AI$2,GENERAL!$AI$2,CONCATENATE(OBSERVACIONES!AB54,"
ESTADO DE POSTVENTAS:  ",GENERAL!AC55))</f>
        <v>OK
ESTADO DE POSTVENTAS:  POSTVENTA CORREGIDA</v>
      </c>
      <c r="AC54" s="51" t="str">
        <f>+IF(GENERAL!AD55=GENERAL!$AI$2,GENERAL!$AI$2,CONCATENATE(OBSERVACIONES!AC54,"
ESTADO DE POSTVENTAS:  ",GENERAL!AD55))</f>
        <v>OK
ESTADO DE POSTVENTAS:  POSTVENTA CORREGIDA</v>
      </c>
      <c r="AD54" s="51" t="str">
        <f>+IF(GENERAL!AE55=GENERAL!$AI$2,GENERAL!$AI$2,CONCATENATE(OBSERVACIONES!AD54,"
ESTADO DE POSTVENTAS:  ",GENERAL!AE55))</f>
        <v>OK
ESTADO DE POSTVENTAS:  POSTVENTA CORREGIDA</v>
      </c>
      <c r="AE54" s="51" t="str">
        <f>+IF(GENERAL!AF55=GENERAL!$AI$2,GENERAL!$AI$2,CONCATENATE(OBSERVACIONES!AE54,"
ESTADO DE POSTVENTAS:  ",GENERAL!AF55))</f>
        <v>OK
ESTADO DE POSTVENTAS:  POSTVENTA CORREGIDA</v>
      </c>
      <c r="AF54" s="51" t="str">
        <f>+IF(GENERAL!AG55=GENERAL!$AI$2,GENERAL!$AI$2,CONCATENATE(OBSERVACIONES!AF54,"
ESTADO DE POSTVENTAS:  ",GENERAL!AG55))</f>
        <v>OK
ESTADO DE POSTVENTAS:  POSTVENTA CORREGIDA</v>
      </c>
      <c r="AG54" s="51" t="str">
        <f>+IF(GENERAL!AH55=GENERAL!$AI$2,GENERAL!$AI$2,CONCATENATE(OBSERVACIONES!AG54,"
ESTADO DE POSTVENTAS:  ",GENERAL!AH55))</f>
        <v>OK
ESTADO DE POSTVENTAS:  POSTVENTA CORREGIDA</v>
      </c>
      <c r="AH54" s="51" t="str">
        <f>+IF(GENERAL!AI55=GENERAL!$AI$2,GENERAL!$AI$2,CONCATENATE(OBSERVACIONES!AH54,"
ESTADO DE POSTVENTAS:  ",GENERAL!AI55))</f>
        <v>OK
ESTADO DE POSTVENTAS:  POSTVENTA CORREGIDA</v>
      </c>
      <c r="AI54" s="51" t="str">
        <f>+IF(GENERAL!AG55=GENERAL!$AI$2,GENERAL!$AI$2,CONCATENATE(OBSERVACIONES!AF54,"
ESTADO DE POSTVENTAS:  ",GENERAL!AG55))</f>
        <v>OK
ESTADO DE POSTVENTAS:  POSTVENTA CORREGIDA</v>
      </c>
      <c r="AJ54" s="51" t="str">
        <f>+IF(GENERAL!AI55=GENERAL!$AI$2,GENERAL!$AI$2,CONCATENATE(OBSERVACIONES!AH54,"
ESTADO DE POSTVENTAS:  ",GENERAL!AI55))</f>
        <v>OK
ESTADO DE POSTVENTAS:  POSTVENTA CORREGIDA</v>
      </c>
      <c r="AK54" s="51" t="str">
        <f>+IF(GENERAL!AJ55=GENERAL!$AI$2,GENERAL!$AI$2,CONCATENATE(OBSERVACIONES!AI54,"
ESTADO DE POSTVENTAS:  ",GENERAL!AJ55))</f>
        <v>OK
ESTADO DE POSTVENTAS:  POSTVENTA CORREGIDA</v>
      </c>
      <c r="AL54" s="51" t="str">
        <f>+IF(GENERAL!AK55=GENERAL!$AI$2,GENERAL!$AI$2,CONCATENATE(OBSERVACIONES!AJ54,"
ESTADO DE POSTVENTAS:  ",GENERAL!AK55))</f>
        <v>OK
ESTADO DE POSTVENTAS:  POSTVENTA CORREGIDA</v>
      </c>
      <c r="AM54" s="51" t="str">
        <f>+IF(GENERAL!AN55=GENERAL!$AI$2,GENERAL!$AI$2,CONCATENATE(OBSERVACIONES!AM54,"
ESTADO DE POSTVENTAS:  ",GENERAL!AN55))</f>
        <v>OK
ESTADO DE POSTVENTAS:  POSTVENTA CORREGIDA</v>
      </c>
      <c r="AN54" s="37">
        <v>0</v>
      </c>
      <c r="AO54" s="37">
        <v>11</v>
      </c>
      <c r="AP54" s="37">
        <v>3</v>
      </c>
      <c r="AQ54" s="37">
        <v>0</v>
      </c>
      <c r="AR54" s="43">
        <v>14</v>
      </c>
      <c r="AS54" s="40">
        <v>12</v>
      </c>
      <c r="AT54" s="37">
        <f>COUNTIFS($D$5:$AM$5,"&lt;&gt;"&amp;CODICIONALES!$A$1,$D$5:$AM$5,"&lt;&gt;"&amp;CODICIONALES!$A$2,$D$5:$AM$5,"&lt;&gt;"&amp;CODICIONALES!$B$2,$D$5:$AM$5,"&lt;&gt;"&amp;CODICIONALES!$C$2)</f>
        <v>6</v>
      </c>
      <c r="AU54" s="43">
        <f>COUNTIFS(D54:AM54,CODICIONALES!$A$2)</f>
        <v>34</v>
      </c>
      <c r="AV54" s="40">
        <f t="shared" si="0"/>
        <v>-4</v>
      </c>
    </row>
    <row r="55" spans="1:48" ht="51" customHeight="1" x14ac:dyDescent="0.25">
      <c r="A55" s="110"/>
      <c r="B55" s="2">
        <v>51</v>
      </c>
      <c r="C55" s="21" t="s">
        <v>85</v>
      </c>
      <c r="D55" s="51" t="str">
        <f>+IF(GENERAL!E56=GENERAL!$AI$2,GENERAL!$AI$2,CONCATENATE(OBSERVACIONES!D55,"
ESTADO DE POSTVENTAS:  ",GENERAL!E56))</f>
        <v>NO ENTREGADO
ESTADO DE POSTVENTAS:  TIENE POSTVENTA</v>
      </c>
      <c r="E55" s="51" t="str">
        <f>+IF(GENERAL!F56=GENERAL!$AI$2,GENERAL!$AI$2,CONCATENATE(OBSERVACIONES!E55,"
ESTADO DE POSTVENTAS:  ",GENERAL!F56))</f>
        <v>OK
ESTADO DE POSTVENTAS:  POSTVENTA CORREGIDA</v>
      </c>
      <c r="F55" s="51" t="str">
        <f>+IF(GENERAL!G56=GENERAL!$AI$2,GENERAL!$AI$2,CONCATENATE(OBSERVACIONES!F55,"
ESTADO DE POSTVENTAS:  ",GENERAL!G56))</f>
        <v>OK
ESTADO DE POSTVENTAS:  POSTVENTA CORREGIDA</v>
      </c>
      <c r="G55" s="51" t="str">
        <f>+IF(GENERAL!H56=GENERAL!$AI$2,GENERAL!$AI$2,CONCATENATE(OBSERVACIONES!G55,"
ESTADO DE POSTVENTAS:  ",GENERAL!H56))</f>
        <v>NO ENTREGADO
ESTADO DE POSTVENTAS:  TIENE POSTVENTA</v>
      </c>
      <c r="H55" s="51" t="str">
        <f>+IF(GENERAL!I56=GENERAL!$AI$2,GENERAL!$AI$2,CONCATENATE(OBSERVACIONES!H55,"
ESTADO DE POSTVENTAS:  ",GENERAL!I56))</f>
        <v>OK
ESTADO DE POSTVENTAS:  POSTVENTA CORREGIDA</v>
      </c>
      <c r="I55" s="51" t="str">
        <f>+IF(GENERAL!J56=GENERAL!$AI$2,GENERAL!$AI$2,CONCATENATE(OBSERVACIONES!I55,"
ESTADO DE POSTVENTAS:  ",GENERAL!J56))</f>
        <v>OK
ESTADO DE POSTVENTAS:  POSTVENTA CORREGIDA</v>
      </c>
      <c r="J55" s="51" t="str">
        <f>+IF(GENERAL!K56=GENERAL!$AI$2,GENERAL!$AI$2,CONCATENATE(OBSERVACIONES!J55,"
ESTADO DE POSTVENTAS:  ",GENERAL!K56))</f>
        <v>OK
ESTADO DE POSTVENTAS:  POSTVENTA CORREGIDA</v>
      </c>
      <c r="K55" s="51" t="str">
        <f>+IF(GENERAL!L56=GENERAL!$AI$2,GENERAL!$AI$2,CONCATENATE(OBSERVACIONES!K55,"
ESTADO DE POSTVENTAS:  ",GENERAL!L56))</f>
        <v>OK
ESTADO DE POSTVENTAS:  POSTVENTA CORREGIDA</v>
      </c>
      <c r="L55" s="51" t="str">
        <f>+IF(GENERAL!M56=GENERAL!$AI$2,GENERAL!$AI$2,CONCATENATE(OBSERVACIONES!L55,"
ESTADO DE POSTVENTAS:  ",GENERAL!M56))</f>
        <v>OK
ESTADO DE POSTVENTAS:  POSTVENTA CORREGIDA</v>
      </c>
      <c r="M55" s="70" t="str">
        <f>+IF(GENERAL!N56=GENERAL!$AI$2,GENERAL!$AI$2,CONCATENATE(OBSERVACIONES!M55,"
ESTADO DE POSTVENTAS:  ",GENERAL!N56))</f>
        <v>OK
ESTADO DE POSTVENTAS:  POSTVENTA CORREGIDA</v>
      </c>
      <c r="N55" s="51" t="str">
        <f>+IF(GENERAL!O56=GENERAL!$AI$2,GENERAL!$AI$2,CONCATENATE(OBSERVACIONES!N55,"
ESTADO DE POSTVENTAS:  ",GENERAL!O56))</f>
        <v>OK
ESTADO DE POSTVENTAS:  POSTVENTA CORREGIDA</v>
      </c>
      <c r="O55" s="51" t="str">
        <f>+IF(GENERAL!P56=GENERAL!$AI$2,GENERAL!$AI$2,CONCATENATE(OBSERVACIONES!O55,"
ESTADO DE POSTVENTAS:  ",GENERAL!P56))</f>
        <v>OK
ESTADO DE POSTVENTAS:  POSTVENTA CORREGIDA</v>
      </c>
      <c r="P55" s="70" t="str">
        <f>+IF(GENERAL!Q56=GENERAL!$AI$2,GENERAL!$AI$2,CONCATENATE(OBSERVACIONES!P55,"
ESTADO DE POSTVENTAS:  ",GENERAL!Q56))</f>
        <v>OK
ESTADO DE POSTVENTAS:  POSTVENTA CORREGIDA</v>
      </c>
      <c r="Q55" s="70" t="str">
        <f>+IF(GENERAL!R56=GENERAL!$AI$2,GENERAL!$AI$2,CONCATENATE(OBSERVACIONES!Q55,"
ESTADO DE POSTVENTAS:  ",GENERAL!R56))</f>
        <v>OK
ESTADO DE POSTVENTAS:  POSTVENTA CORREGIDA</v>
      </c>
      <c r="R55" s="51" t="str">
        <f>+IF(GENERAL!S56=GENERAL!$AI$2,GENERAL!$AI$2,CONCATENATE(OBSERVACIONES!R55,"
ESTADO DE POSTVENTAS:  ",GENERAL!S56))</f>
        <v>OK
ESTADO DE POSTVENTAS:  POSTVENTA CORREGIDA</v>
      </c>
      <c r="S55" s="51" t="str">
        <f>+IF(GENERAL!T56=GENERAL!$AI$2,GENERAL!$AI$2,CONCATENATE(OBSERVACIONES!S55,"
ESTADO DE POSTVENTAS:  ",GENERAL!T56))</f>
        <v>OK
ESTADO DE POSTVENTAS:  POSTVENTA CORREGIDA</v>
      </c>
      <c r="T55" s="51" t="str">
        <f>+IF(GENERAL!U56=GENERAL!$AI$2,GENERAL!$AI$2,CONCATENATE(OBSERVACIONES!T55,"
ESTADO DE POSTVENTAS:  ",GENERAL!U56))</f>
        <v>OK
ESTADO DE POSTVENTAS:  POSTVENTA CORREGIDA</v>
      </c>
      <c r="U55" s="51" t="str">
        <f>+IF(GENERAL!V56=GENERAL!$AI$2,GENERAL!$AI$2,CONCATENATE(OBSERVACIONES!U55,"
ESTADO DE POSTVENTAS:  ",GENERAL!V56))</f>
        <v>OK
ESTADO DE POSTVENTAS:  POSTVENTA CORREGIDA</v>
      </c>
      <c r="V55" s="51" t="str">
        <f>+IF(GENERAL!W56=GENERAL!$AI$2,GENERAL!$AI$2,CONCATENATE(OBSERVACIONES!V55,"
ESTADO DE POSTVENTAS:  ",GENERAL!W56))</f>
        <v>OK
ESTADO DE POSTVENTAS:  POSTVENTA CORREGIDA</v>
      </c>
      <c r="W55" s="51" t="str">
        <f>+IF(GENERAL!V56=GENERAL!$AI$2,GENERAL!$AI$2,CONCATENATE(OBSERVACIONES!W55,"
ESTADO DE POSTVENTAS:  ",GENERAL!V56))</f>
        <v>OK
ESTADO DE POSTVENTAS:  POSTVENTA CORREGIDA</v>
      </c>
      <c r="X55" s="51" t="str">
        <f>+IF(GENERAL!W56=GENERAL!$AI$2,GENERAL!$AI$2,CONCATENATE(OBSERVACIONES!X55,"
ESTADO DE POSTVENTAS:  ",GENERAL!W56))</f>
        <v>OK
ESTADO DE POSTVENTAS:  POSTVENTA CORREGIDA</v>
      </c>
      <c r="Y55" s="51" t="str">
        <f>+IF(GENERAL!Z56=GENERAL!$AI$2,GENERAL!$AI$2,CONCATENATE(OBSERVACIONES!Y55,"
ESTADO DE POSTVENTAS:  ",GENERAL!Z56))</f>
        <v>OK
ESTADO DE POSTVENTAS:  POSTVENTA CORREGIDA</v>
      </c>
      <c r="Z55" s="51" t="str">
        <f>+IF(GENERAL!AA56=GENERAL!$AI$2,GENERAL!$AI$2,CONCATENATE(OBSERVACIONES!Z55,"
ESTADO DE POSTVENTAS:  ",GENERAL!AA56))</f>
        <v>OK
ESTADO DE POSTVENTAS:  POSTVENTA CORREGIDA</v>
      </c>
      <c r="AA55" s="51" t="str">
        <f>+IF(GENERAL!AB56=GENERAL!$AI$2,GENERAL!$AI$2,CONCATENATE(OBSERVACIONES!AA55,"
ESTADO DE POSTVENTAS:  ",GENERAL!AB56))</f>
        <v>OK
ESTADO DE POSTVENTAS:  POSTVENTA CORREGIDA</v>
      </c>
      <c r="AB55" s="70" t="str">
        <f>+IF(GENERAL!AC56=GENERAL!$AI$2,GENERAL!$AI$2,CONCATENATE(OBSERVACIONES!AB55,"
ESTADO DE POSTVENTAS:  ",GENERAL!AC56))</f>
        <v>OK
ESTADO DE POSTVENTAS:  POSTVENTA CORREGIDA</v>
      </c>
      <c r="AC55" s="51" t="str">
        <f>+IF(GENERAL!AD56=GENERAL!$AI$2,GENERAL!$AI$2,CONCATENATE(OBSERVACIONES!AC55,"
ESTADO DE POSTVENTAS:  ",GENERAL!AD56))</f>
        <v>OK
ESTADO DE POSTVENTAS:  POSTVENTA CORREGIDA</v>
      </c>
      <c r="AD55" s="51" t="str">
        <f>+IF(GENERAL!AE56=GENERAL!$AI$2,GENERAL!$AI$2,CONCATENATE(OBSERVACIONES!AD55,"
ESTADO DE POSTVENTAS:  ",GENERAL!AE56))</f>
        <v>OK
ESTADO DE POSTVENTAS:  POSTVENTA CORREGIDA</v>
      </c>
      <c r="AE55" s="51" t="str">
        <f>+IF(GENERAL!AF56=GENERAL!$AI$2,GENERAL!$AI$2,CONCATENATE(OBSERVACIONES!AE55,"
ESTADO DE POSTVENTAS:  ",GENERAL!AF56))</f>
        <v>OK
ESTADO DE POSTVENTAS:  POSTVENTA CORREGIDA</v>
      </c>
      <c r="AF55" s="51" t="str">
        <f>+IF(GENERAL!AG56=GENERAL!$AI$2,GENERAL!$AI$2,CONCATENATE(OBSERVACIONES!AF55,"
ESTADO DE POSTVENTAS:  ",GENERAL!AG56))</f>
        <v>OK
ESTADO DE POSTVENTAS:  POSTVENTA CORREGIDA</v>
      </c>
      <c r="AG55" s="51" t="str">
        <f>+IF(GENERAL!AH56=GENERAL!$AI$2,GENERAL!$AI$2,CONCATENATE(OBSERVACIONES!AG55,"
ESTADO DE POSTVENTAS:  ",GENERAL!AH56))</f>
        <v>DETALLE FIJADO
ESTADO DE POSTVENTAS:  TIENE POSTVENTA</v>
      </c>
      <c r="AH55" s="51" t="str">
        <f>+IF(GENERAL!AI56=GENERAL!$AI$2,GENERAL!$AI$2,CONCATENATE(OBSERVACIONES!AH55,"
ESTADO DE POSTVENTAS:  ",GENERAL!AI56))</f>
        <v>OK
ESTADO DE POSTVENTAS:  POSTVENTA CORREGIDA</v>
      </c>
      <c r="AI55" s="51" t="str">
        <f>+IF(GENERAL!AG56=GENERAL!$AI$2,GENERAL!$AI$2,CONCATENATE(OBSERVACIONES!AF55,"
ESTADO DE POSTVENTAS:  ",GENERAL!AG56))</f>
        <v>OK
ESTADO DE POSTVENTAS:  POSTVENTA CORREGIDA</v>
      </c>
      <c r="AJ55" s="51" t="str">
        <f>+IF(GENERAL!AI56=GENERAL!$AI$2,GENERAL!$AI$2,CONCATENATE(OBSERVACIONES!AH55,"
ESTADO DE POSTVENTAS:  ",GENERAL!AI56))</f>
        <v>OK
ESTADO DE POSTVENTAS:  POSTVENTA CORREGIDA</v>
      </c>
      <c r="AK55" s="51" t="str">
        <f>+IF(GENERAL!AJ56=GENERAL!$AI$2,GENERAL!$AI$2,CONCATENATE(OBSERVACIONES!AI55,"
ESTADO DE POSTVENTAS:  ",GENERAL!AJ56))</f>
        <v>OK
ESTADO DE POSTVENTAS:  POSTVENTA CORREGIDA</v>
      </c>
      <c r="AL55" s="51" t="str">
        <f>+IF(GENERAL!AK56=GENERAL!$AI$2,GENERAL!$AI$2,CONCATENATE(OBSERVACIONES!AJ55,"
ESTADO DE POSTVENTAS:  ",GENERAL!AK56))</f>
        <v>OK
ESTADO DE POSTVENTAS:  POSTVENTA CORREGIDA</v>
      </c>
      <c r="AM55" s="51" t="str">
        <f>+IF(GENERAL!AN56=GENERAL!$AI$2,GENERAL!$AI$2,CONCATENATE(OBSERVACIONES!AM55,"
ESTADO DE POSTVENTAS:  ",GENERAL!AN56))</f>
        <v>OK
ESTADO DE POSTVENTAS:  POSTVENTA CORREGIDA</v>
      </c>
      <c r="AN55" s="37">
        <v>3</v>
      </c>
      <c r="AO55" s="37">
        <v>8</v>
      </c>
      <c r="AP55" s="37">
        <v>3</v>
      </c>
      <c r="AQ55" s="37">
        <v>2</v>
      </c>
      <c r="AR55" s="43">
        <v>12</v>
      </c>
      <c r="AS55" s="40">
        <v>12</v>
      </c>
      <c r="AT55" s="37">
        <f>COUNTIFS($D$5:$AM$5,"&lt;&gt;"&amp;CODICIONALES!$A$1,$D$5:$AM$5,"&lt;&gt;"&amp;CODICIONALES!$A$2,$D$5:$AM$5,"&lt;&gt;"&amp;CODICIONALES!$B$2,$D$5:$AM$5,"&lt;&gt;"&amp;CODICIONALES!$C$2)</f>
        <v>6</v>
      </c>
      <c r="AU55" s="43">
        <f>COUNTIFS(D55:AM55,CODICIONALES!$A$2)</f>
        <v>33</v>
      </c>
      <c r="AV55" s="40">
        <f t="shared" si="0"/>
        <v>-3</v>
      </c>
    </row>
    <row r="56" spans="1:48" ht="51" customHeight="1" x14ac:dyDescent="0.25">
      <c r="A56" s="110"/>
      <c r="B56" s="2">
        <v>52</v>
      </c>
      <c r="C56" s="21" t="s">
        <v>68</v>
      </c>
      <c r="D56" s="51" t="str">
        <f>+IF(GENERAL!E57=GENERAL!$AI$2,GENERAL!$AI$2,CONCATENATE(OBSERVACIONES!D56,"
ESTADO DE POSTVENTAS:  ",GENERAL!E57))</f>
        <v>NO ENTREGADO
ESTADO DE POSTVENTAS:  TIENE POSTVENTA</v>
      </c>
      <c r="E56" s="51" t="str">
        <f>+IF(GENERAL!F57=GENERAL!$AI$2,GENERAL!$AI$2,CONCATENATE(OBSERVACIONES!E56,"
ESTADO DE POSTVENTAS:  ",GENERAL!F57))</f>
        <v>OK
ESTADO DE POSTVENTAS:  POSTVENTA CORREGIDA</v>
      </c>
      <c r="F56" s="51" t="str">
        <f>+IF(GENERAL!G57=GENERAL!$AI$2,GENERAL!$AI$2,CONCATENATE(OBSERVACIONES!F56,"
ESTADO DE POSTVENTAS:  ",GENERAL!G57))</f>
        <v>OK
ESTADO DE POSTVENTAS:  POSTVENTA CORREGIDA</v>
      </c>
      <c r="G56" s="51" t="str">
        <f>+IF(GENERAL!H57=GENERAL!$AI$2,GENERAL!$AI$2,CONCATENATE(OBSERVACIONES!G56,"
ESTADO DE POSTVENTAS:  ",GENERAL!H57))</f>
        <v>NO ENTREGADO
ESTADO DE POSTVENTAS:  TIENE POSTVENTA</v>
      </c>
      <c r="H56" s="51" t="str">
        <f>+IF(GENERAL!I57=GENERAL!$AI$2,GENERAL!$AI$2,CONCATENATE(OBSERVACIONES!H56,"
ESTADO DE POSTVENTAS:  ",GENERAL!I57))</f>
        <v>OK
ESTADO DE POSTVENTAS:  POSTVENTA CORREGIDA</v>
      </c>
      <c r="I56" s="51" t="str">
        <f>+IF(GENERAL!J57=GENERAL!$AI$2,GENERAL!$AI$2,CONCATENATE(OBSERVACIONES!I56,"
ESTADO DE POSTVENTAS:  ",GENERAL!J57))</f>
        <v>OK
ESTADO DE POSTVENTAS:  POSTVENTA CORREGIDA</v>
      </c>
      <c r="J56" s="51" t="str">
        <f>+IF(GENERAL!K57=GENERAL!$AI$2,GENERAL!$AI$2,CONCATENATE(OBSERVACIONES!J56,"
ESTADO DE POSTVENTAS:  ",GENERAL!K57))</f>
        <v>OK
ESTADO DE POSTVENTAS:  POSTVENTA CORREGIDA</v>
      </c>
      <c r="K56" s="51" t="str">
        <f>+IF(GENERAL!L57=GENERAL!$AI$2,GENERAL!$AI$2,CONCATENATE(OBSERVACIONES!K56,"
ESTADO DE POSTVENTAS:  ",GENERAL!L57))</f>
        <v>OK
ESTADO DE POSTVENTAS:  POSTVENTA CORREGIDA</v>
      </c>
      <c r="L56" s="51" t="str">
        <f>+IF(GENERAL!M57=GENERAL!$AI$2,GENERAL!$AI$2,CONCATENATE(OBSERVACIONES!L56,"
ESTADO DE POSTVENTAS:  ",GENERAL!M57))</f>
        <v>OK
ESTADO DE POSTVENTAS:  POSTVENTA CORREGIDA</v>
      </c>
      <c r="M56" s="70" t="str">
        <f>+IF(GENERAL!N57=GENERAL!$AI$2,GENERAL!$AI$2,CONCATENATE(OBSERVACIONES!M56,"
ESTADO DE POSTVENTAS:  ",GENERAL!N57))</f>
        <v>OK
ESTADO DE POSTVENTAS:  POSTVENTA CORREGIDA</v>
      </c>
      <c r="N56" s="51" t="str">
        <f>+IF(GENERAL!O57=GENERAL!$AI$2,GENERAL!$AI$2,CONCATENATE(OBSERVACIONES!N56,"
ESTADO DE POSTVENTAS:  ",GENERAL!O57))</f>
        <v>OK
ESTADO DE POSTVENTAS:  POSTVENTA CORREGIDA</v>
      </c>
      <c r="O56" s="51" t="str">
        <f>+IF(GENERAL!P57=GENERAL!$AI$2,GENERAL!$AI$2,CONCATENATE(OBSERVACIONES!O56,"
ESTADO DE POSTVENTAS:  ",GENERAL!P57))</f>
        <v>OK
ESTADO DE POSTVENTAS:  POSTVENTA CORREGIDA</v>
      </c>
      <c r="P56" s="70" t="str">
        <f>+IF(GENERAL!Q57=GENERAL!$AI$2,GENERAL!$AI$2,CONCATENATE(OBSERVACIONES!P56,"
ESTADO DE POSTVENTAS:  ",GENERAL!Q57))</f>
        <v>OK
ESTADO DE POSTVENTAS:  POSTVENTA CORREGIDA</v>
      </c>
      <c r="Q56" s="70" t="str">
        <f>+IF(GENERAL!R57=GENERAL!$AI$2,GENERAL!$AI$2,CONCATENATE(OBSERVACIONES!Q56,"
ESTADO DE POSTVENTAS:  ",GENERAL!R57))</f>
        <v>OK
ESTADO DE POSTVENTAS:  POSTVENTA CORREGIDA</v>
      </c>
      <c r="R56" s="51" t="str">
        <f>+IF(GENERAL!S57=GENERAL!$AI$2,GENERAL!$AI$2,CONCATENATE(OBSERVACIONES!R56,"
ESTADO DE POSTVENTAS:  ",GENERAL!S57))</f>
        <v>OK
ESTADO DE POSTVENTAS:  POSTVENTA CORREGIDA</v>
      </c>
      <c r="S56" s="51" t="str">
        <f>+IF(GENERAL!T57=GENERAL!$AI$2,GENERAL!$AI$2,CONCATENATE(OBSERVACIONES!S56,"
ESTADO DE POSTVENTAS:  ",GENERAL!T57))</f>
        <v>OK
ESTADO DE POSTVENTAS:  POSTVENTA CORREGIDA</v>
      </c>
      <c r="T56" s="51" t="str">
        <f>+IF(GENERAL!U57=GENERAL!$AI$2,GENERAL!$AI$2,CONCATENATE(OBSERVACIONES!T56,"
ESTADO DE POSTVENTAS:  ",GENERAL!U57))</f>
        <v>OK
ESTADO DE POSTVENTAS:  POSTVENTA CORREGIDA</v>
      </c>
      <c r="U56" s="51" t="str">
        <f>+IF(GENERAL!V57=GENERAL!$AI$2,GENERAL!$AI$2,CONCATENATE(OBSERVACIONES!U56,"
ESTADO DE POSTVENTAS:  ",GENERAL!V57))</f>
        <v>OK
ESTADO DE POSTVENTAS:  POSTVENTA CORREGIDA</v>
      </c>
      <c r="V56" s="51" t="str">
        <f>+IF(GENERAL!W57=GENERAL!$AI$2,GENERAL!$AI$2,CONCATENATE(OBSERVACIONES!V56,"
ESTADO DE POSTVENTAS:  ",GENERAL!W57))</f>
        <v>OK
ESTADO DE POSTVENTAS:  POSTVENTA CORREGIDA</v>
      </c>
      <c r="W56" s="51" t="str">
        <f>+IF(GENERAL!V57=GENERAL!$AI$2,GENERAL!$AI$2,CONCATENATE(OBSERVACIONES!W56,"
ESTADO DE POSTVENTAS:  ",GENERAL!V57))</f>
        <v>OK
ESTADO DE POSTVENTAS:  POSTVENTA CORREGIDA</v>
      </c>
      <c r="X56" s="51" t="str">
        <f>+IF(GENERAL!W57=GENERAL!$AI$2,GENERAL!$AI$2,CONCATENATE(OBSERVACIONES!X56,"
ESTADO DE POSTVENTAS:  ",GENERAL!W57))</f>
        <v>OK
ESTADO DE POSTVENTAS:  POSTVENTA CORREGIDA</v>
      </c>
      <c r="Y56" s="51" t="str">
        <f>+IF(GENERAL!Z57=GENERAL!$AI$2,GENERAL!$AI$2,CONCATENATE(OBSERVACIONES!Y56,"
ESTADO DE POSTVENTAS:  ",GENERAL!Z57))</f>
        <v>OK
ESTADO DE POSTVENTAS:  POSTVENTA CORREGIDA</v>
      </c>
      <c r="Z56" s="51" t="str">
        <f>+IF(GENERAL!AA57=GENERAL!$AI$2,GENERAL!$AI$2,CONCATENATE(OBSERVACIONES!Z56,"
ESTADO DE POSTVENTAS:  ",GENERAL!AA57))</f>
        <v>OK
ESTADO DE POSTVENTAS:  POSTVENTA CORREGIDA</v>
      </c>
      <c r="AA56" s="51" t="str">
        <f>+IF(GENERAL!AB57=GENERAL!$AI$2,GENERAL!$AI$2,CONCATENATE(OBSERVACIONES!AA56,"
ESTADO DE POSTVENTAS:  ",GENERAL!AB57))</f>
        <v>OK
ESTADO DE POSTVENTAS:  POSTVENTA CORREGIDA</v>
      </c>
      <c r="AB56" s="51" t="str">
        <f>+IF(GENERAL!AC57=GENERAL!$AI$2,GENERAL!$AI$2,CONCATENATE(OBSERVACIONES!AB56,"
ESTADO DE POSTVENTAS:  ",GENERAL!AC57))</f>
        <v>OK
ESTADO DE POSTVENTAS:  POSTVENTA CORREGIDA</v>
      </c>
      <c r="AC56" s="51" t="str">
        <f>+IF(GENERAL!AD57=GENERAL!$AI$2,GENERAL!$AI$2,CONCATENATE(OBSERVACIONES!AC56,"
ESTADO DE POSTVENTAS:  ",GENERAL!AD57))</f>
        <v>OK
ESTADO DE POSTVENTAS:  POSTVENTA CORREGIDA</v>
      </c>
      <c r="AD56" s="51" t="str">
        <f>+IF(GENERAL!AE57=GENERAL!$AI$2,GENERAL!$AI$2,CONCATENATE(OBSERVACIONES!AD56,"
ESTADO DE POSTVENTAS:  ",GENERAL!AE57))</f>
        <v>OK
ESTADO DE POSTVENTAS:  POSTVENTA CORREGIDA</v>
      </c>
      <c r="AE56" s="51" t="str">
        <f>+IF(GENERAL!AF57=GENERAL!$AI$2,GENERAL!$AI$2,CONCATENATE(OBSERVACIONES!AE56,"
ESTADO DE POSTVENTAS:  ",GENERAL!AF57))</f>
        <v>OK
ESTADO DE POSTVENTAS:  POSTVENTA CORREGIDA</v>
      </c>
      <c r="AF56" s="51" t="str">
        <f>+IF(GENERAL!AG57=GENERAL!$AI$2,GENERAL!$AI$2,CONCATENATE(OBSERVACIONES!AF56,"
ESTADO DE POSTVENTAS:  ",GENERAL!AG57))</f>
        <v>OK
ESTADO DE POSTVENTAS:  POSTVENTA CORREGIDA</v>
      </c>
      <c r="AG56" s="51" t="str">
        <f>+IF(GENERAL!AH57=GENERAL!$AI$2,GENERAL!$AI$2,CONCATENATE(OBSERVACIONES!AG56,"
ESTADO DE POSTVENTAS:  ",GENERAL!AH57))</f>
        <v>OK
ESTADO DE POSTVENTAS:  POSTVENTA CORREGIDA</v>
      </c>
      <c r="AH56" s="51" t="str">
        <f>+IF(GENERAL!AI57=GENERAL!$AI$2,GENERAL!$AI$2,CONCATENATE(OBSERVACIONES!AH56,"
ESTADO DE POSTVENTAS:  ",GENERAL!AI57))</f>
        <v>OK
ESTADO DE POSTVENTAS:  POSTVENTA CORREGIDA</v>
      </c>
      <c r="AI56" s="51" t="str">
        <f>+IF(GENERAL!AG57=GENERAL!$AI$2,GENERAL!$AI$2,CONCATENATE(OBSERVACIONES!AF56,"
ESTADO DE POSTVENTAS:  ",GENERAL!AG57))</f>
        <v>OK
ESTADO DE POSTVENTAS:  POSTVENTA CORREGIDA</v>
      </c>
      <c r="AJ56" s="51" t="str">
        <f>+IF(GENERAL!AI57=GENERAL!$AI$2,GENERAL!$AI$2,CONCATENATE(OBSERVACIONES!AH56,"
ESTADO DE POSTVENTAS:  ",GENERAL!AI57))</f>
        <v>OK
ESTADO DE POSTVENTAS:  POSTVENTA CORREGIDA</v>
      </c>
      <c r="AK56" s="51" t="str">
        <f>+IF(GENERAL!AJ57=GENERAL!$AI$2,GENERAL!$AI$2,CONCATENATE(OBSERVACIONES!AI56,"
ESTADO DE POSTVENTAS:  ",GENERAL!AJ57))</f>
        <v>OK
ESTADO DE POSTVENTAS:  POSTVENTA CORREGIDA</v>
      </c>
      <c r="AL56" s="51" t="str">
        <f>+IF(GENERAL!AK57=GENERAL!$AI$2,GENERAL!$AI$2,CONCATENATE(OBSERVACIONES!AJ56,"
ESTADO DE POSTVENTAS:  ",GENERAL!AK57))</f>
        <v>OK
ESTADO DE POSTVENTAS:  POSTVENTA CORREGIDA</v>
      </c>
      <c r="AM56" s="51" t="str">
        <f>+IF(GENERAL!AN57=GENERAL!$AI$2,GENERAL!$AI$2,CONCATENATE(OBSERVACIONES!AM56,"
ESTADO DE POSTVENTAS:  ",GENERAL!AN57))</f>
        <v>OK
ESTADO DE POSTVENTAS:  POSTVENTA CORREGIDA</v>
      </c>
      <c r="AN56" s="37">
        <v>1</v>
      </c>
      <c r="AO56" s="37">
        <v>10</v>
      </c>
      <c r="AP56" s="37">
        <v>3</v>
      </c>
      <c r="AQ56" s="37">
        <v>0</v>
      </c>
      <c r="AR56" s="43">
        <v>14</v>
      </c>
      <c r="AS56" s="40">
        <v>12</v>
      </c>
      <c r="AT56" s="37">
        <f>COUNTIFS($D$5:$AM$5,"&lt;&gt;"&amp;CODICIONALES!$A$1,$D$5:$AM$5,"&lt;&gt;"&amp;CODICIONALES!$A$2,$D$5:$AM$5,"&lt;&gt;"&amp;CODICIONALES!$B$2,$D$5:$AM$5,"&lt;&gt;"&amp;CODICIONALES!$C$2)</f>
        <v>6</v>
      </c>
      <c r="AU56" s="43">
        <f>COUNTIFS(D56:AM56,CODICIONALES!$A$2)</f>
        <v>34</v>
      </c>
      <c r="AV56" s="40">
        <f t="shared" si="0"/>
        <v>-4</v>
      </c>
    </row>
    <row r="57" spans="1:48" ht="51" customHeight="1" x14ac:dyDescent="0.25">
      <c r="A57" s="110"/>
      <c r="B57" s="2">
        <v>53</v>
      </c>
      <c r="C57" s="21" t="s">
        <v>86</v>
      </c>
      <c r="D57" s="51" t="str">
        <f>+IF(GENERAL!E58=GENERAL!$AI$2,GENERAL!$AI$2,CONCATENATE(OBSERVACIONES!D57,"
ESTADO DE POSTVENTAS:  ",GENERAL!E58))</f>
        <v>NO ENTREGADO
ESTADO DE POSTVENTAS:  TIENE POSTVENTA</v>
      </c>
      <c r="E57" s="51" t="str">
        <f>+IF(GENERAL!F58=GENERAL!$AI$2,GENERAL!$AI$2,CONCATENATE(OBSERVACIONES!E57,"
ESTADO DE POSTVENTAS:  ",GENERAL!F58))</f>
        <v>OK
ESTADO DE POSTVENTAS:  POSTVENTA CORREGIDA</v>
      </c>
      <c r="F57" s="51" t="str">
        <f>+IF(GENERAL!G58=GENERAL!$AI$2,GENERAL!$AI$2,CONCATENATE(OBSERVACIONES!F57,"
ESTADO DE POSTVENTAS:  ",GENERAL!G58))</f>
        <v>OK
ESTADO DE POSTVENTAS:  POSTVENTA CORREGIDA</v>
      </c>
      <c r="G57" s="51" t="str">
        <f>+IF(GENERAL!H58=GENERAL!$AI$2,GENERAL!$AI$2,CONCATENATE(OBSERVACIONES!G57,"
ESTADO DE POSTVENTAS:  ",GENERAL!H58))</f>
        <v>NO ENTREGADO
ESTADO DE POSTVENTAS:  TIENE POSTVENTA</v>
      </c>
      <c r="H57" s="51" t="str">
        <f>+IF(GENERAL!I58=GENERAL!$AI$2,GENERAL!$AI$2,CONCATENATE(OBSERVACIONES!H57,"
ESTADO DE POSTVENTAS:  ",GENERAL!I58))</f>
        <v>OK
ESTADO DE POSTVENTAS:  POSTVENTA CORREGIDA</v>
      </c>
      <c r="I57" s="51" t="str">
        <f>+IF(GENERAL!J58=GENERAL!$AI$2,GENERAL!$AI$2,CONCATENATE(OBSERVACIONES!I57,"
ESTADO DE POSTVENTAS:  ",GENERAL!J58))</f>
        <v>OK
ESTADO DE POSTVENTAS:  POSTVENTA CORREGIDA</v>
      </c>
      <c r="J57" s="51" t="str">
        <f>+IF(GENERAL!K58=GENERAL!$AI$2,GENERAL!$AI$2,CONCATENATE(OBSERVACIONES!J57,"
ESTADO DE POSTVENTAS:  ",GENERAL!K58))</f>
        <v>OK
ESTADO DE POSTVENTAS:  POSTVENTA CORREGIDA</v>
      </c>
      <c r="K57" s="51" t="str">
        <f>+IF(GENERAL!L58=GENERAL!$AI$2,GENERAL!$AI$2,CONCATENATE(OBSERVACIONES!K57,"
ESTADO DE POSTVENTAS:  ",GENERAL!L58))</f>
        <v>OK
ESTADO DE POSTVENTAS:  POSTVENTA CORREGIDA</v>
      </c>
      <c r="L57" s="51" t="str">
        <f>+IF(GENERAL!M58=GENERAL!$AI$2,GENERAL!$AI$2,CONCATENATE(OBSERVACIONES!L57,"
ESTADO DE POSTVENTAS:  ",GENERAL!M58))</f>
        <v>OK
ESTADO DE POSTVENTAS:  POSTVENTA CORREGIDA</v>
      </c>
      <c r="M57" s="70" t="str">
        <f>+IF(GENERAL!N58=GENERAL!$AI$2,GENERAL!$AI$2,CONCATENATE(OBSERVACIONES!M57,"
ESTADO DE POSTVENTAS:  ",GENERAL!N58))</f>
        <v>OK
ESTADO DE POSTVENTAS:  POSTVENTA CORREGIDA</v>
      </c>
      <c r="N57" s="51" t="str">
        <f>+IF(GENERAL!O58=GENERAL!$AI$2,GENERAL!$AI$2,CONCATENATE(OBSERVACIONES!N57,"
ESTADO DE POSTVENTAS:  ",GENERAL!O58))</f>
        <v>OK
ESTADO DE POSTVENTAS:  POSTVENTA CORREGIDA</v>
      </c>
      <c r="O57" s="51" t="str">
        <f>+IF(GENERAL!P58=GENERAL!$AI$2,GENERAL!$AI$2,CONCATENATE(OBSERVACIONES!O57,"
ESTADO DE POSTVENTAS:  ",GENERAL!P58))</f>
        <v>OK
ESTADO DE POSTVENTAS:  POSTVENTA CORREGIDA</v>
      </c>
      <c r="P57" s="70" t="str">
        <f>+IF(GENERAL!Q58=GENERAL!$AI$2,GENERAL!$AI$2,CONCATENATE(OBSERVACIONES!P57,"
ESTADO DE POSTVENTAS:  ",GENERAL!Q58))</f>
        <v>OK
ESTADO DE POSTVENTAS:  POSTVENTA CORREGIDA</v>
      </c>
      <c r="Q57" s="70" t="str">
        <f>+IF(GENERAL!R58=GENERAL!$AI$2,GENERAL!$AI$2,CONCATENATE(OBSERVACIONES!Q57,"
ESTADO DE POSTVENTAS:  ",GENERAL!R58))</f>
        <v>OK
ESTADO DE POSTVENTAS:  POSTVENTA CORREGIDA</v>
      </c>
      <c r="R57" s="51" t="str">
        <f>+IF(GENERAL!S58=GENERAL!$AI$2,GENERAL!$AI$2,CONCATENATE(OBSERVACIONES!R57,"
ESTADO DE POSTVENTAS:  ",GENERAL!S58))</f>
        <v>OK
ESTADO DE POSTVENTAS:  POSTVENTA CORREGIDA</v>
      </c>
      <c r="S57" s="51" t="str">
        <f>+IF(GENERAL!T58=GENERAL!$AI$2,GENERAL!$AI$2,CONCATENATE(OBSERVACIONES!S57,"
ESTADO DE POSTVENTAS:  ",GENERAL!T58))</f>
        <v>OK
ESTADO DE POSTVENTAS:  POSTVENTA CORREGIDA</v>
      </c>
      <c r="T57" s="51" t="str">
        <f>+IF(GENERAL!U58=GENERAL!$AI$2,GENERAL!$AI$2,CONCATENATE(OBSERVACIONES!T57,"
ESTADO DE POSTVENTAS:  ",GENERAL!U58))</f>
        <v>OK
ESTADO DE POSTVENTAS:  POSTVENTA CORREGIDA</v>
      </c>
      <c r="U57" s="51" t="str">
        <f>+IF(GENERAL!V58=GENERAL!$AI$2,GENERAL!$AI$2,CONCATENATE(OBSERVACIONES!U57,"
ESTADO DE POSTVENTAS:  ",GENERAL!V58))</f>
        <v>OK
ESTADO DE POSTVENTAS:  POSTVENTA CORREGIDA</v>
      </c>
      <c r="V57" s="51" t="str">
        <f>+IF(GENERAL!W58=GENERAL!$AI$2,GENERAL!$AI$2,CONCATENATE(OBSERVACIONES!V57,"
ESTADO DE POSTVENTAS:  ",GENERAL!W58))</f>
        <v>OK
ESTADO DE POSTVENTAS:  POSTVENTA CORREGIDA</v>
      </c>
      <c r="W57" s="51" t="str">
        <f>+IF(GENERAL!V58=GENERAL!$AI$2,GENERAL!$AI$2,CONCATENATE(OBSERVACIONES!W57,"
ESTADO DE POSTVENTAS:  ",GENERAL!V58))</f>
        <v>OK
ESTADO DE POSTVENTAS:  POSTVENTA CORREGIDA</v>
      </c>
      <c r="X57" s="51" t="str">
        <f>+IF(GENERAL!W58=GENERAL!$AI$2,GENERAL!$AI$2,CONCATENATE(OBSERVACIONES!X57,"
ESTADO DE POSTVENTAS:  ",GENERAL!W58))</f>
        <v>OK
ESTADO DE POSTVENTAS:  POSTVENTA CORREGIDA</v>
      </c>
      <c r="Y57" s="51" t="str">
        <f>+IF(GENERAL!Z58=GENERAL!$AI$2,GENERAL!$AI$2,CONCATENATE(OBSERVACIONES!Y57,"
ESTADO DE POSTVENTAS:  ",GENERAL!Z58))</f>
        <v>OK
ESTADO DE POSTVENTAS:  POSTVENTA CORREGIDA</v>
      </c>
      <c r="Z57" s="51" t="str">
        <f>+IF(GENERAL!AA58=GENERAL!$AI$2,GENERAL!$AI$2,CONCATENATE(OBSERVACIONES!Z57,"
ESTADO DE POSTVENTAS:  ",GENERAL!AA58))</f>
        <v>OK
ESTADO DE POSTVENTAS:  POSTVENTA CORREGIDA</v>
      </c>
      <c r="AA57" s="51" t="str">
        <f>+IF(GENERAL!AB58=GENERAL!$AI$2,GENERAL!$AI$2,CONCATENATE(OBSERVACIONES!AA57,"
ESTADO DE POSTVENTAS:  ",GENERAL!AB58))</f>
        <v>OK
ESTADO DE POSTVENTAS:  POSTVENTA CORREGIDA</v>
      </c>
      <c r="AB57" s="51" t="str">
        <f>+IF(GENERAL!AC58=GENERAL!$AI$2,GENERAL!$AI$2,CONCATENATE(OBSERVACIONES!AB57,"
ESTADO DE POSTVENTAS:  ",GENERAL!AC58))</f>
        <v>OK
ESTADO DE POSTVENTAS:  POSTVENTA CORREGIDA</v>
      </c>
      <c r="AC57" s="51" t="str">
        <f>+IF(GENERAL!AD58=GENERAL!$AI$2,GENERAL!$AI$2,CONCATENATE(OBSERVACIONES!AC57,"
ESTADO DE POSTVENTAS:  ",GENERAL!AD58))</f>
        <v>OK
ESTADO DE POSTVENTAS:  POSTVENTA CORREGIDA</v>
      </c>
      <c r="AD57" s="51" t="str">
        <f>+IF(GENERAL!AE58=GENERAL!$AI$2,GENERAL!$AI$2,CONCATENATE(OBSERVACIONES!AD57,"
ESTADO DE POSTVENTAS:  ",GENERAL!AE58))</f>
        <v>OK
ESTADO DE POSTVENTAS:  POSTVENTA CORREGIDA</v>
      </c>
      <c r="AE57" s="51" t="str">
        <f>+IF(GENERAL!AF58=GENERAL!$AI$2,GENERAL!$AI$2,CONCATENATE(OBSERVACIONES!AE57,"
ESTADO DE POSTVENTAS:  ",GENERAL!AF58))</f>
        <v>OK
ESTADO DE POSTVENTAS:  POSTVENTA CORREGIDA</v>
      </c>
      <c r="AF57" s="51" t="str">
        <f>+IF(GENERAL!AG58=GENERAL!$AI$2,GENERAL!$AI$2,CONCATENATE(OBSERVACIONES!AF57,"
ESTADO DE POSTVENTAS:  ",GENERAL!AG58))</f>
        <v>OK
ESTADO DE POSTVENTAS:  POSTVENTA CORREGIDA</v>
      </c>
      <c r="AG57" s="51" t="str">
        <f>+IF(GENERAL!AH58=GENERAL!$AI$2,GENERAL!$AI$2,CONCATENATE(OBSERVACIONES!AG57,"
ESTADO DE POSTVENTAS:  ",GENERAL!AH58))</f>
        <v>OK
ESTADO DE POSTVENTAS:  POSTVENTA CORREGIDA</v>
      </c>
      <c r="AH57" s="51" t="str">
        <f>+IF(GENERAL!AI58=GENERAL!$AI$2,GENERAL!$AI$2,CONCATENATE(OBSERVACIONES!AH57,"
ESTADO DE POSTVENTAS:  ",GENERAL!AI58))</f>
        <v>OK
ESTADO DE POSTVENTAS:  POSTVENTA CORREGIDA</v>
      </c>
      <c r="AI57" s="51" t="str">
        <f>+IF(GENERAL!AG58=GENERAL!$AI$2,GENERAL!$AI$2,CONCATENATE(OBSERVACIONES!AF57,"
ESTADO DE POSTVENTAS:  ",GENERAL!AG58))</f>
        <v>OK
ESTADO DE POSTVENTAS:  POSTVENTA CORREGIDA</v>
      </c>
      <c r="AJ57" s="51" t="str">
        <f>+IF(GENERAL!AI58=GENERAL!$AI$2,GENERAL!$AI$2,CONCATENATE(OBSERVACIONES!AH57,"
ESTADO DE POSTVENTAS:  ",GENERAL!AI58))</f>
        <v>OK
ESTADO DE POSTVENTAS:  POSTVENTA CORREGIDA</v>
      </c>
      <c r="AK57" s="51" t="str">
        <f>+IF(GENERAL!AJ58=GENERAL!$AI$2,GENERAL!$AI$2,CONCATENATE(OBSERVACIONES!AI57,"
ESTADO DE POSTVENTAS:  ",GENERAL!AJ58))</f>
        <v>OK
ESTADO DE POSTVENTAS:  POSTVENTA CORREGIDA</v>
      </c>
      <c r="AL57" s="51" t="str">
        <f>+IF(GENERAL!AK58=GENERAL!$AI$2,GENERAL!$AI$2,CONCATENATE(OBSERVACIONES!AJ57,"
ESTADO DE POSTVENTAS:  ",GENERAL!AK58))</f>
        <v>OK
ESTADO DE POSTVENTAS:  POSTVENTA CORREGIDA</v>
      </c>
      <c r="AM57" s="51" t="str">
        <f>+IF(GENERAL!AN58=GENERAL!$AI$2,GENERAL!$AI$2,CONCATENATE(OBSERVACIONES!AM57,"
ESTADO DE POSTVENTAS:  ",GENERAL!AN58))</f>
        <v>OK
ESTADO DE POSTVENTAS:  POSTVENTA CORREGIDA</v>
      </c>
      <c r="AN57" s="37">
        <v>1</v>
      </c>
      <c r="AO57" s="37">
        <v>10</v>
      </c>
      <c r="AP57" s="37">
        <v>3</v>
      </c>
      <c r="AQ57" s="37">
        <v>0</v>
      </c>
      <c r="AR57" s="43">
        <v>14</v>
      </c>
      <c r="AS57" s="40">
        <v>12</v>
      </c>
      <c r="AT57" s="37">
        <f>COUNTIFS($D$5:$AM$5,"&lt;&gt;"&amp;CODICIONALES!$A$1,$D$5:$AM$5,"&lt;&gt;"&amp;CODICIONALES!$A$2,$D$5:$AM$5,"&lt;&gt;"&amp;CODICIONALES!$B$2,$D$5:$AM$5,"&lt;&gt;"&amp;CODICIONALES!$C$2)</f>
        <v>6</v>
      </c>
      <c r="AU57" s="43">
        <f>COUNTIFS(D57:AM57,CODICIONALES!$A$2)</f>
        <v>34</v>
      </c>
      <c r="AV57" s="40">
        <f t="shared" si="0"/>
        <v>-4</v>
      </c>
    </row>
    <row r="58" spans="1:48" ht="51" customHeight="1" x14ac:dyDescent="0.25">
      <c r="A58" s="110"/>
      <c r="B58" s="2">
        <v>54</v>
      </c>
      <c r="C58" s="21" t="s">
        <v>87</v>
      </c>
      <c r="D58" s="51" t="str">
        <f>+IF(GENERAL!E59=GENERAL!$AI$2,GENERAL!$AI$2,CONCATENATE(OBSERVACIONES!D58,"
ESTADO DE POSTVENTAS:  ",GENERAL!E59))</f>
        <v>NO ENTREGADO
ESTADO DE POSTVENTAS:  TIENE POSTVENTA</v>
      </c>
      <c r="E58" s="51" t="str">
        <f>+IF(GENERAL!F59=GENERAL!$AI$2,GENERAL!$AI$2,CONCATENATE(OBSERVACIONES!E58,"
ESTADO DE POSTVENTAS:  ",GENERAL!F59))</f>
        <v>OK
ESTADO DE POSTVENTAS:  POSTVENTA CORREGIDA</v>
      </c>
      <c r="F58" s="51" t="str">
        <f>+IF(GENERAL!G59=GENERAL!$AI$2,GENERAL!$AI$2,CONCATENATE(OBSERVACIONES!F58,"
ESTADO DE POSTVENTAS:  ",GENERAL!G59))</f>
        <v>OK
ESTADO DE POSTVENTAS:  POSTVENTA CORREGIDA</v>
      </c>
      <c r="G58" s="51" t="str">
        <f>+IF(GENERAL!H59=GENERAL!$AI$2,GENERAL!$AI$2,CONCATENATE(OBSERVACIONES!G58,"
ESTADO DE POSTVENTAS:  ",GENERAL!H59))</f>
        <v>NO ENTREGADO
ESTADO DE POSTVENTAS:  TIENE POSTVENTA</v>
      </c>
      <c r="H58" s="51" t="str">
        <f>+IF(GENERAL!I59=GENERAL!$AI$2,GENERAL!$AI$2,CONCATENATE(OBSERVACIONES!H58,"
ESTADO DE POSTVENTAS:  ",GENERAL!I59))</f>
        <v>OK
ESTADO DE POSTVENTAS:  POSTVENTA CORREGIDA</v>
      </c>
      <c r="I58" s="51" t="str">
        <f>+IF(GENERAL!J59=GENERAL!$AI$2,GENERAL!$AI$2,CONCATENATE(OBSERVACIONES!I58,"
ESTADO DE POSTVENTAS:  ",GENERAL!J59))</f>
        <v>OK
ESTADO DE POSTVENTAS:  POSTVENTA CORREGIDA</v>
      </c>
      <c r="J58" s="51" t="str">
        <f>+IF(GENERAL!K59=GENERAL!$AI$2,GENERAL!$AI$2,CONCATENATE(OBSERVACIONES!J58,"
ESTADO DE POSTVENTAS:  ",GENERAL!K59))</f>
        <v>OK
ESTADO DE POSTVENTAS:  POSTVENTA CORREGIDA</v>
      </c>
      <c r="K58" s="51" t="str">
        <f>+IF(GENERAL!L59=GENERAL!$AI$2,GENERAL!$AI$2,CONCATENATE(OBSERVACIONES!K58,"
ESTADO DE POSTVENTAS:  ",GENERAL!L59))</f>
        <v>OK
ESTADO DE POSTVENTAS:  POSTVENTA CORREGIDA</v>
      </c>
      <c r="L58" s="51" t="str">
        <f>+IF(GENERAL!M59=GENERAL!$AI$2,GENERAL!$AI$2,CONCATENATE(OBSERVACIONES!L58,"
ESTADO DE POSTVENTAS:  ",GENERAL!M59))</f>
        <v>OK
ESTADO DE POSTVENTAS:  POSTVENTA CORREGIDA</v>
      </c>
      <c r="M58" s="70" t="str">
        <f>+IF(GENERAL!N59=GENERAL!$AI$2,GENERAL!$AI$2,CONCATENATE(OBSERVACIONES!M58,"
ESTADO DE POSTVENTAS:  ",GENERAL!N59))</f>
        <v>OK
ESTADO DE POSTVENTAS:  POSTVENTA CORREGIDA</v>
      </c>
      <c r="N58" s="51" t="str">
        <f>+IF(GENERAL!O59=GENERAL!$AI$2,GENERAL!$AI$2,CONCATENATE(OBSERVACIONES!N58,"
ESTADO DE POSTVENTAS:  ",GENERAL!O59))</f>
        <v>OK
ESTADO DE POSTVENTAS:  POSTVENTA CORREGIDA</v>
      </c>
      <c r="O58" s="51" t="str">
        <f>+IF(GENERAL!P59=GENERAL!$AI$2,GENERAL!$AI$2,CONCATENATE(OBSERVACIONES!O58,"
ESTADO DE POSTVENTAS:  ",GENERAL!P59))</f>
        <v>OK
ESTADO DE POSTVENTAS:  POSTVENTA CORREGIDA</v>
      </c>
      <c r="P58" s="70" t="str">
        <f>+IF(GENERAL!Q59=GENERAL!$AI$2,GENERAL!$AI$2,CONCATENATE(OBSERVACIONES!P58,"
ESTADO DE POSTVENTAS:  ",GENERAL!Q59))</f>
        <v>OK
ESTADO DE POSTVENTAS:  POSTVENTA CORREGIDA</v>
      </c>
      <c r="Q58" s="70" t="str">
        <f>+IF(GENERAL!R59=GENERAL!$AI$2,GENERAL!$AI$2,CONCATENATE(OBSERVACIONES!Q58,"
ESTADO DE POSTVENTAS:  ",GENERAL!R59))</f>
        <v>OK
ESTADO DE POSTVENTAS:  POSTVENTA CORREGIDA</v>
      </c>
      <c r="R58" s="51" t="str">
        <f>+IF(GENERAL!S59=GENERAL!$AI$2,GENERAL!$AI$2,CONCATENATE(OBSERVACIONES!R58,"
ESTADO DE POSTVENTAS:  ",GENERAL!S59))</f>
        <v>OK
ESTADO DE POSTVENTAS:  POSTVENTA CORREGIDA</v>
      </c>
      <c r="S58" s="51" t="str">
        <f>+IF(GENERAL!T59=GENERAL!$AI$2,GENERAL!$AI$2,CONCATENATE(OBSERVACIONES!S58,"
ESTADO DE POSTVENTAS:  ",GENERAL!T59))</f>
        <v>OK
ESTADO DE POSTVENTAS:  POSTVENTA CORREGIDA</v>
      </c>
      <c r="T58" s="51" t="str">
        <f>+IF(GENERAL!U59=GENERAL!$AI$2,GENERAL!$AI$2,CONCATENATE(OBSERVACIONES!T58,"
ESTADO DE POSTVENTAS:  ",GENERAL!U59))</f>
        <v>OK
ESTADO DE POSTVENTAS:  POSTVENTA CORREGIDA</v>
      </c>
      <c r="U58" s="51" t="str">
        <f>+IF(GENERAL!V59=GENERAL!$AI$2,GENERAL!$AI$2,CONCATENATE(OBSERVACIONES!U58,"
ESTADO DE POSTVENTAS:  ",GENERAL!V59))</f>
        <v>OK
ESTADO DE POSTVENTAS:  POSTVENTA CORREGIDA</v>
      </c>
      <c r="V58" s="51" t="str">
        <f>+IF(GENERAL!W59=GENERAL!$AI$2,GENERAL!$AI$2,CONCATENATE(OBSERVACIONES!V58,"
ESTADO DE POSTVENTAS:  ",GENERAL!W59))</f>
        <v>OK
ESTADO DE POSTVENTAS:  POSTVENTA CORREGIDA</v>
      </c>
      <c r="W58" s="51" t="str">
        <f>+IF(GENERAL!V59=GENERAL!$AI$2,GENERAL!$AI$2,CONCATENATE(OBSERVACIONES!W58,"
ESTADO DE POSTVENTAS:  ",GENERAL!V59))</f>
        <v>OK
ESTADO DE POSTVENTAS:  POSTVENTA CORREGIDA</v>
      </c>
      <c r="X58" s="51" t="str">
        <f>+IF(GENERAL!W59=GENERAL!$AI$2,GENERAL!$AI$2,CONCATENATE(OBSERVACIONES!X58,"
ESTADO DE POSTVENTAS:  ",GENERAL!W59))</f>
        <v>OK
ESTADO DE POSTVENTAS:  POSTVENTA CORREGIDA</v>
      </c>
      <c r="Y58" s="51" t="str">
        <f>+IF(GENERAL!Z59=GENERAL!$AI$2,GENERAL!$AI$2,CONCATENATE(OBSERVACIONES!Y58,"
ESTADO DE POSTVENTAS:  ",GENERAL!Z59))</f>
        <v>OK
ESTADO DE POSTVENTAS:  POSTVENTA CORREGIDA</v>
      </c>
      <c r="Z58" s="51" t="str">
        <f>+IF(GENERAL!AA59=GENERAL!$AI$2,GENERAL!$AI$2,CONCATENATE(OBSERVACIONES!Z58,"
ESTADO DE POSTVENTAS:  ",GENERAL!AA59))</f>
        <v>OK
ESTADO DE POSTVENTAS:  POSTVENTA CORREGIDA</v>
      </c>
      <c r="AA58" s="51" t="str">
        <f>+IF(GENERAL!AB59=GENERAL!$AI$2,GENERAL!$AI$2,CONCATENATE(OBSERVACIONES!AA58,"
ESTADO DE POSTVENTAS:  ",GENERAL!AB59))</f>
        <v>OK
ESTADO DE POSTVENTAS:  POSTVENTA CORREGIDA</v>
      </c>
      <c r="AB58" s="51" t="str">
        <f>+IF(GENERAL!AC59=GENERAL!$AI$2,GENERAL!$AI$2,CONCATENATE(OBSERVACIONES!AB58,"
ESTADO DE POSTVENTAS:  ",GENERAL!AC59))</f>
        <v>OK
ESTADO DE POSTVENTAS:  POSTVENTA CORREGIDA</v>
      </c>
      <c r="AC58" s="51" t="str">
        <f>+IF(GENERAL!AD59=GENERAL!$AI$2,GENERAL!$AI$2,CONCATENATE(OBSERVACIONES!AC58,"
ESTADO DE POSTVENTAS:  ",GENERAL!AD59))</f>
        <v>OK
ESTADO DE POSTVENTAS:  POSTVENTA CORREGIDA</v>
      </c>
      <c r="AD58" s="51" t="str">
        <f>+IF(GENERAL!AE59=GENERAL!$AI$2,GENERAL!$AI$2,CONCATENATE(OBSERVACIONES!AD58,"
ESTADO DE POSTVENTAS:  ",GENERAL!AE59))</f>
        <v>OK
ESTADO DE POSTVENTAS:  POSTVENTA CORREGIDA</v>
      </c>
      <c r="AE58" s="51" t="str">
        <f>+IF(GENERAL!AF59=GENERAL!$AI$2,GENERAL!$AI$2,CONCATENATE(OBSERVACIONES!AE58,"
ESTADO DE POSTVENTAS:  ",GENERAL!AF59))</f>
        <v>OK
ESTADO DE POSTVENTAS:  POSTVENTA CORREGIDA</v>
      </c>
      <c r="AF58" s="51" t="str">
        <f>+IF(GENERAL!AG59=GENERAL!$AI$2,GENERAL!$AI$2,CONCATENATE(OBSERVACIONES!AF58,"
ESTADO DE POSTVENTAS:  ",GENERAL!AG59))</f>
        <v>OK
ESTADO DE POSTVENTAS:  POSTVENTA CORREGIDA</v>
      </c>
      <c r="AG58" s="51" t="str">
        <f>+IF(GENERAL!AH59=GENERAL!$AI$2,GENERAL!$AI$2,CONCATENATE(OBSERVACIONES!AG58,"
ESTADO DE POSTVENTAS:  ",GENERAL!AH59))</f>
        <v>OK
ESTADO DE POSTVENTAS:  POSTVENTA CORREGIDA</v>
      </c>
      <c r="AH58" s="51" t="str">
        <f>+IF(GENERAL!AI59=GENERAL!$AI$2,GENERAL!$AI$2,CONCATENATE(OBSERVACIONES!AH58,"
ESTADO DE POSTVENTAS:  ",GENERAL!AI59))</f>
        <v>OK
ESTADO DE POSTVENTAS:  POSTVENTA CORREGIDA</v>
      </c>
      <c r="AI58" s="51" t="str">
        <f>+IF(GENERAL!AG59=GENERAL!$AI$2,GENERAL!$AI$2,CONCATENATE(OBSERVACIONES!AF58,"
ESTADO DE POSTVENTAS:  ",GENERAL!AG59))</f>
        <v>OK
ESTADO DE POSTVENTAS:  POSTVENTA CORREGIDA</v>
      </c>
      <c r="AJ58" s="51" t="str">
        <f>+IF(GENERAL!AI59=GENERAL!$AI$2,GENERAL!$AI$2,CONCATENATE(OBSERVACIONES!AH58,"
ESTADO DE POSTVENTAS:  ",GENERAL!AI59))</f>
        <v>OK
ESTADO DE POSTVENTAS:  POSTVENTA CORREGIDA</v>
      </c>
      <c r="AK58" s="51" t="str">
        <f>+IF(GENERAL!AJ59=GENERAL!$AI$2,GENERAL!$AI$2,CONCATENATE(OBSERVACIONES!AI58,"
ESTADO DE POSTVENTAS:  ",GENERAL!AJ59))</f>
        <v>OK
ESTADO DE POSTVENTAS:  POSTVENTA CORREGIDA</v>
      </c>
      <c r="AL58" s="51" t="str">
        <f>+IF(GENERAL!AK59=GENERAL!$AI$2,GENERAL!$AI$2,CONCATENATE(OBSERVACIONES!AJ58,"
ESTADO DE POSTVENTAS:  ",GENERAL!AK59))</f>
        <v>OK
ESTADO DE POSTVENTAS:  POSTVENTA CORREGIDA</v>
      </c>
      <c r="AM58" s="51" t="str">
        <f>+IF(GENERAL!AN59=GENERAL!$AI$2,GENERAL!$AI$2,CONCATENATE(OBSERVACIONES!AM58,"
ESTADO DE POSTVENTAS:  ",GENERAL!AN59))</f>
        <v>OK
ESTADO DE POSTVENTAS:  POSTVENTA CORREGIDA</v>
      </c>
      <c r="AN58" s="37">
        <v>1</v>
      </c>
      <c r="AO58" s="37">
        <v>10</v>
      </c>
      <c r="AP58" s="37">
        <v>3</v>
      </c>
      <c r="AQ58" s="37">
        <v>0</v>
      </c>
      <c r="AR58" s="43">
        <v>14</v>
      </c>
      <c r="AS58" s="40">
        <v>12</v>
      </c>
      <c r="AT58" s="37">
        <f>COUNTIFS($D$5:$AM$5,"&lt;&gt;"&amp;CODICIONALES!$A$1,$D$5:$AM$5,"&lt;&gt;"&amp;CODICIONALES!$A$2,$D$5:$AM$5,"&lt;&gt;"&amp;CODICIONALES!$B$2,$D$5:$AM$5,"&lt;&gt;"&amp;CODICIONALES!$C$2)</f>
        <v>6</v>
      </c>
      <c r="AU58" s="43">
        <f>COUNTIFS(D58:AM58,CODICIONALES!$A$2)</f>
        <v>34</v>
      </c>
      <c r="AV58" s="40">
        <f t="shared" si="0"/>
        <v>-4</v>
      </c>
    </row>
    <row r="59" spans="1:48" ht="51" customHeight="1" x14ac:dyDescent="0.25">
      <c r="A59" s="110"/>
      <c r="B59" s="2">
        <v>55</v>
      </c>
      <c r="C59" s="21" t="s">
        <v>88</v>
      </c>
      <c r="D59" s="51" t="str">
        <f>+IF(GENERAL!E60=GENERAL!$AI$2,GENERAL!$AI$2,CONCATENATE(OBSERVACIONES!D59,"
ESTADO DE POSTVENTAS:  ",GENERAL!E60))</f>
        <v>NO ENTREGADO
ESTADO DE POSTVENTAS:  TIENE POSTVENTA</v>
      </c>
      <c r="E59" s="51" t="str">
        <f>+IF(GENERAL!F60=GENERAL!$AI$2,GENERAL!$AI$2,CONCATENATE(OBSERVACIONES!E59,"
ESTADO DE POSTVENTAS:  ",GENERAL!F60))</f>
        <v>OK
ESTADO DE POSTVENTAS:  POSTVENTA CORREGIDA</v>
      </c>
      <c r="F59" s="51" t="str">
        <f>+IF(GENERAL!G60=GENERAL!$AI$2,GENERAL!$AI$2,CONCATENATE(OBSERVACIONES!F59,"
ESTADO DE POSTVENTAS:  ",GENERAL!G60))</f>
        <v>OK
ESTADO DE POSTVENTAS:  POSTVENTA CORREGIDA</v>
      </c>
      <c r="G59" s="51" t="str">
        <f>+IF(GENERAL!H60=GENERAL!$AI$2,GENERAL!$AI$2,CONCATENATE(OBSERVACIONES!G59,"
ESTADO DE POSTVENTAS:  ",GENERAL!H60))</f>
        <v>NO ENTREGADO
ESTADO DE POSTVENTAS:  TIENE POSTVENTA</v>
      </c>
      <c r="H59" s="51" t="str">
        <f>+IF(GENERAL!I60=GENERAL!$AI$2,GENERAL!$AI$2,CONCATENATE(OBSERVACIONES!H59,"
ESTADO DE POSTVENTAS:  ",GENERAL!I60))</f>
        <v>OK
ESTADO DE POSTVENTAS:  POSTVENTA CORREGIDA</v>
      </c>
      <c r="I59" s="51" t="str">
        <f>+IF(GENERAL!J60=GENERAL!$AI$2,GENERAL!$AI$2,CONCATENATE(OBSERVACIONES!I59,"
ESTADO DE POSTVENTAS:  ",GENERAL!J60))</f>
        <v>OK
ESTADO DE POSTVENTAS:  POSTVENTA CORREGIDA</v>
      </c>
      <c r="J59" s="51" t="str">
        <f>+IF(GENERAL!K60=GENERAL!$AI$2,GENERAL!$AI$2,CONCATENATE(OBSERVACIONES!J59,"
ESTADO DE POSTVENTAS:  ",GENERAL!K60))</f>
        <v>OK
ESTADO DE POSTVENTAS:  POSTVENTA CORREGIDA</v>
      </c>
      <c r="K59" s="51" t="str">
        <f>+IF(GENERAL!L60=GENERAL!$AI$2,GENERAL!$AI$2,CONCATENATE(OBSERVACIONES!K59,"
ESTADO DE POSTVENTAS:  ",GENERAL!L60))</f>
        <v>OK
ESTADO DE POSTVENTAS:  POSTVENTA CORREGIDA</v>
      </c>
      <c r="L59" s="51" t="str">
        <f>+IF(GENERAL!M60=GENERAL!$AI$2,GENERAL!$AI$2,CONCATENATE(OBSERVACIONES!L59,"
ESTADO DE POSTVENTAS:  ",GENERAL!M60))</f>
        <v>OK
ESTADO DE POSTVENTAS:  POSTVENTA CORREGIDA</v>
      </c>
      <c r="M59" s="70" t="str">
        <f>+IF(GENERAL!N60=GENERAL!$AI$2,GENERAL!$AI$2,CONCATENATE(OBSERVACIONES!M59,"
ESTADO DE POSTVENTAS:  ",GENERAL!N60))</f>
        <v>OK
ESTADO DE POSTVENTAS:  POSTVENTA CORREGIDA</v>
      </c>
      <c r="N59" s="51" t="str">
        <f>+IF(GENERAL!O60=GENERAL!$AI$2,GENERAL!$AI$2,CONCATENATE(OBSERVACIONES!N59,"
ESTADO DE POSTVENTAS:  ",GENERAL!O60))</f>
        <v>OK
ESTADO DE POSTVENTAS:  POSTVENTA CORREGIDA</v>
      </c>
      <c r="O59" s="51" t="str">
        <f>+IF(GENERAL!P60=GENERAL!$AI$2,GENERAL!$AI$2,CONCATENATE(OBSERVACIONES!O59,"
ESTADO DE POSTVENTAS:  ",GENERAL!P60))</f>
        <v>OK
ESTADO DE POSTVENTAS:  POSTVENTA CORREGIDA</v>
      </c>
      <c r="P59" s="70" t="str">
        <f>+IF(GENERAL!Q60=GENERAL!$AI$2,GENERAL!$AI$2,CONCATENATE(OBSERVACIONES!P59,"
ESTADO DE POSTVENTAS:  ",GENERAL!Q60))</f>
        <v>OK
ESTADO DE POSTVENTAS:  POSTVENTA CORREGIDA</v>
      </c>
      <c r="Q59" s="70" t="str">
        <f>+IF(GENERAL!R60=GENERAL!$AI$2,GENERAL!$AI$2,CONCATENATE(OBSERVACIONES!Q59,"
ESTADO DE POSTVENTAS:  ",GENERAL!R60))</f>
        <v>OK
ESTADO DE POSTVENTAS:  POSTVENTA CORREGIDA</v>
      </c>
      <c r="R59" s="51" t="str">
        <f>+IF(GENERAL!S60=GENERAL!$AI$2,GENERAL!$AI$2,CONCATENATE(OBSERVACIONES!R59,"
ESTADO DE POSTVENTAS:  ",GENERAL!S60))</f>
        <v>OK
ESTADO DE POSTVENTAS:  POSTVENTA CORREGIDA</v>
      </c>
      <c r="S59" s="51" t="str">
        <f>+IF(GENERAL!T60=GENERAL!$AI$2,GENERAL!$AI$2,CONCATENATE(OBSERVACIONES!S59,"
ESTADO DE POSTVENTAS:  ",GENERAL!T60))</f>
        <v>OK
ESTADO DE POSTVENTAS:  POSTVENTA CORREGIDA</v>
      </c>
      <c r="T59" s="51" t="str">
        <f>+IF(GENERAL!U60=GENERAL!$AI$2,GENERAL!$AI$2,CONCATENATE(OBSERVACIONES!T59,"
ESTADO DE POSTVENTAS:  ",GENERAL!U60))</f>
        <v>OK
ESTADO DE POSTVENTAS:  POSTVENTA CORREGIDA</v>
      </c>
      <c r="U59" s="51" t="str">
        <f>+IF(GENERAL!V60=GENERAL!$AI$2,GENERAL!$AI$2,CONCATENATE(OBSERVACIONES!U59,"
ESTADO DE POSTVENTAS:  ",GENERAL!V60))</f>
        <v>OK
ESTADO DE POSTVENTAS:  POSTVENTA CORREGIDA</v>
      </c>
      <c r="V59" s="51" t="str">
        <f>+IF(GENERAL!W60=GENERAL!$AI$2,GENERAL!$AI$2,CONCATENATE(OBSERVACIONES!V59,"
ESTADO DE POSTVENTAS:  ",GENERAL!W60))</f>
        <v>OK
ESTADO DE POSTVENTAS:  POSTVENTA CORREGIDA</v>
      </c>
      <c r="W59" s="51" t="str">
        <f>+IF(GENERAL!V60=GENERAL!$AI$2,GENERAL!$AI$2,CONCATENATE(OBSERVACIONES!W59,"
ESTADO DE POSTVENTAS:  ",GENERAL!V60))</f>
        <v>OK
ESTADO DE POSTVENTAS:  POSTVENTA CORREGIDA</v>
      </c>
      <c r="X59" s="51" t="str">
        <f>+IF(GENERAL!W60=GENERAL!$AI$2,GENERAL!$AI$2,CONCATENATE(OBSERVACIONES!X59,"
ESTADO DE POSTVENTAS:  ",GENERAL!W60))</f>
        <v>OK
ESTADO DE POSTVENTAS:  POSTVENTA CORREGIDA</v>
      </c>
      <c r="Y59" s="51" t="str">
        <f>+IF(GENERAL!Z60=GENERAL!$AI$2,GENERAL!$AI$2,CONCATENATE(OBSERVACIONES!Y59,"
ESTADO DE POSTVENTAS:  ",GENERAL!Z60))</f>
        <v>OK
ESTADO DE POSTVENTAS:  POSTVENTA CORREGIDA</v>
      </c>
      <c r="Z59" s="51" t="str">
        <f>+IF(GENERAL!AA60=GENERAL!$AI$2,GENERAL!$AI$2,CONCATENATE(OBSERVACIONES!Z59,"
ESTADO DE POSTVENTAS:  ",GENERAL!AA60))</f>
        <v>OK
ESTADO DE POSTVENTAS:  POSTVENTA CORREGIDA</v>
      </c>
      <c r="AA59" s="51" t="str">
        <f>+IF(GENERAL!AB60=GENERAL!$AI$2,GENERAL!$AI$2,CONCATENATE(OBSERVACIONES!AA59,"
ESTADO DE POSTVENTAS:  ",GENERAL!AB60))</f>
        <v>OK
ESTADO DE POSTVENTAS:  POSTVENTA CORREGIDA</v>
      </c>
      <c r="AB59" s="51" t="str">
        <f>+IF(GENERAL!AC60=GENERAL!$AI$2,GENERAL!$AI$2,CONCATENATE(OBSERVACIONES!AB59,"
ESTADO DE POSTVENTAS:  ",GENERAL!AC60))</f>
        <v>OK
ESTADO DE POSTVENTAS:  POSTVENTA CORREGIDA</v>
      </c>
      <c r="AC59" s="51" t="str">
        <f>+IF(GENERAL!AD60=GENERAL!$AI$2,GENERAL!$AI$2,CONCATENATE(OBSERVACIONES!AC59,"
ESTADO DE POSTVENTAS:  ",GENERAL!AD60))</f>
        <v>OK
ESTADO DE POSTVENTAS:  POSTVENTA CORREGIDA</v>
      </c>
      <c r="AD59" s="51" t="str">
        <f>+IF(GENERAL!AE60=GENERAL!$AI$2,GENERAL!$AI$2,CONCATENATE(OBSERVACIONES!AD59,"
ESTADO DE POSTVENTAS:  ",GENERAL!AE60))</f>
        <v>OK
ESTADO DE POSTVENTAS:  POSTVENTA CORREGIDA</v>
      </c>
      <c r="AE59" s="51" t="str">
        <f>+IF(GENERAL!AF60=GENERAL!$AI$2,GENERAL!$AI$2,CONCATENATE(OBSERVACIONES!AE59,"
ESTADO DE POSTVENTAS:  ",GENERAL!AF60))</f>
        <v>OK
ESTADO DE POSTVENTAS:  POSTVENTA CORREGIDA</v>
      </c>
      <c r="AF59" s="51" t="str">
        <f>+IF(GENERAL!AG60=GENERAL!$AI$2,GENERAL!$AI$2,CONCATENATE(OBSERVACIONES!AF59,"
ESTADO DE POSTVENTAS:  ",GENERAL!AG60))</f>
        <v>OK
ESTADO DE POSTVENTAS:  POSTVENTA CORREGIDA</v>
      </c>
      <c r="AG59" s="51" t="str">
        <f>+IF(GENERAL!AH60=GENERAL!$AI$2,GENERAL!$AI$2,CONCATENATE(OBSERVACIONES!AG59,"
ESTADO DE POSTVENTAS:  ",GENERAL!AH60))</f>
        <v>OK
ESTADO DE POSTVENTAS:  POSTVENTA CORREGIDA</v>
      </c>
      <c r="AH59" s="51" t="str">
        <f>+IF(GENERAL!AI60=GENERAL!$AI$2,GENERAL!$AI$2,CONCATENATE(OBSERVACIONES!AH59,"
ESTADO DE POSTVENTAS:  ",GENERAL!AI60))</f>
        <v>OK
ESTADO DE POSTVENTAS:  POSTVENTA CORREGIDA</v>
      </c>
      <c r="AI59" s="51" t="str">
        <f>+IF(GENERAL!AG60=GENERAL!$AI$2,GENERAL!$AI$2,CONCATENATE(OBSERVACIONES!AF59,"
ESTADO DE POSTVENTAS:  ",GENERAL!AG60))</f>
        <v>OK
ESTADO DE POSTVENTAS:  POSTVENTA CORREGIDA</v>
      </c>
      <c r="AJ59" s="51" t="str">
        <f>+IF(GENERAL!AI60=GENERAL!$AI$2,GENERAL!$AI$2,CONCATENATE(OBSERVACIONES!AH59,"
ESTADO DE POSTVENTAS:  ",GENERAL!AI60))</f>
        <v>OK
ESTADO DE POSTVENTAS:  POSTVENTA CORREGIDA</v>
      </c>
      <c r="AK59" s="51" t="str">
        <f>+IF(GENERAL!AJ60=GENERAL!$AI$2,GENERAL!$AI$2,CONCATENATE(OBSERVACIONES!AI59,"
ESTADO DE POSTVENTAS:  ",GENERAL!AJ60))</f>
        <v>OK
ESTADO DE POSTVENTAS:  POSTVENTA CORREGIDA</v>
      </c>
      <c r="AL59" s="51" t="str">
        <f>+IF(GENERAL!AK60=GENERAL!$AI$2,GENERAL!$AI$2,CONCATENATE(OBSERVACIONES!AJ59,"
ESTADO DE POSTVENTAS:  ",GENERAL!AK60))</f>
        <v>OK
ESTADO DE POSTVENTAS:  POSTVENTA CORREGIDA</v>
      </c>
      <c r="AM59" s="51" t="str">
        <f>+IF(GENERAL!AN60=GENERAL!$AI$2,GENERAL!$AI$2,CONCATENATE(OBSERVACIONES!AM59,"
ESTADO DE POSTVENTAS:  ",GENERAL!AN60))</f>
        <v>OK
ESTADO DE POSTVENTAS:  POSTVENTA CORREGIDA</v>
      </c>
      <c r="AN59" s="37">
        <v>2</v>
      </c>
      <c r="AO59" s="37">
        <v>9</v>
      </c>
      <c r="AP59" s="37">
        <v>3</v>
      </c>
      <c r="AQ59" s="37">
        <v>0</v>
      </c>
      <c r="AR59" s="43">
        <v>14</v>
      </c>
      <c r="AS59" s="40">
        <v>12</v>
      </c>
      <c r="AT59" s="37">
        <f>COUNTIFS($D$5:$AM$5,"&lt;&gt;"&amp;CODICIONALES!$A$1,$D$5:$AM$5,"&lt;&gt;"&amp;CODICIONALES!$A$2,$D$5:$AM$5,"&lt;&gt;"&amp;CODICIONALES!$B$2,$D$5:$AM$5,"&lt;&gt;"&amp;CODICIONALES!$C$2)</f>
        <v>6</v>
      </c>
      <c r="AU59" s="43">
        <f>COUNTIFS(D59:AM59,CODICIONALES!$A$2)</f>
        <v>34</v>
      </c>
      <c r="AV59" s="40">
        <f t="shared" si="0"/>
        <v>-4</v>
      </c>
    </row>
    <row r="60" spans="1:48" ht="51" customHeight="1" x14ac:dyDescent="0.25">
      <c r="A60" s="110"/>
      <c r="B60" s="2">
        <v>56</v>
      </c>
      <c r="C60" s="21" t="s">
        <v>89</v>
      </c>
      <c r="D60" s="51" t="str">
        <f>+IF(GENERAL!E61=GENERAL!$AI$2,GENERAL!$AI$2,CONCATENATE(OBSERVACIONES!D60,"
ESTADO DE POSTVENTAS:  ",GENERAL!E61))</f>
        <v>NO ENTREGADO
ESTADO DE POSTVENTAS:  TIENE POSTVENTA</v>
      </c>
      <c r="E60" s="51" t="str">
        <f>+IF(GENERAL!F61=GENERAL!$AI$2,GENERAL!$AI$2,CONCATENATE(OBSERVACIONES!E60,"
ESTADO DE POSTVENTAS:  ",GENERAL!F61))</f>
        <v>OK
ESTADO DE POSTVENTAS:  POSTVENTA CORREGIDA</v>
      </c>
      <c r="F60" s="51" t="str">
        <f>+IF(GENERAL!G61=GENERAL!$AI$2,GENERAL!$AI$2,CONCATENATE(OBSERVACIONES!F60,"
ESTADO DE POSTVENTAS:  ",GENERAL!G61))</f>
        <v>OK
ESTADO DE POSTVENTAS:  POSTVENTA CORREGIDA</v>
      </c>
      <c r="G60" s="51" t="str">
        <f>+IF(GENERAL!H61=GENERAL!$AI$2,GENERAL!$AI$2,CONCATENATE(OBSERVACIONES!G60,"
ESTADO DE POSTVENTAS:  ",GENERAL!H61))</f>
        <v>NO ENTREGADO
ESTADO DE POSTVENTAS:  TIENE POSTVENTA</v>
      </c>
      <c r="H60" s="51" t="str">
        <f>+IF(GENERAL!I61=GENERAL!$AI$2,GENERAL!$AI$2,CONCATENATE(OBSERVACIONES!H60,"
ESTADO DE POSTVENTAS:  ",GENERAL!I61))</f>
        <v>OK
ESTADO DE POSTVENTAS:  POSTVENTA CORREGIDA</v>
      </c>
      <c r="I60" s="51" t="str">
        <f>+IF(GENERAL!J61=GENERAL!$AI$2,GENERAL!$AI$2,CONCATENATE(OBSERVACIONES!I60,"
ESTADO DE POSTVENTAS:  ",GENERAL!J61))</f>
        <v>OK
ESTADO DE POSTVENTAS:  POSTVENTA CORREGIDA</v>
      </c>
      <c r="J60" s="51" t="str">
        <f>+IF(GENERAL!K61=GENERAL!$AI$2,GENERAL!$AI$2,CONCATENATE(OBSERVACIONES!J60,"
ESTADO DE POSTVENTAS:  ",GENERAL!K61))</f>
        <v>OK
ESTADO DE POSTVENTAS:  POSTVENTA CORREGIDA</v>
      </c>
      <c r="K60" s="51" t="str">
        <f>+IF(GENERAL!L61=GENERAL!$AI$2,GENERAL!$AI$2,CONCATENATE(OBSERVACIONES!K60,"
ESTADO DE POSTVENTAS:  ",GENERAL!L61))</f>
        <v>OK
ESTADO DE POSTVENTAS:  POSTVENTA CORREGIDA</v>
      </c>
      <c r="L60" s="51" t="str">
        <f>+IF(GENERAL!M61=GENERAL!$AI$2,GENERAL!$AI$2,CONCATENATE(OBSERVACIONES!L60,"
ESTADO DE POSTVENTAS:  ",GENERAL!M61))</f>
        <v>OK
ESTADO DE POSTVENTAS:  POSTVENTA CORREGIDA</v>
      </c>
      <c r="M60" s="70" t="str">
        <f>+IF(GENERAL!N61=GENERAL!$AI$2,GENERAL!$AI$2,CONCATENATE(OBSERVACIONES!M60,"
ESTADO DE POSTVENTAS:  ",GENERAL!N61))</f>
        <v>OK
ESTADO DE POSTVENTAS:  POSTVENTA CORREGIDA</v>
      </c>
      <c r="N60" s="51" t="str">
        <f>+IF(GENERAL!O61=GENERAL!$AI$2,GENERAL!$AI$2,CONCATENATE(OBSERVACIONES!N60,"
ESTADO DE POSTVENTAS:  ",GENERAL!O61))</f>
        <v>OK
ESTADO DE POSTVENTAS:  POSTVENTA CORREGIDA</v>
      </c>
      <c r="O60" s="51" t="str">
        <f>+IF(GENERAL!P61=GENERAL!$AI$2,GENERAL!$AI$2,CONCATENATE(OBSERVACIONES!O60,"
ESTADO DE POSTVENTAS:  ",GENERAL!P61))</f>
        <v>OK
ESTADO DE POSTVENTAS:  POSTVENTA CORREGIDA</v>
      </c>
      <c r="P60" s="70" t="str">
        <f>+IF(GENERAL!Q61=GENERAL!$AI$2,GENERAL!$AI$2,CONCATENATE(OBSERVACIONES!P60,"
ESTADO DE POSTVENTAS:  ",GENERAL!Q61))</f>
        <v>OK
ESTADO DE POSTVENTAS:  POSTVENTA CORREGIDA</v>
      </c>
      <c r="Q60" s="70" t="str">
        <f>+IF(GENERAL!R61=GENERAL!$AI$2,GENERAL!$AI$2,CONCATENATE(OBSERVACIONES!Q60,"
ESTADO DE POSTVENTAS:  ",GENERAL!R61))</f>
        <v>OK
ESTADO DE POSTVENTAS:  POSTVENTA CORREGIDA</v>
      </c>
      <c r="R60" s="51" t="str">
        <f>+IF(GENERAL!S61=GENERAL!$AI$2,GENERAL!$AI$2,CONCATENATE(OBSERVACIONES!R60,"
ESTADO DE POSTVENTAS:  ",GENERAL!S61))</f>
        <v>OK
ESTADO DE POSTVENTAS:  POSTVENTA CORREGIDA</v>
      </c>
      <c r="S60" s="51" t="str">
        <f>+IF(GENERAL!T61=GENERAL!$AI$2,GENERAL!$AI$2,CONCATENATE(OBSERVACIONES!S60,"
ESTADO DE POSTVENTAS:  ",GENERAL!T61))</f>
        <v>OK
ESTADO DE POSTVENTAS:  POSTVENTA CORREGIDA</v>
      </c>
      <c r="T60" s="51" t="str">
        <f>+IF(GENERAL!U61=GENERAL!$AI$2,GENERAL!$AI$2,CONCATENATE(OBSERVACIONES!T60,"
ESTADO DE POSTVENTAS:  ",GENERAL!U61))</f>
        <v>OK
ESTADO DE POSTVENTAS:  POSTVENTA CORREGIDA</v>
      </c>
      <c r="U60" s="51" t="str">
        <f>+IF(GENERAL!V61=GENERAL!$AI$2,GENERAL!$AI$2,CONCATENATE(OBSERVACIONES!U60,"
ESTADO DE POSTVENTAS:  ",GENERAL!V61))</f>
        <v>OK
ESTADO DE POSTVENTAS:  POSTVENTA CORREGIDA</v>
      </c>
      <c r="V60" s="51" t="str">
        <f>+IF(GENERAL!W61=GENERAL!$AI$2,GENERAL!$AI$2,CONCATENATE(OBSERVACIONES!V60,"
ESTADO DE POSTVENTAS:  ",GENERAL!W61))</f>
        <v>OK
ESTADO DE POSTVENTAS:  POSTVENTA CORREGIDA</v>
      </c>
      <c r="W60" s="51" t="str">
        <f>+IF(GENERAL!V61=GENERAL!$AI$2,GENERAL!$AI$2,CONCATENATE(OBSERVACIONES!W60,"
ESTADO DE POSTVENTAS:  ",GENERAL!V61))</f>
        <v>OK
ESTADO DE POSTVENTAS:  POSTVENTA CORREGIDA</v>
      </c>
      <c r="X60" s="51" t="str">
        <f>+IF(GENERAL!W61=GENERAL!$AI$2,GENERAL!$AI$2,CONCATENATE(OBSERVACIONES!X60,"
ESTADO DE POSTVENTAS:  ",GENERAL!W61))</f>
        <v>OK
ESTADO DE POSTVENTAS:  POSTVENTA CORREGIDA</v>
      </c>
      <c r="Y60" s="51" t="str">
        <f>+IF(GENERAL!Z61=GENERAL!$AI$2,GENERAL!$AI$2,CONCATENATE(OBSERVACIONES!Y60,"
ESTADO DE POSTVENTAS:  ",GENERAL!Z61))</f>
        <v>OK
ESTADO DE POSTVENTAS:  POSTVENTA CORREGIDA</v>
      </c>
      <c r="Z60" s="51" t="str">
        <f>+IF(GENERAL!AA61=GENERAL!$AI$2,GENERAL!$AI$2,CONCATENATE(OBSERVACIONES!Z60,"
ESTADO DE POSTVENTAS:  ",GENERAL!AA61))</f>
        <v>OK
ESTADO DE POSTVENTAS:  POSTVENTA CORREGIDA</v>
      </c>
      <c r="AA60" s="51" t="str">
        <f>+IF(GENERAL!AB61=GENERAL!$AI$2,GENERAL!$AI$2,CONCATENATE(OBSERVACIONES!AA60,"
ESTADO DE POSTVENTAS:  ",GENERAL!AB61))</f>
        <v>OK
ESTADO DE POSTVENTAS:  POSTVENTA CORREGIDA</v>
      </c>
      <c r="AB60" s="51" t="str">
        <f>+IF(GENERAL!AC61=GENERAL!$AI$2,GENERAL!$AI$2,CONCATENATE(OBSERVACIONES!AB60,"
ESTADO DE POSTVENTAS:  ",GENERAL!AC61))</f>
        <v>OK
ESTADO DE POSTVENTAS:  POSTVENTA CORREGIDA</v>
      </c>
      <c r="AC60" s="51" t="str">
        <f>+IF(GENERAL!AD61=GENERAL!$AI$2,GENERAL!$AI$2,CONCATENATE(OBSERVACIONES!AC60,"
ESTADO DE POSTVENTAS:  ",GENERAL!AD61))</f>
        <v>OK
ESTADO DE POSTVENTAS:  POSTVENTA CORREGIDA</v>
      </c>
      <c r="AD60" s="51" t="str">
        <f>+IF(GENERAL!AE61=GENERAL!$AI$2,GENERAL!$AI$2,CONCATENATE(OBSERVACIONES!AD60,"
ESTADO DE POSTVENTAS:  ",GENERAL!AE61))</f>
        <v>OK
ESTADO DE POSTVENTAS:  POSTVENTA CORREGIDA</v>
      </c>
      <c r="AE60" s="51" t="str">
        <f>+IF(GENERAL!AF61=GENERAL!$AI$2,GENERAL!$AI$2,CONCATENATE(OBSERVACIONES!AE60,"
ESTADO DE POSTVENTAS:  ",GENERAL!AF61))</f>
        <v>OK
ESTADO DE POSTVENTAS:  POSTVENTA CORREGIDA</v>
      </c>
      <c r="AF60" s="51" t="str">
        <f>+IF(GENERAL!AG61=GENERAL!$AI$2,GENERAL!$AI$2,CONCATENATE(OBSERVACIONES!AF60,"
ESTADO DE POSTVENTAS:  ",GENERAL!AG61))</f>
        <v>OK
ESTADO DE POSTVENTAS:  POSTVENTA CORREGIDA</v>
      </c>
      <c r="AG60" s="51" t="str">
        <f>+IF(GENERAL!AH61=GENERAL!$AI$2,GENERAL!$AI$2,CONCATENATE(OBSERVACIONES!AG60,"
ESTADO DE POSTVENTAS:  ",GENERAL!AH61))</f>
        <v>DETALLE COMPRAS
ESTADO DE POSTVENTAS:  TIENE POSTVENTA</v>
      </c>
      <c r="AH60" s="51" t="str">
        <f>+IF(GENERAL!AI61=GENERAL!$AI$2,GENERAL!$AI$2,CONCATENATE(OBSERVACIONES!AH60,"
ESTADO DE POSTVENTAS:  ",GENERAL!AI61))</f>
        <v>OK
ESTADO DE POSTVENTAS:  POSTVENTA CORREGIDA</v>
      </c>
      <c r="AI60" s="51" t="str">
        <f>+IF(GENERAL!AG61=GENERAL!$AI$2,GENERAL!$AI$2,CONCATENATE(OBSERVACIONES!AF60,"
ESTADO DE POSTVENTAS:  ",GENERAL!AG61))</f>
        <v>OK
ESTADO DE POSTVENTAS:  POSTVENTA CORREGIDA</v>
      </c>
      <c r="AJ60" s="51" t="str">
        <f>+IF(GENERAL!AI61=GENERAL!$AI$2,GENERAL!$AI$2,CONCATENATE(OBSERVACIONES!AH60,"
ESTADO DE POSTVENTAS:  ",GENERAL!AI61))</f>
        <v>OK
ESTADO DE POSTVENTAS:  POSTVENTA CORREGIDA</v>
      </c>
      <c r="AK60" s="51" t="str">
        <f>+IF(GENERAL!AJ61=GENERAL!$AI$2,GENERAL!$AI$2,CONCATENATE(OBSERVACIONES!AI60,"
ESTADO DE POSTVENTAS:  ",GENERAL!AJ61))</f>
        <v>OK
ESTADO DE POSTVENTAS:  POSTVENTA CORREGIDA</v>
      </c>
      <c r="AL60" s="51" t="str">
        <f>+IF(GENERAL!AK61=GENERAL!$AI$2,GENERAL!$AI$2,CONCATENATE(OBSERVACIONES!AJ60,"
ESTADO DE POSTVENTAS:  ",GENERAL!AK61))</f>
        <v>OK
ESTADO DE POSTVENTAS:  POSTVENTA CORREGIDA</v>
      </c>
      <c r="AM60" s="51" t="str">
        <f>+IF(GENERAL!AN61=GENERAL!$AI$2,GENERAL!$AI$2,CONCATENATE(OBSERVACIONES!AM60,"
ESTADO DE POSTVENTAS:  ",GENERAL!AN61))</f>
        <v>OK
ESTADO DE POSTVENTAS:  POSTVENTA CORREGIDA</v>
      </c>
      <c r="AN60" s="37">
        <v>2</v>
      </c>
      <c r="AO60" s="37">
        <v>9</v>
      </c>
      <c r="AP60" s="37">
        <v>3</v>
      </c>
      <c r="AQ60" s="37">
        <v>0</v>
      </c>
      <c r="AR60" s="43">
        <v>14</v>
      </c>
      <c r="AS60" s="40">
        <v>12</v>
      </c>
      <c r="AT60" s="37">
        <f>COUNTIFS($D$5:$AM$5,"&lt;&gt;"&amp;CODICIONALES!$A$1,$D$5:$AM$5,"&lt;&gt;"&amp;CODICIONALES!$A$2,$D$5:$AM$5,"&lt;&gt;"&amp;CODICIONALES!$B$2,$D$5:$AM$5,"&lt;&gt;"&amp;CODICIONALES!$C$2)</f>
        <v>6</v>
      </c>
      <c r="AU60" s="43">
        <f>COUNTIFS(D60:AM60,CODICIONALES!$A$2)</f>
        <v>33</v>
      </c>
      <c r="AV60" s="40">
        <f t="shared" si="0"/>
        <v>-3</v>
      </c>
    </row>
    <row r="61" spans="1:48" ht="51" customHeight="1" x14ac:dyDescent="0.25">
      <c r="A61" s="110"/>
      <c r="B61" s="2">
        <v>57</v>
      </c>
      <c r="C61" s="21" t="s">
        <v>76</v>
      </c>
      <c r="D61" s="51" t="str">
        <f>+IF(GENERAL!E62=GENERAL!$AI$2,GENERAL!$AI$2,CONCATENATE(OBSERVACIONES!D61,"
ESTADO DE POSTVENTAS:  ",GENERAL!E62))</f>
        <v>NO ENTREGADO
ESTADO DE POSTVENTAS:  TIENE POSTVENTA</v>
      </c>
      <c r="E61" s="51" t="str">
        <f>+IF(GENERAL!F62=GENERAL!$AI$2,GENERAL!$AI$2,CONCATENATE(OBSERVACIONES!E61,"
ESTADO DE POSTVENTAS:  ",GENERAL!F62))</f>
        <v>OK
ESTADO DE POSTVENTAS:  POSTVENTA CORREGIDA</v>
      </c>
      <c r="F61" s="51" t="str">
        <f>+IF(GENERAL!G62=GENERAL!$AI$2,GENERAL!$AI$2,CONCATENATE(OBSERVACIONES!F61,"
ESTADO DE POSTVENTAS:  ",GENERAL!G62))</f>
        <v>OK
ESTADO DE POSTVENTAS:  POSTVENTA CORREGIDA</v>
      </c>
      <c r="G61" s="51" t="str">
        <f>+IF(GENERAL!H62=GENERAL!$AI$2,GENERAL!$AI$2,CONCATENATE(OBSERVACIONES!G61,"
ESTADO DE POSTVENTAS:  ",GENERAL!H62))</f>
        <v>NO ENTREGADO
ESTADO DE POSTVENTAS:  TIENE POSTVENTA</v>
      </c>
      <c r="H61" s="51" t="str">
        <f>+IF(GENERAL!I62=GENERAL!$AI$2,GENERAL!$AI$2,CONCATENATE(OBSERVACIONES!H61,"
ESTADO DE POSTVENTAS:  ",GENERAL!I62))</f>
        <v>OK
ESTADO DE POSTVENTAS:  POSTVENTA CORREGIDA</v>
      </c>
      <c r="I61" s="51" t="str">
        <f>+IF(GENERAL!J62=GENERAL!$AI$2,GENERAL!$AI$2,CONCATENATE(OBSERVACIONES!I61,"
ESTADO DE POSTVENTAS:  ",GENERAL!J62))</f>
        <v>OK
ESTADO DE POSTVENTAS:  POSTVENTA CORREGIDA</v>
      </c>
      <c r="J61" s="51" t="str">
        <f>+IF(GENERAL!K62=GENERAL!$AI$2,GENERAL!$AI$2,CONCATENATE(OBSERVACIONES!J61,"
ESTADO DE POSTVENTAS:  ",GENERAL!K62))</f>
        <v>OK
ESTADO DE POSTVENTAS:  POSTVENTA CORREGIDA</v>
      </c>
      <c r="K61" s="51" t="str">
        <f>+IF(GENERAL!L62=GENERAL!$AI$2,GENERAL!$AI$2,CONCATENATE(OBSERVACIONES!K61,"
ESTADO DE POSTVENTAS:  ",GENERAL!L62))</f>
        <v>OK
ESTADO DE POSTVENTAS:  POSTVENTA CORREGIDA</v>
      </c>
      <c r="L61" s="51" t="str">
        <f>+IF(GENERAL!M62=GENERAL!$AI$2,GENERAL!$AI$2,CONCATENATE(OBSERVACIONES!L61,"
ESTADO DE POSTVENTAS:  ",GENERAL!M62))</f>
        <v>OK
ESTADO DE POSTVENTAS:  POSTVENTA CORREGIDA</v>
      </c>
      <c r="M61" s="70" t="str">
        <f>+IF(GENERAL!N62=GENERAL!$AI$2,GENERAL!$AI$2,CONCATENATE(OBSERVACIONES!M61,"
ESTADO DE POSTVENTAS:  ",GENERAL!N62))</f>
        <v>OK
ESTADO DE POSTVENTAS:  POSTVENTA CORREGIDA</v>
      </c>
      <c r="N61" s="51" t="str">
        <f>+IF(GENERAL!O62=GENERAL!$AI$2,GENERAL!$AI$2,CONCATENATE(OBSERVACIONES!N61,"
ESTADO DE POSTVENTAS:  ",GENERAL!O62))</f>
        <v>OK
ESTADO DE POSTVENTAS:  POSTVENTA CORREGIDA</v>
      </c>
      <c r="O61" s="70" t="str">
        <f>+IF(GENERAL!P62=GENERAL!$AI$2,GENERAL!$AI$2,CONCATENATE(OBSERVACIONES!O61,"
ESTADO DE POSTVENTAS:  ",GENERAL!P62))</f>
        <v>OK
ESTADO DE POSTVENTAS:  POSTVENTA CORREGIDA</v>
      </c>
      <c r="P61" s="70" t="str">
        <f>+IF(GENERAL!Q62=GENERAL!$AI$2,GENERAL!$AI$2,CONCATENATE(OBSERVACIONES!P61,"
ESTADO DE POSTVENTAS:  ",GENERAL!Q62))</f>
        <v>OK
ESTADO DE POSTVENTAS:  POSTVENTA CORREGIDA</v>
      </c>
      <c r="Q61" s="70" t="str">
        <f>+IF(GENERAL!R62=GENERAL!$AI$2,GENERAL!$AI$2,CONCATENATE(OBSERVACIONES!Q61,"
ESTADO DE POSTVENTAS:  ",GENERAL!R62))</f>
        <v>OK
ESTADO DE POSTVENTAS:  POSTVENTA CORREGIDA</v>
      </c>
      <c r="R61" s="51" t="str">
        <f>+IF(GENERAL!S62=GENERAL!$AI$2,GENERAL!$AI$2,CONCATENATE(OBSERVACIONES!R61,"
ESTADO DE POSTVENTAS:  ",GENERAL!S62))</f>
        <v>OK
ESTADO DE POSTVENTAS:  POSTVENTA CORREGIDA</v>
      </c>
      <c r="S61" s="51" t="str">
        <f>+IF(GENERAL!T62=GENERAL!$AI$2,GENERAL!$AI$2,CONCATENATE(OBSERVACIONES!S61,"
ESTADO DE POSTVENTAS:  ",GENERAL!T62))</f>
        <v>OK
ESTADO DE POSTVENTAS:  POSTVENTA CORREGIDA</v>
      </c>
      <c r="T61" s="51" t="str">
        <f>+IF(GENERAL!U62=GENERAL!$AI$2,GENERAL!$AI$2,CONCATENATE(OBSERVACIONES!T61,"
ESTADO DE POSTVENTAS:  ",GENERAL!U62))</f>
        <v>OK
ESTADO DE POSTVENTAS:  POSTVENTA CORREGIDA</v>
      </c>
      <c r="U61" s="51" t="str">
        <f>+IF(GENERAL!V62=GENERAL!$AI$2,GENERAL!$AI$2,CONCATENATE(OBSERVACIONES!U61,"
ESTADO DE POSTVENTAS:  ",GENERAL!V62))</f>
        <v>OK
ESTADO DE POSTVENTAS:  POSTVENTA CORREGIDA</v>
      </c>
      <c r="V61" s="51" t="str">
        <f>+IF(GENERAL!W62=GENERAL!$AI$2,GENERAL!$AI$2,CONCATENATE(OBSERVACIONES!V61,"
ESTADO DE POSTVENTAS:  ",GENERAL!W62))</f>
        <v>OK
ESTADO DE POSTVENTAS:  POSTVENTA CORREGIDA</v>
      </c>
      <c r="W61" s="51" t="str">
        <f>+IF(GENERAL!V62=GENERAL!$AI$2,GENERAL!$AI$2,CONCATENATE(OBSERVACIONES!W61,"
ESTADO DE POSTVENTAS:  ",GENERAL!V62))</f>
        <v>OK
ESTADO DE POSTVENTAS:  POSTVENTA CORREGIDA</v>
      </c>
      <c r="X61" s="51" t="str">
        <f>+IF(GENERAL!W62=GENERAL!$AI$2,GENERAL!$AI$2,CONCATENATE(OBSERVACIONES!X61,"
ESTADO DE POSTVENTAS:  ",GENERAL!W62))</f>
        <v>OK
ESTADO DE POSTVENTAS:  POSTVENTA CORREGIDA</v>
      </c>
      <c r="Y61" s="51" t="str">
        <f>+IF(GENERAL!Z62=GENERAL!$AI$2,GENERAL!$AI$2,CONCATENATE(OBSERVACIONES!Y61,"
ESTADO DE POSTVENTAS:  ",GENERAL!Z62))</f>
        <v>OK
ESTADO DE POSTVENTAS:  POSTVENTA CORREGIDA</v>
      </c>
      <c r="Z61" s="51" t="str">
        <f>+IF(GENERAL!AA62=GENERAL!$AI$2,GENERAL!$AI$2,CONCATENATE(OBSERVACIONES!Z61,"
ESTADO DE POSTVENTAS:  ",GENERAL!AA62))</f>
        <v>OK
ESTADO DE POSTVENTAS:  POSTVENTA CORREGIDA</v>
      </c>
      <c r="AA61" s="51" t="str">
        <f>+IF(GENERAL!AB62=GENERAL!$AI$2,GENERAL!$AI$2,CONCATENATE(OBSERVACIONES!AA61,"
ESTADO DE POSTVENTAS:  ",GENERAL!AB62))</f>
        <v>OK
ESTADO DE POSTVENTAS:  POSTVENTA CORREGIDA</v>
      </c>
      <c r="AB61" s="51" t="str">
        <f>+IF(GENERAL!AC62=GENERAL!$AI$2,GENERAL!$AI$2,CONCATENATE(OBSERVACIONES!AB61,"
ESTADO DE POSTVENTAS:  ",GENERAL!AC62))</f>
        <v>OK
ESTADO DE POSTVENTAS:  POSTVENTA CORREGIDA</v>
      </c>
      <c r="AC61" s="51" t="str">
        <f>+IF(GENERAL!AD62=GENERAL!$AI$2,GENERAL!$AI$2,CONCATENATE(OBSERVACIONES!AC61,"
ESTADO DE POSTVENTAS:  ",GENERAL!AD62))</f>
        <v>OK
ESTADO DE POSTVENTAS:  POSTVENTA CORREGIDA</v>
      </c>
      <c r="AD61" s="51" t="str">
        <f>+IF(GENERAL!AE62=GENERAL!$AI$2,GENERAL!$AI$2,CONCATENATE(OBSERVACIONES!AD61,"
ESTADO DE POSTVENTAS:  ",GENERAL!AE62))</f>
        <v>OK
ESTADO DE POSTVENTAS:  POSTVENTA CORREGIDA</v>
      </c>
      <c r="AE61" s="51" t="str">
        <f>+IF(GENERAL!AF62=GENERAL!$AI$2,GENERAL!$AI$2,CONCATENATE(OBSERVACIONES!AE61,"
ESTADO DE POSTVENTAS:  ",GENERAL!AF62))</f>
        <v>OK
ESTADO DE POSTVENTAS:  POSTVENTA CORREGIDA</v>
      </c>
      <c r="AF61" s="51" t="str">
        <f>+IF(GENERAL!AG62=GENERAL!$AI$2,GENERAL!$AI$2,CONCATENATE(OBSERVACIONES!AF61,"
ESTADO DE POSTVENTAS:  ",GENERAL!AG62))</f>
        <v>OK
ESTADO DE POSTVENTAS:  POSTVENTA CORREGIDA</v>
      </c>
      <c r="AG61" s="51" t="str">
        <f>+IF(GENERAL!AH62=GENERAL!$AI$2,GENERAL!$AI$2,CONCATENATE(OBSERVACIONES!AG61,"
ESTADO DE POSTVENTAS:  ",GENERAL!AH62))</f>
        <v>OK
ESTADO DE POSTVENTAS:  POSTVENTA CORREGIDA</v>
      </c>
      <c r="AH61" s="51" t="str">
        <f>+IF(GENERAL!AI62=GENERAL!$AI$2,GENERAL!$AI$2,CONCATENATE(OBSERVACIONES!AH61,"
ESTADO DE POSTVENTAS:  ",GENERAL!AI62))</f>
        <v>OK
ESTADO DE POSTVENTAS:  POSTVENTA CORREGIDA</v>
      </c>
      <c r="AI61" s="51" t="str">
        <f>+IF(GENERAL!AG62=GENERAL!$AI$2,GENERAL!$AI$2,CONCATENATE(OBSERVACIONES!AF61,"
ESTADO DE POSTVENTAS:  ",GENERAL!AG62))</f>
        <v>OK
ESTADO DE POSTVENTAS:  POSTVENTA CORREGIDA</v>
      </c>
      <c r="AJ61" s="51" t="str">
        <f>+IF(GENERAL!AI62=GENERAL!$AI$2,GENERAL!$AI$2,CONCATENATE(OBSERVACIONES!AH61,"
ESTADO DE POSTVENTAS:  ",GENERAL!AI62))</f>
        <v>OK
ESTADO DE POSTVENTAS:  POSTVENTA CORREGIDA</v>
      </c>
      <c r="AK61" s="51" t="str">
        <f>+IF(GENERAL!AJ62=GENERAL!$AI$2,GENERAL!$AI$2,CONCATENATE(OBSERVACIONES!AI61,"
ESTADO DE POSTVENTAS:  ",GENERAL!AJ62))</f>
        <v>OK
ESTADO DE POSTVENTAS:  POSTVENTA CORREGIDA</v>
      </c>
      <c r="AL61" s="51" t="str">
        <f>+IF(GENERAL!AK62=GENERAL!$AI$2,GENERAL!$AI$2,CONCATENATE(OBSERVACIONES!AJ61,"
ESTADO DE POSTVENTAS:  ",GENERAL!AK62))</f>
        <v>OK
ESTADO DE POSTVENTAS:  POSTVENTA CORREGIDA</v>
      </c>
      <c r="AM61" s="51" t="str">
        <f>+IF(GENERAL!AN62=GENERAL!$AI$2,GENERAL!$AI$2,CONCATENATE(OBSERVACIONES!AM61,"
ESTADO DE POSTVENTAS:  ",GENERAL!AN62))</f>
        <v>OK
ESTADO DE POSTVENTAS:  POSTVENTA CORREGIDA</v>
      </c>
      <c r="AN61" s="37">
        <v>2</v>
      </c>
      <c r="AO61" s="37">
        <v>9</v>
      </c>
      <c r="AP61" s="37">
        <v>3</v>
      </c>
      <c r="AQ61" s="37">
        <v>0</v>
      </c>
      <c r="AR61" s="43">
        <v>14</v>
      </c>
      <c r="AS61" s="40">
        <v>12</v>
      </c>
      <c r="AT61" s="37">
        <f>COUNTIFS($D$5:$AM$5,"&lt;&gt;"&amp;CODICIONALES!$A$1,$D$5:$AM$5,"&lt;&gt;"&amp;CODICIONALES!$A$2,$D$5:$AM$5,"&lt;&gt;"&amp;CODICIONALES!$B$2,$D$5:$AM$5,"&lt;&gt;"&amp;CODICIONALES!$C$2)</f>
        <v>6</v>
      </c>
      <c r="AU61" s="43">
        <f>COUNTIFS(D61:AM61,CODICIONALES!$A$2)</f>
        <v>34</v>
      </c>
      <c r="AV61" s="40">
        <f t="shared" si="0"/>
        <v>-4</v>
      </c>
    </row>
    <row r="62" spans="1:48" ht="51" customHeight="1" x14ac:dyDescent="0.25">
      <c r="A62" s="110"/>
      <c r="B62" s="2">
        <v>58</v>
      </c>
      <c r="C62" s="21" t="s">
        <v>77</v>
      </c>
      <c r="D62" s="51" t="str">
        <f>+IF(GENERAL!E63=GENERAL!$AI$2,GENERAL!$AI$2,CONCATENATE(OBSERVACIONES!D62,"
ESTADO DE POSTVENTAS:  ",GENERAL!E63))</f>
        <v>NO ENTREGADO
ESTADO DE POSTVENTAS:  TIENE POSTVENTA</v>
      </c>
      <c r="E62" s="70" t="str">
        <f>+IF(GENERAL!F63=GENERAL!$AI$2,GENERAL!$AI$2,CONCATENATE(OBSERVACIONES!E62,"
ESTADO DE POSTVENTAS:  ",GENERAL!F63))</f>
        <v>OK
ESTADO DE POSTVENTAS:  POSTVENTA CORREGIDA</v>
      </c>
      <c r="F62" s="51" t="str">
        <f>+IF(GENERAL!G63=GENERAL!$AI$2,GENERAL!$AI$2,CONCATENATE(OBSERVACIONES!F62,"
ESTADO DE POSTVENTAS:  ",GENERAL!G63))</f>
        <v>OK
ESTADO DE POSTVENTAS:  POSTVENTA CORREGIDA</v>
      </c>
      <c r="G62" s="51" t="str">
        <f>+IF(GENERAL!H63=GENERAL!$AI$2,GENERAL!$AI$2,CONCATENATE(OBSERVACIONES!G62,"
ESTADO DE POSTVENTAS:  ",GENERAL!H63))</f>
        <v>NO ENTREGADO
ESTADO DE POSTVENTAS:  TIENE POSTVENTA</v>
      </c>
      <c r="H62" s="51" t="str">
        <f>+IF(GENERAL!I63=GENERAL!$AI$2,GENERAL!$AI$2,CONCATENATE(OBSERVACIONES!H62,"
ESTADO DE POSTVENTAS:  ",GENERAL!I63))</f>
        <v>OK
ESTADO DE POSTVENTAS:  POSTVENTA CORREGIDA</v>
      </c>
      <c r="I62" s="51" t="str">
        <f>+IF(GENERAL!J63=GENERAL!$AI$2,GENERAL!$AI$2,CONCATENATE(OBSERVACIONES!I62,"
ESTADO DE POSTVENTAS:  ",GENERAL!J63))</f>
        <v>OK
ESTADO DE POSTVENTAS:  POSTVENTA CORREGIDA</v>
      </c>
      <c r="J62" s="51" t="str">
        <f>+IF(GENERAL!K63=GENERAL!$AI$2,GENERAL!$AI$2,CONCATENATE(OBSERVACIONES!J62,"
ESTADO DE POSTVENTAS:  ",GENERAL!K63))</f>
        <v>OK
ESTADO DE POSTVENTAS:  POSTVENTA CORREGIDA</v>
      </c>
      <c r="K62" s="51" t="str">
        <f>+IF(GENERAL!L63=GENERAL!$AI$2,GENERAL!$AI$2,CONCATENATE(OBSERVACIONES!K62,"
ESTADO DE POSTVENTAS:  ",GENERAL!L63))</f>
        <v>OK
ESTADO DE POSTVENTAS:  POSTVENTA CORREGIDA</v>
      </c>
      <c r="L62" s="51" t="str">
        <f>+IF(GENERAL!M63=GENERAL!$AI$2,GENERAL!$AI$2,CONCATENATE(OBSERVACIONES!L62,"
ESTADO DE POSTVENTAS:  ",GENERAL!M63))</f>
        <v>OK
ESTADO DE POSTVENTAS:  POSTVENTA CORREGIDA</v>
      </c>
      <c r="M62" s="70" t="str">
        <f>+IF(GENERAL!N63=GENERAL!$AI$2,GENERAL!$AI$2,CONCATENATE(OBSERVACIONES!M62,"
ESTADO DE POSTVENTAS:  ",GENERAL!N63))</f>
        <v>OK
ESTADO DE POSTVENTAS:  POSTVENTA CORREGIDA</v>
      </c>
      <c r="N62" s="51" t="str">
        <f>+IF(GENERAL!O63=GENERAL!$AI$2,GENERAL!$AI$2,CONCATENATE(OBSERVACIONES!N62,"
ESTADO DE POSTVENTAS:  ",GENERAL!O63))</f>
        <v>OK
ESTADO DE POSTVENTAS:  POSTVENTA CORREGIDA</v>
      </c>
      <c r="O62" s="70" t="str">
        <f>+IF(GENERAL!P63=GENERAL!$AI$2,GENERAL!$AI$2,CONCATENATE(OBSERVACIONES!O62,"
ESTADO DE POSTVENTAS:  ",GENERAL!P63))</f>
        <v>DETALLES DESNIVEL
ESTADO DE POSTVENTAS:  TIENE POSTVENTA</v>
      </c>
      <c r="P62" s="70" t="str">
        <f>+IF(GENERAL!Q63=GENERAL!$AI$2,GENERAL!$AI$2,CONCATENATE(OBSERVACIONES!P62,"
ESTADO DE POSTVENTAS:  ",GENERAL!Q63))</f>
        <v>OK
ESTADO DE POSTVENTAS:  POSTVENTA CORREGIDA</v>
      </c>
      <c r="Q62" s="70" t="str">
        <f>+IF(GENERAL!R63=GENERAL!$AI$2,GENERAL!$AI$2,CONCATENATE(OBSERVACIONES!Q62,"
ESTADO DE POSTVENTAS:  ",GENERAL!R63))</f>
        <v>OK
ESTADO DE POSTVENTAS:  POSTVENTA CORREGIDA</v>
      </c>
      <c r="R62" s="51" t="str">
        <f>+IF(GENERAL!S63=GENERAL!$AI$2,GENERAL!$AI$2,CONCATENATE(OBSERVACIONES!R62,"
ESTADO DE POSTVENTAS:  ",GENERAL!S63))</f>
        <v>OK
ESTADO DE POSTVENTAS:  POSTVENTA CORREGIDA</v>
      </c>
      <c r="S62" s="51" t="str">
        <f>+IF(GENERAL!T63=GENERAL!$AI$2,GENERAL!$AI$2,CONCATENATE(OBSERVACIONES!S62,"
ESTADO DE POSTVENTAS:  ",GENERAL!T63))</f>
        <v>OK
ESTADO DE POSTVENTAS:  POSTVENTA CORREGIDA</v>
      </c>
      <c r="T62" s="51" t="str">
        <f>+IF(GENERAL!U63=GENERAL!$AI$2,GENERAL!$AI$2,CONCATENATE(OBSERVACIONES!T62,"
ESTADO DE POSTVENTAS:  ",GENERAL!U63))</f>
        <v>DETALLE HUMEDAD
ESTADO DE POSTVENTAS:  TIENE POSTVENTA</v>
      </c>
      <c r="U62" s="51" t="str">
        <f>+IF(GENERAL!V63=GENERAL!$AI$2,GENERAL!$AI$2,CONCATENATE(OBSERVACIONES!U62,"
ESTADO DE POSTVENTAS:  ",GENERAL!V63))</f>
        <v>OK
ESTADO DE POSTVENTAS:  POSTVENTA CORREGIDA</v>
      </c>
      <c r="V62" s="70" t="str">
        <f>+IF(GENERAL!W63=GENERAL!$AI$2,GENERAL!$AI$2,CONCATENATE(OBSERVACIONES!V62,"
ESTADO DE POSTVENTAS:  ",GENERAL!W63))</f>
        <v>DETALLE PINTURA Y ESTUCO
ESTADO DE POSTVENTAS:  TIENE POSTVENTA</v>
      </c>
      <c r="W62" s="51" t="str">
        <f>+IF(GENERAL!V63=GENERAL!$AI$2,GENERAL!$AI$2,CONCATENATE(OBSERVACIONES!W62,"
ESTADO DE POSTVENTAS:  ",GENERAL!V63))</f>
        <v>OK
ESTADO DE POSTVENTAS:  POSTVENTA CORREGIDA</v>
      </c>
      <c r="X62" s="51" t="str">
        <f>+IF(GENERAL!W63=GENERAL!$AI$2,GENERAL!$AI$2,CONCATENATE(OBSERVACIONES!X62,"
ESTADO DE POSTVENTAS:  ",GENERAL!W63))</f>
        <v>OK
ESTADO DE POSTVENTAS:  TIENE POSTVENTA</v>
      </c>
      <c r="Y62" s="51" t="str">
        <f>+IF(GENERAL!Z63=GENERAL!$AI$2,GENERAL!$AI$2,CONCATENATE(OBSERVACIONES!Y62,"
ESTADO DE POSTVENTAS:  ",GENERAL!Z63))</f>
        <v>DETALLE PINTURA
ESTADO DE POSTVENTAS:  TIENE POSTVENTA</v>
      </c>
      <c r="Z62" s="51" t="str">
        <f>+IF(GENERAL!AA63=GENERAL!$AI$2,GENERAL!$AI$2,CONCATENATE(OBSERVACIONES!Z62,"
ESTADO DE POSTVENTAS:  ",GENERAL!AA63))</f>
        <v>OK
ESTADO DE POSTVENTAS:  POSTVENTA CORREGIDA</v>
      </c>
      <c r="AA62" s="51" t="str">
        <f>+IF(GENERAL!AB63=GENERAL!$AI$2,GENERAL!$AI$2,CONCATENATE(OBSERVACIONES!AA62,"
ESTADO DE POSTVENTAS:  ",GENERAL!AB63))</f>
        <v>OK
ESTADO DE POSTVENTAS:  POSTVENTA CORREGIDA</v>
      </c>
      <c r="AB62" s="70" t="str">
        <f>+IF(GENERAL!AC63=GENERAL!$AI$2,GENERAL!$AI$2,CONCATENATE(OBSERVACIONES!AB62,"
ESTADO DE POSTVENTAS:  ",GENERAL!AC63))</f>
        <v>OK
ESTADO DE POSTVENTAS:  POSTVENTA CORREGIDA</v>
      </c>
      <c r="AC62" s="70" t="str">
        <f>+IF(GENERAL!AD63=GENERAL!$AI$2,GENERAL!$AI$2,CONCATENATE(OBSERVACIONES!AC62,"
ESTADO DE POSTVENTAS:  ",GENERAL!AD63))</f>
        <v>OK
ESTADO DE POSTVENTAS:  POSTVENTA CORREGIDA</v>
      </c>
      <c r="AD62" s="51" t="str">
        <f>+IF(GENERAL!AE63=GENERAL!$AI$2,GENERAL!$AI$2,CONCATENATE(OBSERVACIONES!AD62,"
ESTADO DE POSTVENTAS:  ",GENERAL!AE63))</f>
        <v>OK
ESTADO DE POSTVENTAS:  POSTVENTA CORREGIDA</v>
      </c>
      <c r="AE62" s="70" t="str">
        <f>+IF(GENERAL!AF63=GENERAL!$AI$2,GENERAL!$AI$2,CONCATENATE(OBSERVACIONES!AE62,"
ESTADO DE POSTVENTAS:  ",GENERAL!AF63))</f>
        <v>DETALLE PINTURA
ESTADO DE POSTVENTAS:  TIENE POSTVENTA</v>
      </c>
      <c r="AF62" s="51" t="str">
        <f>+IF(GENERAL!AG63=GENERAL!$AI$2,GENERAL!$AI$2,CONCATENATE(OBSERVACIONES!AF62,"
ESTADO DE POSTVENTAS:  ",GENERAL!AG63))</f>
        <v>OK
ESTADO DE POSTVENTAS:  POSTVENTA CORREGIDA</v>
      </c>
      <c r="AG62" s="51" t="str">
        <f>+IF(GENERAL!AH63=GENERAL!$AI$2,GENERAL!$AI$2,CONCATENATE(OBSERVACIONES!AG62,"
ESTADO DE POSTVENTAS:  ",GENERAL!AH63))</f>
        <v>OK
ESTADO DE POSTVENTAS:  POSTVENTA CORREGIDA</v>
      </c>
      <c r="AH62" s="51" t="str">
        <f>+IF(GENERAL!AI63=GENERAL!$AI$2,GENERAL!$AI$2,CONCATENATE(OBSERVACIONES!AH62,"
ESTADO DE POSTVENTAS:  ",GENERAL!AI63))</f>
        <v>OK
ESTADO DE POSTVENTAS:  POSTVENTA CORREGIDA</v>
      </c>
      <c r="AI62" s="51" t="str">
        <f>+IF(GENERAL!AG63=GENERAL!$AI$2,GENERAL!$AI$2,CONCATENATE(OBSERVACIONES!AF62,"
ESTADO DE POSTVENTAS:  ",GENERAL!AG63))</f>
        <v>OK
ESTADO DE POSTVENTAS:  POSTVENTA CORREGIDA</v>
      </c>
      <c r="AJ62" s="51" t="str">
        <f>+IF(GENERAL!AI63=GENERAL!$AI$2,GENERAL!$AI$2,CONCATENATE(OBSERVACIONES!AH62,"
ESTADO DE POSTVENTAS:  ",GENERAL!AI63))</f>
        <v>OK
ESTADO DE POSTVENTAS:  POSTVENTA CORREGIDA</v>
      </c>
      <c r="AK62" s="51" t="str">
        <f>+IF(GENERAL!AJ63=GENERAL!$AI$2,GENERAL!$AI$2,CONCATENATE(OBSERVACIONES!AI62,"
ESTADO DE POSTVENTAS:  ",GENERAL!AJ63))</f>
        <v>OK
ESTADO DE POSTVENTAS:  POSTVENTA CORREGIDA</v>
      </c>
      <c r="AL62" s="51" t="str">
        <f>+IF(GENERAL!AK63=GENERAL!$AI$2,GENERAL!$AI$2,CONCATENATE(OBSERVACIONES!AJ62,"
ESTADO DE POSTVENTAS:  ",GENERAL!AK63))</f>
        <v>OK
ESTADO DE POSTVENTAS:  POSTVENTA CORREGIDA</v>
      </c>
      <c r="AM62" s="70" t="str">
        <f>+IF(GENERAL!AN63=GENERAL!$AI$2,GENERAL!$AI$2,CONCATENATE(OBSERVACIONES!AM62,"
ESTADO DE POSTVENTAS:  ",GENERAL!AN63))</f>
        <v>DETALLE PINTURA
ESTADO DE POSTVENTAS:  TIENE POSTVENTA</v>
      </c>
      <c r="AN62" s="37">
        <v>5</v>
      </c>
      <c r="AO62" s="37">
        <v>6</v>
      </c>
      <c r="AP62" s="37">
        <v>3</v>
      </c>
      <c r="AQ62" s="37">
        <v>3</v>
      </c>
      <c r="AR62" s="43">
        <v>12</v>
      </c>
      <c r="AS62" s="40">
        <v>11</v>
      </c>
      <c r="AT62" s="37">
        <f>COUNTIFS($D$5:$AM$5,"&lt;&gt;"&amp;CODICIONALES!$A$1,$D$5:$AM$5,"&lt;&gt;"&amp;CODICIONALES!$A$2,$D$5:$AM$5,"&lt;&gt;"&amp;CODICIONALES!$B$2,$D$5:$AM$5,"&lt;&gt;"&amp;CODICIONALES!$C$2)</f>
        <v>6</v>
      </c>
      <c r="AU62" s="43">
        <f>COUNTIFS(D62:AM62,CODICIONALES!$A$2)</f>
        <v>27</v>
      </c>
      <c r="AV62" s="40">
        <f t="shared" si="0"/>
        <v>3</v>
      </c>
    </row>
    <row r="63" spans="1:48" ht="51" customHeight="1" x14ac:dyDescent="0.25">
      <c r="A63" s="110"/>
      <c r="B63" s="2">
        <v>59</v>
      </c>
      <c r="C63" s="21" t="s">
        <v>59</v>
      </c>
      <c r="D63" s="51" t="str">
        <f>+IF(GENERAL!E64=GENERAL!$AI$2,GENERAL!$AI$2,CONCATENATE(OBSERVACIONES!D63,"
ESTADO DE POSTVENTAS:  ",GENERAL!E64))</f>
        <v>NO ENTREGADO
ESTADO DE POSTVENTAS:  TIENE POSTVENTA</v>
      </c>
      <c r="E63" s="51" t="str">
        <f>+IF(GENERAL!F64=GENERAL!$AI$2,GENERAL!$AI$2,CONCATENATE(OBSERVACIONES!E63,"
ESTADO DE POSTVENTAS:  ",GENERAL!F64))</f>
        <v>OK
ESTADO DE POSTVENTAS:  POSTVENTA CORREGIDA</v>
      </c>
      <c r="F63" s="51" t="str">
        <f>+IF(GENERAL!G64=GENERAL!$AI$2,GENERAL!$AI$2,CONCATENATE(OBSERVACIONES!F63,"
ESTADO DE POSTVENTAS:  ",GENERAL!G64))</f>
        <v>OK
ESTADO DE POSTVENTAS:  POSTVENTA CORREGIDA</v>
      </c>
      <c r="G63" s="51" t="str">
        <f>+IF(GENERAL!H64=GENERAL!$AI$2,GENERAL!$AI$2,CONCATENATE(OBSERVACIONES!G63,"
ESTADO DE POSTVENTAS:  ",GENERAL!H64))</f>
        <v>NO ENTREGADO
ESTADO DE POSTVENTAS:  TIENE POSTVENTA</v>
      </c>
      <c r="H63" s="51" t="str">
        <f>+IF(GENERAL!I64=GENERAL!$AI$2,GENERAL!$AI$2,CONCATENATE(OBSERVACIONES!H63,"
ESTADO DE POSTVENTAS:  ",GENERAL!I64))</f>
        <v>OK
ESTADO DE POSTVENTAS:  POSTVENTA CORREGIDA</v>
      </c>
      <c r="I63" s="51" t="str">
        <f>+IF(GENERAL!J64=GENERAL!$AI$2,GENERAL!$AI$2,CONCATENATE(OBSERVACIONES!I63,"
ESTADO DE POSTVENTAS:  ",GENERAL!J64))</f>
        <v>OK
ESTADO DE POSTVENTAS:  POSTVENTA CORREGIDA</v>
      </c>
      <c r="J63" s="51" t="str">
        <f>+IF(GENERAL!K64=GENERAL!$AI$2,GENERAL!$AI$2,CONCATENATE(OBSERVACIONES!J63,"
ESTADO DE POSTVENTAS:  ",GENERAL!K64))</f>
        <v>OK
ESTADO DE POSTVENTAS:  POSTVENTA CORREGIDA</v>
      </c>
      <c r="K63" s="51" t="str">
        <f>+IF(GENERAL!L64=GENERAL!$AI$2,GENERAL!$AI$2,CONCATENATE(OBSERVACIONES!K63,"
ESTADO DE POSTVENTAS:  ",GENERAL!L64))</f>
        <v>OK
ESTADO DE POSTVENTAS:  POSTVENTA CORREGIDA</v>
      </c>
      <c r="L63" s="51" t="str">
        <f>+IF(GENERAL!M64=GENERAL!$AI$2,GENERAL!$AI$2,CONCATENATE(OBSERVACIONES!L63,"
ESTADO DE POSTVENTAS:  ",GENERAL!M64))</f>
        <v>OK
ESTADO DE POSTVENTAS:  POSTVENTA CORREGIDA</v>
      </c>
      <c r="M63" s="70" t="str">
        <f>+IF(GENERAL!N64=GENERAL!$AI$2,GENERAL!$AI$2,CONCATENATE(OBSERVACIONES!M63,"
ESTADO DE POSTVENTAS:  ",GENERAL!N64))</f>
        <v>OK
ESTADO DE POSTVENTAS:  POSTVENTA CORREGIDA</v>
      </c>
      <c r="N63" s="51" t="str">
        <f>+IF(GENERAL!O64=GENERAL!$AI$2,GENERAL!$AI$2,CONCATENATE(OBSERVACIONES!N63,"
ESTADO DE POSTVENTAS:  ",GENERAL!O64))</f>
        <v>OK
ESTADO DE POSTVENTAS:  POSTVENTA CORREGIDA</v>
      </c>
      <c r="O63" s="51" t="str">
        <f>+IF(GENERAL!P64=GENERAL!$AI$2,GENERAL!$AI$2,CONCATENATE(OBSERVACIONES!O63,"
ESTADO DE POSTVENTAS:  ",GENERAL!P64))</f>
        <v>OK
ESTADO DE POSTVENTAS:  POSTVENTA CORREGIDA</v>
      </c>
      <c r="P63" s="70" t="str">
        <f>+IF(GENERAL!Q64=GENERAL!$AI$2,GENERAL!$AI$2,CONCATENATE(OBSERVACIONES!P63,"
ESTADO DE POSTVENTAS:  ",GENERAL!Q64))</f>
        <v>DETALLE DESNIVEL
ESTADO DE POSTVENTAS:  TIENE POSTVENTA</v>
      </c>
      <c r="Q63" s="70" t="str">
        <f>+IF(GENERAL!R64=GENERAL!$AI$2,GENERAL!$AI$2,CONCATENATE(OBSERVACIONES!Q63,"
ESTADO DE POSTVENTAS:  ",GENERAL!R64))</f>
        <v>OK
ESTADO DE POSTVENTAS:  POSTVENTA CORREGIDA</v>
      </c>
      <c r="R63" s="51" t="str">
        <f>+IF(GENERAL!S64=GENERAL!$AI$2,GENERAL!$AI$2,CONCATENATE(OBSERVACIONES!R63,"
ESTADO DE POSTVENTAS:  ",GENERAL!S64))</f>
        <v>OK
ESTADO DE POSTVENTAS:  POSTVENTA CORREGIDA</v>
      </c>
      <c r="S63" s="51" t="str">
        <f>+IF(GENERAL!T64=GENERAL!$AI$2,GENERAL!$AI$2,CONCATENATE(OBSERVACIONES!S63,"
ESTADO DE POSTVENTAS:  ",GENERAL!T64))</f>
        <v>DETALLE DESNIVEL
ESTADO DE POSTVENTAS:  TIENE POSTVENTA</v>
      </c>
      <c r="T63" s="51" t="str">
        <f>+IF(GENERAL!U64=GENERAL!$AI$2,GENERAL!$AI$2,CONCATENATE(OBSERVACIONES!T63,"
ESTADO DE POSTVENTAS:  ",GENERAL!U64))</f>
        <v>OK
ESTADO DE POSTVENTAS:  POSTVENTA CORREGIDA</v>
      </c>
      <c r="U63" s="51" t="str">
        <f>+IF(GENERAL!V64=GENERAL!$AI$2,GENERAL!$AI$2,CONCATENATE(OBSERVACIONES!U63,"
ESTADO DE POSTVENTAS:  ",GENERAL!V64))</f>
        <v>OK
ESTADO DE POSTVENTAS:  POSTVENTA CORREGIDA</v>
      </c>
      <c r="V63" s="51" t="str">
        <f>+IF(GENERAL!W64=GENERAL!$AI$2,GENERAL!$AI$2,CONCATENATE(OBSERVACIONES!V63,"
ESTADO DE POSTVENTAS:  ",GENERAL!W64))</f>
        <v>OK
ESTADO DE POSTVENTAS:  POSTVENTA CORREGIDA</v>
      </c>
      <c r="W63" s="51" t="str">
        <f>+IF(GENERAL!V64=GENERAL!$AI$2,GENERAL!$AI$2,CONCATENATE(OBSERVACIONES!W63,"
ESTADO DE POSTVENTAS:  ",GENERAL!V64))</f>
        <v>OK
ESTADO DE POSTVENTAS:  POSTVENTA CORREGIDA</v>
      </c>
      <c r="X63" s="51" t="str">
        <f>+IF(GENERAL!W64=GENERAL!$AI$2,GENERAL!$AI$2,CONCATENATE(OBSERVACIONES!X63,"
ESTADO DE POSTVENTAS:  ",GENERAL!W64))</f>
        <v>OK
ESTADO DE POSTVENTAS:  POSTVENTA CORREGIDA</v>
      </c>
      <c r="Y63" s="51" t="str">
        <f>+IF(GENERAL!Z64=GENERAL!$AI$2,GENERAL!$AI$2,CONCATENATE(OBSERVACIONES!Y63,"
ESTADO DE POSTVENTAS:  ",GENERAL!Z64))</f>
        <v>OK
ESTADO DE POSTVENTAS:  POSTVENTA CORREGIDA</v>
      </c>
      <c r="Z63" s="51" t="str">
        <f>+IF(GENERAL!AA64=GENERAL!$AI$2,GENERAL!$AI$2,CONCATENATE(OBSERVACIONES!Z63,"
ESTADO DE POSTVENTAS:  ",GENERAL!AA64))</f>
        <v>OK
ESTADO DE POSTVENTAS:  POSTVENTA CORREGIDA</v>
      </c>
      <c r="AA63" s="51" t="str">
        <f>+IF(GENERAL!AB64=GENERAL!$AI$2,GENERAL!$AI$2,CONCATENATE(OBSERVACIONES!AA63,"
ESTADO DE POSTVENTAS:  ",GENERAL!AB64))</f>
        <v>OK
ESTADO DE POSTVENTAS:  POSTVENTA CORREGIDA</v>
      </c>
      <c r="AB63" s="51" t="str">
        <f>+IF(GENERAL!AC64=GENERAL!$AI$2,GENERAL!$AI$2,CONCATENATE(OBSERVACIONES!AB63,"
ESTADO DE POSTVENTAS:  ",GENERAL!AC64))</f>
        <v>OK
ESTADO DE POSTVENTAS:  POSTVENTA CORREGIDA</v>
      </c>
      <c r="AC63" s="51" t="str">
        <f>+IF(GENERAL!AD64=GENERAL!$AI$2,GENERAL!$AI$2,CONCATENATE(OBSERVACIONES!AC63,"
ESTADO DE POSTVENTAS:  ",GENERAL!AD64))</f>
        <v>OK
ESTADO DE POSTVENTAS:  POSTVENTA CORREGIDA</v>
      </c>
      <c r="AD63" s="51" t="str">
        <f>+IF(GENERAL!AE64=GENERAL!$AI$2,GENERAL!$AI$2,CONCATENATE(OBSERVACIONES!AD63,"
ESTADO DE POSTVENTAS:  ",GENERAL!AE64))</f>
        <v>OK
ESTADO DE POSTVENTAS:  POSTVENTA CORREGIDA</v>
      </c>
      <c r="AE63" s="51" t="str">
        <f>+IF(GENERAL!AF64=GENERAL!$AI$2,GENERAL!$AI$2,CONCATENATE(OBSERVACIONES!AE63,"
ESTADO DE POSTVENTAS:  ",GENERAL!AF64))</f>
        <v>OK
ESTADO DE POSTVENTAS:  POSTVENTA CORREGIDA</v>
      </c>
      <c r="AF63" s="51" t="str">
        <f>+IF(GENERAL!AG64=GENERAL!$AI$2,GENERAL!$AI$2,CONCATENATE(OBSERVACIONES!AF63,"
ESTADO DE POSTVENTAS:  ",GENERAL!AG64))</f>
        <v>OK
ESTADO DE POSTVENTAS:  POSTVENTA CORREGIDA</v>
      </c>
      <c r="AG63" s="51" t="str">
        <f>+IF(GENERAL!AH64=GENERAL!$AI$2,GENERAL!$AI$2,CONCATENATE(OBSERVACIONES!AG63,"
ESTADO DE POSTVENTAS:  ",GENERAL!AH64))</f>
        <v>OK
ESTADO DE POSTVENTAS:  POSTVENTA CORREGIDA</v>
      </c>
      <c r="AH63" s="51" t="str">
        <f>+IF(GENERAL!AI64=GENERAL!$AI$2,GENERAL!$AI$2,CONCATENATE(OBSERVACIONES!AH63,"
ESTADO DE POSTVENTAS:  ",GENERAL!AI64))</f>
        <v>OK
ESTADO DE POSTVENTAS:  POSTVENTA CORREGIDA</v>
      </c>
      <c r="AI63" s="51" t="str">
        <f>+IF(GENERAL!AG64=GENERAL!$AI$2,GENERAL!$AI$2,CONCATENATE(OBSERVACIONES!AF63,"
ESTADO DE POSTVENTAS:  ",GENERAL!AG64))</f>
        <v>OK
ESTADO DE POSTVENTAS:  POSTVENTA CORREGIDA</v>
      </c>
      <c r="AJ63" s="51" t="str">
        <f>+IF(GENERAL!AI64=GENERAL!$AI$2,GENERAL!$AI$2,CONCATENATE(OBSERVACIONES!AH63,"
ESTADO DE POSTVENTAS:  ",GENERAL!AI64))</f>
        <v>OK
ESTADO DE POSTVENTAS:  POSTVENTA CORREGIDA</v>
      </c>
      <c r="AK63" s="51" t="str">
        <f>+IF(GENERAL!AJ64=GENERAL!$AI$2,GENERAL!$AI$2,CONCATENATE(OBSERVACIONES!AI63,"
ESTADO DE POSTVENTAS:  ",GENERAL!AJ64))</f>
        <v>OK
ESTADO DE POSTVENTAS:  POSTVENTA CORREGIDA</v>
      </c>
      <c r="AL63" s="51" t="str">
        <f>+IF(GENERAL!AK64=GENERAL!$AI$2,GENERAL!$AI$2,CONCATENATE(OBSERVACIONES!AJ63,"
ESTADO DE POSTVENTAS:  ",GENERAL!AK64))</f>
        <v>OK
ESTADO DE POSTVENTAS:  POSTVENTA CORREGIDA</v>
      </c>
      <c r="AM63" s="51" t="str">
        <f>+IF(GENERAL!AN64=GENERAL!$AI$2,GENERAL!$AI$2,CONCATENATE(OBSERVACIONES!AM63,"
ESTADO DE POSTVENTAS:  ",GENERAL!AN64))</f>
        <v>OK
ESTADO DE POSTVENTAS:  POSTVENTA CORREGIDA</v>
      </c>
      <c r="AN63" s="37">
        <v>1</v>
      </c>
      <c r="AO63" s="37">
        <v>10</v>
      </c>
      <c r="AP63" s="37">
        <v>3</v>
      </c>
      <c r="AQ63" s="37">
        <v>0</v>
      </c>
      <c r="AR63" s="43">
        <v>14</v>
      </c>
      <c r="AS63" s="40">
        <v>12</v>
      </c>
      <c r="AT63" s="37">
        <f>COUNTIFS($D$5:$AM$5,"&lt;&gt;"&amp;CODICIONALES!$A$1,$D$5:$AM$5,"&lt;&gt;"&amp;CODICIONALES!$A$2,$D$5:$AM$5,"&lt;&gt;"&amp;CODICIONALES!$B$2,$D$5:$AM$5,"&lt;&gt;"&amp;CODICIONALES!$C$2)</f>
        <v>6</v>
      </c>
      <c r="AU63" s="43">
        <f>COUNTIFS(D63:AM63,CODICIONALES!$A$2)</f>
        <v>32</v>
      </c>
      <c r="AV63" s="40">
        <f t="shared" si="0"/>
        <v>-2</v>
      </c>
    </row>
    <row r="64" spans="1:48" ht="51" customHeight="1" x14ac:dyDescent="0.25">
      <c r="A64" s="110"/>
      <c r="B64" s="2">
        <v>60</v>
      </c>
      <c r="C64" s="21" t="s">
        <v>61</v>
      </c>
      <c r="D64" s="51" t="str">
        <f>+IF(GENERAL!E65=GENERAL!$AI$2,GENERAL!$AI$2,CONCATENATE(OBSERVACIONES!D64,"
ESTADO DE POSTVENTAS:  ",GENERAL!E65))</f>
        <v>NO ENTREGADO
ESTADO DE POSTVENTAS:  TIENE POSTVENTA</v>
      </c>
      <c r="E64" s="51" t="str">
        <f>+IF(GENERAL!F65=GENERAL!$AI$2,GENERAL!$AI$2,CONCATENATE(OBSERVACIONES!E64,"
ESTADO DE POSTVENTAS:  ",GENERAL!F65))</f>
        <v>OK
ESTADO DE POSTVENTAS:  POSTVENTA CORREGIDA</v>
      </c>
      <c r="F64" s="51" t="str">
        <f>+IF(GENERAL!G65=GENERAL!$AI$2,GENERAL!$AI$2,CONCATENATE(OBSERVACIONES!F64,"
ESTADO DE POSTVENTAS:  ",GENERAL!G65))</f>
        <v>OK
ESTADO DE POSTVENTAS:  POSTVENTA CORREGIDA</v>
      </c>
      <c r="G64" s="51" t="str">
        <f>+IF(GENERAL!H65=GENERAL!$AI$2,GENERAL!$AI$2,CONCATENATE(OBSERVACIONES!G64,"
ESTADO DE POSTVENTAS:  ",GENERAL!H65))</f>
        <v>NO ENTREGADO
ESTADO DE POSTVENTAS:  TIENE POSTVENTA</v>
      </c>
      <c r="H64" s="51" t="str">
        <f>+IF(GENERAL!I65=GENERAL!$AI$2,GENERAL!$AI$2,CONCATENATE(OBSERVACIONES!H64,"
ESTADO DE POSTVENTAS:  ",GENERAL!I65))</f>
        <v>OK
ESTADO DE POSTVENTAS:  POSTVENTA CORREGIDA</v>
      </c>
      <c r="I64" s="51" t="str">
        <f>+IF(GENERAL!J65=GENERAL!$AI$2,GENERAL!$AI$2,CONCATENATE(OBSERVACIONES!I64,"
ESTADO DE POSTVENTAS:  ",GENERAL!J65))</f>
        <v>OK
ESTADO DE POSTVENTAS:  POSTVENTA CORREGIDA</v>
      </c>
      <c r="J64" s="51" t="str">
        <f>+IF(GENERAL!K65=GENERAL!$AI$2,GENERAL!$AI$2,CONCATENATE(OBSERVACIONES!J64,"
ESTADO DE POSTVENTAS:  ",GENERAL!K65))</f>
        <v>OK
ESTADO DE POSTVENTAS:  POSTVENTA CORREGIDA</v>
      </c>
      <c r="K64" s="51" t="str">
        <f>+IF(GENERAL!L65=GENERAL!$AI$2,GENERAL!$AI$2,CONCATENATE(OBSERVACIONES!K64,"
ESTADO DE POSTVENTAS:  ",GENERAL!L65))</f>
        <v>OK
ESTADO DE POSTVENTAS:  POSTVENTA CORREGIDA</v>
      </c>
      <c r="L64" s="51" t="str">
        <f>+IF(GENERAL!M65=GENERAL!$AI$2,GENERAL!$AI$2,CONCATENATE(OBSERVACIONES!L64,"
ESTADO DE POSTVENTAS:  ",GENERAL!M65))</f>
        <v>OK
ESTADO DE POSTVENTAS:  POSTVENTA CORREGIDA</v>
      </c>
      <c r="M64" s="70" t="str">
        <f>+IF(GENERAL!N65=GENERAL!$AI$2,GENERAL!$AI$2,CONCATENATE(OBSERVACIONES!M64,"
ESTADO DE POSTVENTAS:  ",GENERAL!N65))</f>
        <v>OK
ESTADO DE POSTVENTAS:  POSTVENTA CORREGIDA</v>
      </c>
      <c r="N64" s="51" t="str">
        <f>+IF(GENERAL!O65=GENERAL!$AI$2,GENERAL!$AI$2,CONCATENATE(OBSERVACIONES!N64,"
ESTADO DE POSTVENTAS:  ",GENERAL!O65))</f>
        <v>OK
ESTADO DE POSTVENTAS:  POSTVENTA CORREGIDA</v>
      </c>
      <c r="O64" s="51" t="str">
        <f>+IF(GENERAL!P65=GENERAL!$AI$2,GENERAL!$AI$2,CONCATENATE(OBSERVACIONES!O64,"
ESTADO DE POSTVENTAS:  ",GENERAL!P65))</f>
        <v>OK
ESTADO DE POSTVENTAS:  POSTVENTA CORREGIDA</v>
      </c>
      <c r="P64" s="70" t="str">
        <f>+IF(GENERAL!Q65=GENERAL!$AI$2,GENERAL!$AI$2,CONCATENATE(OBSERVACIONES!P64,"
ESTADO DE POSTVENTAS:  ",GENERAL!Q65))</f>
        <v>OK
ESTADO DE POSTVENTAS:  POSTVENTA CORREGIDA</v>
      </c>
      <c r="Q64" s="70" t="str">
        <f>+IF(GENERAL!R65=GENERAL!$AI$2,GENERAL!$AI$2,CONCATENATE(OBSERVACIONES!Q64,"
ESTADO DE POSTVENTAS:  ",GENERAL!R65))</f>
        <v>OK
ESTADO DE POSTVENTAS:  POSTVENTA CORREGIDA</v>
      </c>
      <c r="R64" s="51" t="str">
        <f>+IF(GENERAL!S65=GENERAL!$AI$2,GENERAL!$AI$2,CONCATENATE(OBSERVACIONES!R64,"
ESTADO DE POSTVENTAS:  ",GENERAL!S65))</f>
        <v>OK
ESTADO DE POSTVENTAS:  POSTVENTA CORREGIDA</v>
      </c>
      <c r="S64" s="51" t="str">
        <f>+IF(GENERAL!T65=GENERAL!$AI$2,GENERAL!$AI$2,CONCATENATE(OBSERVACIONES!S64,"
ESTADO DE POSTVENTAS:  ",GENERAL!T65))</f>
        <v>OK
ESTADO DE POSTVENTAS:  POSTVENTA CORREGIDA</v>
      </c>
      <c r="T64" s="51" t="str">
        <f>+IF(GENERAL!U65=GENERAL!$AI$2,GENERAL!$AI$2,CONCATENATE(OBSERVACIONES!T64,"
ESTADO DE POSTVENTAS:  ",GENERAL!U65))</f>
        <v>OK
ESTADO DE POSTVENTAS:  POSTVENTA CORREGIDA</v>
      </c>
      <c r="U64" s="51" t="str">
        <f>+IF(GENERAL!V65=GENERAL!$AI$2,GENERAL!$AI$2,CONCATENATE(OBSERVACIONES!U64,"
ESTADO DE POSTVENTAS:  ",GENERAL!V65))</f>
        <v>OK
ESTADO DE POSTVENTAS:  POSTVENTA CORREGIDA</v>
      </c>
      <c r="V64" s="70" t="str">
        <f>+IF(GENERAL!W65=GENERAL!$AI$2,GENERAL!$AI$2,CONCATENATE(OBSERVACIONES!V64,"
ESTADO DE POSTVENTAS:  ",GENERAL!W65))</f>
        <v>DETALLE ACABADO
ESTADO DE POSTVENTAS:  TIENE POSTVENTA</v>
      </c>
      <c r="W64" s="51" t="str">
        <f>+IF(GENERAL!V65=GENERAL!$AI$2,GENERAL!$AI$2,CONCATENATE(OBSERVACIONES!W64,"
ESTADO DE POSTVENTAS:  ",GENERAL!V65))</f>
        <v>OK
ESTADO DE POSTVENTAS:  POSTVENTA CORREGIDA</v>
      </c>
      <c r="X64" s="51" t="str">
        <f>+IF(GENERAL!W65=GENERAL!$AI$2,GENERAL!$AI$2,CONCATENATE(OBSERVACIONES!X64,"
ESTADO DE POSTVENTAS:  ",GENERAL!W65))</f>
        <v>OK
ESTADO DE POSTVENTAS:  TIENE POSTVENTA</v>
      </c>
      <c r="Y64" s="51" t="str">
        <f>+IF(GENERAL!Z65=GENERAL!$AI$2,GENERAL!$AI$2,CONCATENATE(OBSERVACIONES!Y64,"
ESTADO DE POSTVENTAS:  ",GENERAL!Z65))</f>
        <v>OK
ESTADO DE POSTVENTAS:  POSTVENTA CORREGIDA</v>
      </c>
      <c r="Z64" s="51" t="str">
        <f>+IF(GENERAL!AA65=GENERAL!$AI$2,GENERAL!$AI$2,CONCATENATE(OBSERVACIONES!Z64,"
ESTADO DE POSTVENTAS:  ",GENERAL!AA65))</f>
        <v>OK
ESTADO DE POSTVENTAS:  POSTVENTA CORREGIDA</v>
      </c>
      <c r="AA64" s="51" t="str">
        <f>+IF(GENERAL!AB65=GENERAL!$AI$2,GENERAL!$AI$2,CONCATENATE(OBSERVACIONES!AA64,"
ESTADO DE POSTVENTAS:  ",GENERAL!AB65))</f>
        <v>OK
ESTADO DE POSTVENTAS:  POSTVENTA CORREGIDA</v>
      </c>
      <c r="AB64" s="51" t="str">
        <f>+IF(GENERAL!AC65=GENERAL!$AI$2,GENERAL!$AI$2,CONCATENATE(OBSERVACIONES!AB64,"
ESTADO DE POSTVENTAS:  ",GENERAL!AC65))</f>
        <v>OK
ESTADO DE POSTVENTAS:  POSTVENTA CORREGIDA</v>
      </c>
      <c r="AC64" s="51" t="str">
        <f>+IF(GENERAL!AD65=GENERAL!$AI$2,GENERAL!$AI$2,CONCATENATE(OBSERVACIONES!AC64,"
ESTADO DE POSTVENTAS:  ",GENERAL!AD65))</f>
        <v>OK
ESTADO DE POSTVENTAS:  POSTVENTA CORREGIDA</v>
      </c>
      <c r="AD64" s="51" t="str">
        <f>+IF(GENERAL!AE65=GENERAL!$AI$2,GENERAL!$AI$2,CONCATENATE(OBSERVACIONES!AD64,"
ESTADO DE POSTVENTAS:  ",GENERAL!AE65))</f>
        <v>OK
ESTADO DE POSTVENTAS:  POSTVENTA CORREGIDA</v>
      </c>
      <c r="AE64" s="51" t="str">
        <f>+IF(GENERAL!AF65=GENERAL!$AI$2,GENERAL!$AI$2,CONCATENATE(OBSERVACIONES!AE64,"
ESTADO DE POSTVENTAS:  ",GENERAL!AF65))</f>
        <v>OK
ESTADO DE POSTVENTAS:  POSTVENTA CORREGIDA</v>
      </c>
      <c r="AF64" s="51" t="str">
        <f>+IF(GENERAL!AG65=GENERAL!$AI$2,GENERAL!$AI$2,CONCATENATE(OBSERVACIONES!AF64,"
ESTADO DE POSTVENTAS:  ",GENERAL!AG65))</f>
        <v>OK
ESTADO DE POSTVENTAS:  POSTVENTA CORREGIDA</v>
      </c>
      <c r="AG64" s="51" t="str">
        <f>+IF(GENERAL!AH65=GENERAL!$AI$2,GENERAL!$AI$2,CONCATENATE(OBSERVACIONES!AG64,"
ESTADO DE POSTVENTAS:  ",GENERAL!AH65))</f>
        <v>OK
ESTADO DE POSTVENTAS:  POSTVENTA CORREGIDA</v>
      </c>
      <c r="AH64" s="51" t="str">
        <f>+IF(GENERAL!AI65=GENERAL!$AI$2,GENERAL!$AI$2,CONCATENATE(OBSERVACIONES!AH64,"
ESTADO DE POSTVENTAS:  ",GENERAL!AI65))</f>
        <v>OK
ESTADO DE POSTVENTAS:  POSTVENTA CORREGIDA</v>
      </c>
      <c r="AI64" s="51" t="str">
        <f>+IF(GENERAL!AG65=GENERAL!$AI$2,GENERAL!$AI$2,CONCATENATE(OBSERVACIONES!AF64,"
ESTADO DE POSTVENTAS:  ",GENERAL!AG65))</f>
        <v>OK
ESTADO DE POSTVENTAS:  POSTVENTA CORREGIDA</v>
      </c>
      <c r="AJ64" s="51" t="str">
        <f>+IF(GENERAL!AI65=GENERAL!$AI$2,GENERAL!$AI$2,CONCATENATE(OBSERVACIONES!AH64,"
ESTADO DE POSTVENTAS:  ",GENERAL!AI65))</f>
        <v>OK
ESTADO DE POSTVENTAS:  POSTVENTA CORREGIDA</v>
      </c>
      <c r="AK64" s="51" t="str">
        <f>+IF(GENERAL!AJ65=GENERAL!$AI$2,GENERAL!$AI$2,CONCATENATE(OBSERVACIONES!AI64,"
ESTADO DE POSTVENTAS:  ",GENERAL!AJ65))</f>
        <v>OK
ESTADO DE POSTVENTAS:  POSTVENTA CORREGIDA</v>
      </c>
      <c r="AL64" s="51" t="str">
        <f>+IF(GENERAL!AK65=GENERAL!$AI$2,GENERAL!$AI$2,CONCATENATE(OBSERVACIONES!AJ64,"
ESTADO DE POSTVENTAS:  ",GENERAL!AK65))</f>
        <v>OK
ESTADO DE POSTVENTAS:  POSTVENTA CORREGIDA</v>
      </c>
      <c r="AM64" s="51" t="str">
        <f>+IF(GENERAL!AN65=GENERAL!$AI$2,GENERAL!$AI$2,CONCATENATE(OBSERVACIONES!AM64,"
ESTADO DE POSTVENTAS:  ",GENERAL!AN65))</f>
        <v>OK
ESTADO DE POSTVENTAS:  POSTVENTA CORREGIDA</v>
      </c>
      <c r="AN64" s="37">
        <v>0</v>
      </c>
      <c r="AO64" s="37">
        <v>11</v>
      </c>
      <c r="AP64" s="37">
        <v>3</v>
      </c>
      <c r="AQ64" s="37">
        <v>0</v>
      </c>
      <c r="AR64" s="43">
        <v>14</v>
      </c>
      <c r="AS64" s="40">
        <v>12</v>
      </c>
      <c r="AT64" s="37">
        <f>COUNTIFS($D$5:$AM$5,"&lt;&gt;"&amp;CODICIONALES!$A$1,$D$5:$AM$5,"&lt;&gt;"&amp;CODICIONALES!$A$2,$D$5:$AM$5,"&lt;&gt;"&amp;CODICIONALES!$B$2,$D$5:$AM$5,"&lt;&gt;"&amp;CODICIONALES!$C$2)</f>
        <v>6</v>
      </c>
      <c r="AU64" s="43">
        <f>COUNTIFS(D64:AM64,CODICIONALES!$A$2)</f>
        <v>32</v>
      </c>
      <c r="AV64" s="40">
        <f t="shared" si="0"/>
        <v>-2</v>
      </c>
    </row>
    <row r="65" spans="1:48" ht="51" customHeight="1" x14ac:dyDescent="0.25">
      <c r="A65" s="110"/>
      <c r="B65" s="2">
        <v>61</v>
      </c>
      <c r="C65" s="21" t="s">
        <v>62</v>
      </c>
      <c r="D65" s="51" t="str">
        <f>+IF(GENERAL!E66=GENERAL!$AI$2,GENERAL!$AI$2,CONCATENATE(OBSERVACIONES!D65,"
ESTADO DE POSTVENTAS:  ",GENERAL!E66))</f>
        <v>NO ENTREGADO
ESTADO DE POSTVENTAS:  TIENE POSTVENTA</v>
      </c>
      <c r="E65" s="51" t="str">
        <f>+IF(GENERAL!F66=GENERAL!$AI$2,GENERAL!$AI$2,CONCATENATE(OBSERVACIONES!E65,"
ESTADO DE POSTVENTAS:  ",GENERAL!F66))</f>
        <v>OK
ESTADO DE POSTVENTAS:  POSTVENTA CORREGIDA</v>
      </c>
      <c r="F65" s="51" t="str">
        <f>+IF(GENERAL!G66=GENERAL!$AI$2,GENERAL!$AI$2,CONCATENATE(OBSERVACIONES!F65,"
ESTADO DE POSTVENTAS:  ",GENERAL!G66))</f>
        <v>OK
ESTADO DE POSTVENTAS:  POSTVENTA CORREGIDA</v>
      </c>
      <c r="G65" s="51" t="str">
        <f>+IF(GENERAL!H66=GENERAL!$AI$2,GENERAL!$AI$2,CONCATENATE(OBSERVACIONES!G65,"
ESTADO DE POSTVENTAS:  ",GENERAL!H66))</f>
        <v>NO ENTREGADO
ESTADO DE POSTVENTAS:  TIENE POSTVENTA</v>
      </c>
      <c r="H65" s="51" t="str">
        <f>+IF(GENERAL!I66=GENERAL!$AI$2,GENERAL!$AI$2,CONCATENATE(OBSERVACIONES!H65,"
ESTADO DE POSTVENTAS:  ",GENERAL!I66))</f>
        <v>OK
ESTADO DE POSTVENTAS:  POSTVENTA CORREGIDA</v>
      </c>
      <c r="I65" s="51" t="str">
        <f>+IF(GENERAL!J66=GENERAL!$AI$2,GENERAL!$AI$2,CONCATENATE(OBSERVACIONES!I65,"
ESTADO DE POSTVENTAS:  ",GENERAL!J66))</f>
        <v>OK
ESTADO DE POSTVENTAS:  POSTVENTA CORREGIDA</v>
      </c>
      <c r="J65" s="51" t="str">
        <f>+IF(GENERAL!K66=GENERAL!$AI$2,GENERAL!$AI$2,CONCATENATE(OBSERVACIONES!J65,"
ESTADO DE POSTVENTAS:  ",GENERAL!K66))</f>
        <v>OK
ESTADO DE POSTVENTAS:  POSTVENTA CORREGIDA</v>
      </c>
      <c r="K65" s="51" t="str">
        <f>+IF(GENERAL!L66=GENERAL!$AI$2,GENERAL!$AI$2,CONCATENATE(OBSERVACIONES!K65,"
ESTADO DE POSTVENTAS:  ",GENERAL!L66))</f>
        <v>OK
ESTADO DE POSTVENTAS:  POSTVENTA CORREGIDA</v>
      </c>
      <c r="L65" s="51" t="str">
        <f>+IF(GENERAL!M66=GENERAL!$AI$2,GENERAL!$AI$2,CONCATENATE(OBSERVACIONES!L65,"
ESTADO DE POSTVENTAS:  ",GENERAL!M66))</f>
        <v>OK
ESTADO DE POSTVENTAS:  POSTVENTA CORREGIDA</v>
      </c>
      <c r="M65" s="70" t="str">
        <f>+IF(GENERAL!N66=GENERAL!$AI$2,GENERAL!$AI$2,CONCATENATE(OBSERVACIONES!M65,"
ESTADO DE POSTVENTAS:  ",GENERAL!N66))</f>
        <v>OK
ESTADO DE POSTVENTAS:  POSTVENTA CORREGIDA</v>
      </c>
      <c r="N65" s="51" t="str">
        <f>+IF(GENERAL!O66=GENERAL!$AI$2,GENERAL!$AI$2,CONCATENATE(OBSERVACIONES!N65,"
ESTADO DE POSTVENTAS:  ",GENERAL!O66))</f>
        <v>OK
ESTADO DE POSTVENTAS:  POSTVENTA CORREGIDA</v>
      </c>
      <c r="O65" s="51" t="str">
        <f>+IF(GENERAL!P66=GENERAL!$AI$2,GENERAL!$AI$2,CONCATENATE(OBSERVACIONES!O65,"
ESTADO DE POSTVENTAS:  ",GENERAL!P66))</f>
        <v>OK
ESTADO DE POSTVENTAS:  POSTVENTA CORREGIDA</v>
      </c>
      <c r="P65" s="70" t="str">
        <f>+IF(GENERAL!Q66=GENERAL!$AI$2,GENERAL!$AI$2,CONCATENATE(OBSERVACIONES!P65,"
ESTADO DE POSTVENTAS:  ",GENERAL!Q66))</f>
        <v>OK
ESTADO DE POSTVENTAS:  POSTVENTA CORREGIDA</v>
      </c>
      <c r="Q65" s="70" t="str">
        <f>+IF(GENERAL!R66=GENERAL!$AI$2,GENERAL!$AI$2,CONCATENATE(OBSERVACIONES!Q65,"
ESTADO DE POSTVENTAS:  ",GENERAL!R66))</f>
        <v>OK
ESTADO DE POSTVENTAS:  POSTVENTA CORREGIDA</v>
      </c>
      <c r="R65" s="51" t="str">
        <f>+IF(GENERAL!S66=GENERAL!$AI$2,GENERAL!$AI$2,CONCATENATE(OBSERVACIONES!R65,"
ESTADO DE POSTVENTAS:  ",GENERAL!S66))</f>
        <v>OK
ESTADO DE POSTVENTAS:  POSTVENTA CORREGIDA</v>
      </c>
      <c r="S65" s="51" t="str">
        <f>+IF(GENERAL!T66=GENERAL!$AI$2,GENERAL!$AI$2,CONCATENATE(OBSERVACIONES!S65,"
ESTADO DE POSTVENTAS:  ",GENERAL!T66))</f>
        <v>OK
ESTADO DE POSTVENTAS:  POSTVENTA CORREGIDA</v>
      </c>
      <c r="T65" s="51" t="str">
        <f>+IF(GENERAL!U66=GENERAL!$AI$2,GENERAL!$AI$2,CONCATENATE(OBSERVACIONES!T65,"
ESTADO DE POSTVENTAS:  ",GENERAL!U66))</f>
        <v>OK
ESTADO DE POSTVENTAS:  POSTVENTA CORREGIDA</v>
      </c>
      <c r="U65" s="51" t="str">
        <f>+IF(GENERAL!V66=GENERAL!$AI$2,GENERAL!$AI$2,CONCATENATE(OBSERVACIONES!U65,"
ESTADO DE POSTVENTAS:  ",GENERAL!V66))</f>
        <v>OK
ESTADO DE POSTVENTAS:  POSTVENTA CORREGIDA</v>
      </c>
      <c r="V65" s="51" t="str">
        <f>+IF(GENERAL!W66=GENERAL!$AI$2,GENERAL!$AI$2,CONCATENATE(OBSERVACIONES!V65,"
ESTADO DE POSTVENTAS:  ",GENERAL!W66))</f>
        <v>OK
ESTADO DE POSTVENTAS:  POSTVENTA CORREGIDA</v>
      </c>
      <c r="W65" s="51" t="str">
        <f>+IF(GENERAL!V66=GENERAL!$AI$2,GENERAL!$AI$2,CONCATENATE(OBSERVACIONES!W65,"
ESTADO DE POSTVENTAS:  ",GENERAL!V66))</f>
        <v>OK
ESTADO DE POSTVENTAS:  POSTVENTA CORREGIDA</v>
      </c>
      <c r="X65" s="51" t="str">
        <f>+IF(GENERAL!W66=GENERAL!$AI$2,GENERAL!$AI$2,CONCATENATE(OBSERVACIONES!X65,"
ESTADO DE POSTVENTAS:  ",GENERAL!W66))</f>
        <v>OK
ESTADO DE POSTVENTAS:  POSTVENTA CORREGIDA</v>
      </c>
      <c r="Y65" s="51" t="str">
        <f>+IF(GENERAL!Z66=GENERAL!$AI$2,GENERAL!$AI$2,CONCATENATE(OBSERVACIONES!Y65,"
ESTADO DE POSTVENTAS:  ",GENERAL!Z66))</f>
        <v>OK
ESTADO DE POSTVENTAS:  POSTVENTA CORREGIDA</v>
      </c>
      <c r="Z65" s="51" t="str">
        <f>+IF(GENERAL!AA66=GENERAL!$AI$2,GENERAL!$AI$2,CONCATENATE(OBSERVACIONES!Z65,"
ESTADO DE POSTVENTAS:  ",GENERAL!AA66))</f>
        <v>OK
ESTADO DE POSTVENTAS:  POSTVENTA CORREGIDA</v>
      </c>
      <c r="AA65" s="51" t="str">
        <f>+IF(GENERAL!AB66=GENERAL!$AI$2,GENERAL!$AI$2,CONCATENATE(OBSERVACIONES!AA65,"
ESTADO DE POSTVENTAS:  ",GENERAL!AB66))</f>
        <v>OK
ESTADO DE POSTVENTAS:  POSTVENTA CORREGIDA</v>
      </c>
      <c r="AB65" s="51" t="str">
        <f>+IF(GENERAL!AC66=GENERAL!$AI$2,GENERAL!$AI$2,CONCATENATE(OBSERVACIONES!AB65,"
ESTADO DE POSTVENTAS:  ",GENERAL!AC66))</f>
        <v>OK
ESTADO DE POSTVENTAS:  POSTVENTA CORREGIDA</v>
      </c>
      <c r="AC65" s="51" t="str">
        <f>+IF(GENERAL!AD66=GENERAL!$AI$2,GENERAL!$AI$2,CONCATENATE(OBSERVACIONES!AC65,"
ESTADO DE POSTVENTAS:  ",GENERAL!AD66))</f>
        <v>OK
ESTADO DE POSTVENTAS:  POSTVENTA CORREGIDA</v>
      </c>
      <c r="AD65" s="51" t="str">
        <f>+IF(GENERAL!AE66=GENERAL!$AI$2,GENERAL!$AI$2,CONCATENATE(OBSERVACIONES!AD65,"
ESTADO DE POSTVENTAS:  ",GENERAL!AE66))</f>
        <v>OK
ESTADO DE POSTVENTAS:  POSTVENTA CORREGIDA</v>
      </c>
      <c r="AE65" s="51" t="str">
        <f>+IF(GENERAL!AF66=GENERAL!$AI$2,GENERAL!$AI$2,CONCATENATE(OBSERVACIONES!AE65,"
ESTADO DE POSTVENTAS:  ",GENERAL!AF66))</f>
        <v>OK
ESTADO DE POSTVENTAS:  POSTVENTA CORREGIDA</v>
      </c>
      <c r="AF65" s="51" t="str">
        <f>+IF(GENERAL!AG66=GENERAL!$AI$2,GENERAL!$AI$2,CONCATENATE(OBSERVACIONES!AF65,"
ESTADO DE POSTVENTAS:  ",GENERAL!AG66))</f>
        <v>OK
ESTADO DE POSTVENTAS:  POSTVENTA CORREGIDA</v>
      </c>
      <c r="AG65" s="51" t="str">
        <f>+IF(GENERAL!AH66=GENERAL!$AI$2,GENERAL!$AI$2,CONCATENATE(OBSERVACIONES!AG65,"
ESTADO DE POSTVENTAS:  ",GENERAL!AH66))</f>
        <v>OK
ESTADO DE POSTVENTAS:  POSTVENTA CORREGIDA</v>
      </c>
      <c r="AH65" s="51" t="str">
        <f>+IF(GENERAL!AI66=GENERAL!$AI$2,GENERAL!$AI$2,CONCATENATE(OBSERVACIONES!AH65,"
ESTADO DE POSTVENTAS:  ",GENERAL!AI66))</f>
        <v>OK
ESTADO DE POSTVENTAS:  POSTVENTA CORREGIDA</v>
      </c>
      <c r="AI65" s="51" t="str">
        <f>+IF(GENERAL!AG66=GENERAL!$AI$2,GENERAL!$AI$2,CONCATENATE(OBSERVACIONES!AF65,"
ESTADO DE POSTVENTAS:  ",GENERAL!AG66))</f>
        <v>OK
ESTADO DE POSTVENTAS:  POSTVENTA CORREGIDA</v>
      </c>
      <c r="AJ65" s="51" t="str">
        <f>+IF(GENERAL!AI66=GENERAL!$AI$2,GENERAL!$AI$2,CONCATENATE(OBSERVACIONES!AH65,"
ESTADO DE POSTVENTAS:  ",GENERAL!AI66))</f>
        <v>OK
ESTADO DE POSTVENTAS:  POSTVENTA CORREGIDA</v>
      </c>
      <c r="AK65" s="51" t="str">
        <f>+IF(GENERAL!AJ66=GENERAL!$AI$2,GENERAL!$AI$2,CONCATENATE(OBSERVACIONES!AI65,"
ESTADO DE POSTVENTAS:  ",GENERAL!AJ66))</f>
        <v>OK
ESTADO DE POSTVENTAS:  POSTVENTA CORREGIDA</v>
      </c>
      <c r="AL65" s="51" t="str">
        <f>+IF(GENERAL!AK66=GENERAL!$AI$2,GENERAL!$AI$2,CONCATENATE(OBSERVACIONES!AJ65,"
ESTADO DE POSTVENTAS:  ",GENERAL!AK66))</f>
        <v>OK
ESTADO DE POSTVENTAS:  POSTVENTA CORREGIDA</v>
      </c>
      <c r="AM65" s="51" t="str">
        <f>+IF(GENERAL!AN66=GENERAL!$AI$2,GENERAL!$AI$2,CONCATENATE(OBSERVACIONES!AM65,"
ESTADO DE POSTVENTAS:  ",GENERAL!AN66))</f>
        <v>OK
ESTADO DE POSTVENTAS:  POSTVENTA CORREGIDA</v>
      </c>
      <c r="AN65" s="37">
        <v>1</v>
      </c>
      <c r="AO65" s="37">
        <v>10</v>
      </c>
      <c r="AP65" s="37">
        <v>3</v>
      </c>
      <c r="AQ65" s="37">
        <v>0</v>
      </c>
      <c r="AR65" s="43">
        <v>14</v>
      </c>
      <c r="AS65" s="40">
        <v>12</v>
      </c>
      <c r="AT65" s="37">
        <f>COUNTIFS($D$5:$AM$5,"&lt;&gt;"&amp;CODICIONALES!$A$1,$D$5:$AM$5,"&lt;&gt;"&amp;CODICIONALES!$A$2,$D$5:$AM$5,"&lt;&gt;"&amp;CODICIONALES!$B$2,$D$5:$AM$5,"&lt;&gt;"&amp;CODICIONALES!$C$2)</f>
        <v>6</v>
      </c>
      <c r="AU65" s="43">
        <f>COUNTIFS(D65:AM65,CODICIONALES!$A$2)</f>
        <v>34</v>
      </c>
      <c r="AV65" s="40">
        <f t="shared" si="0"/>
        <v>-4</v>
      </c>
    </row>
    <row r="66" spans="1:48" ht="51" customHeight="1" x14ac:dyDescent="0.25">
      <c r="A66" s="111"/>
      <c r="B66" s="2">
        <v>62</v>
      </c>
      <c r="C66" s="26" t="s">
        <v>78</v>
      </c>
      <c r="D66" s="51" t="str">
        <f>+IF(GENERAL!E67=GENERAL!$AI$2,GENERAL!$AI$2,CONCATENATE(OBSERVACIONES!D66,"
ESTADO DE POSTVENTAS:  ",GENERAL!E67))</f>
        <v>NO ENTREGADO
ESTADO DE POSTVENTAS:  TIENE POSTVENTA</v>
      </c>
      <c r="E66" s="51" t="str">
        <f>+IF(GENERAL!F67=GENERAL!$AI$2,GENERAL!$AI$2,CONCATENATE(OBSERVACIONES!E66,"
ESTADO DE POSTVENTAS:  ",GENERAL!F67))</f>
        <v>OK
ESTADO DE POSTVENTAS:  POSTVENTA CORREGIDA</v>
      </c>
      <c r="F66" s="51" t="str">
        <f>+IF(GENERAL!G67=GENERAL!$AI$2,GENERAL!$AI$2,CONCATENATE(OBSERVACIONES!F66,"
ESTADO DE POSTVENTAS:  ",GENERAL!G67))</f>
        <v>OK
ESTADO DE POSTVENTAS:  POSTVENTA CORREGIDA</v>
      </c>
      <c r="G66" s="51" t="str">
        <f>+IF(GENERAL!H67=GENERAL!$AI$2,GENERAL!$AI$2,CONCATENATE(OBSERVACIONES!G66,"
ESTADO DE POSTVENTAS:  ",GENERAL!H67))</f>
        <v>NO ENTREGADO
ESTADO DE POSTVENTAS:  TIENE POSTVENTA</v>
      </c>
      <c r="H66" s="51" t="str">
        <f>+IF(GENERAL!I67=GENERAL!$AI$2,GENERAL!$AI$2,CONCATENATE(OBSERVACIONES!H66,"
ESTADO DE POSTVENTAS:  ",GENERAL!I67))</f>
        <v>OK
ESTADO DE POSTVENTAS:  POSTVENTA CORREGIDA</v>
      </c>
      <c r="I66" s="51" t="str">
        <f>+IF(GENERAL!J67=GENERAL!$AI$2,GENERAL!$AI$2,CONCATENATE(OBSERVACIONES!I66,"
ESTADO DE POSTVENTAS:  ",GENERAL!J67))</f>
        <v>OK
ESTADO DE POSTVENTAS:  POSTVENTA CORREGIDA</v>
      </c>
      <c r="J66" s="51" t="str">
        <f>+IF(GENERAL!K67=GENERAL!$AI$2,GENERAL!$AI$2,CONCATENATE(OBSERVACIONES!J66,"
ESTADO DE POSTVENTAS:  ",GENERAL!K67))</f>
        <v>OK
ESTADO DE POSTVENTAS:  POSTVENTA CORREGIDA</v>
      </c>
      <c r="K66" s="51" t="str">
        <f>+IF(GENERAL!L67=GENERAL!$AI$2,GENERAL!$AI$2,CONCATENATE(OBSERVACIONES!K66,"
ESTADO DE POSTVENTAS:  ",GENERAL!L67))</f>
        <v>OK
ESTADO DE POSTVENTAS:  POSTVENTA CORREGIDA</v>
      </c>
      <c r="L66" s="51" t="str">
        <f>+IF(GENERAL!M67=GENERAL!$AI$2,GENERAL!$AI$2,CONCATENATE(OBSERVACIONES!L66,"
ESTADO DE POSTVENTAS:  ",GENERAL!M67))</f>
        <v>OK
ESTADO DE POSTVENTAS:  POSTVENTA CORREGIDA</v>
      </c>
      <c r="M66" s="70" t="str">
        <f>+IF(GENERAL!N67=GENERAL!$AI$2,GENERAL!$AI$2,CONCATENATE(OBSERVACIONES!M66,"
ESTADO DE POSTVENTAS:  ",GENERAL!N67))</f>
        <v>OK
ESTADO DE POSTVENTAS:  POSTVENTA CORREGIDA</v>
      </c>
      <c r="N66" s="51" t="str">
        <f>+IF(GENERAL!O67=GENERAL!$AI$2,GENERAL!$AI$2,CONCATENATE(OBSERVACIONES!N66,"
ESTADO DE POSTVENTAS:  ",GENERAL!O67))</f>
        <v>OK
ESTADO DE POSTVENTAS:  POSTVENTA CORREGIDA</v>
      </c>
      <c r="O66" s="51" t="str">
        <f>+IF(GENERAL!P67=GENERAL!$AI$2,GENERAL!$AI$2,CONCATENATE(OBSERVACIONES!O66,"
ESTADO DE POSTVENTAS:  ",GENERAL!P67))</f>
        <v>OK
ESTADO DE POSTVENTAS:  POSTVENTA CORREGIDA</v>
      </c>
      <c r="P66" s="70" t="str">
        <f>+IF(GENERAL!Q67=GENERAL!$AI$2,GENERAL!$AI$2,CONCATENATE(OBSERVACIONES!P66,"
ESTADO DE POSTVENTAS:  ",GENERAL!Q67))</f>
        <v>OK
ESTADO DE POSTVENTAS:  POSTVENTA CORREGIDA</v>
      </c>
      <c r="Q66" s="70" t="str">
        <f>+IF(GENERAL!R67=GENERAL!$AI$2,GENERAL!$AI$2,CONCATENATE(OBSERVACIONES!Q66,"
ESTADO DE POSTVENTAS:  ",GENERAL!R67))</f>
        <v>OK
ESTADO DE POSTVENTAS:  POSTVENTA CORREGIDA</v>
      </c>
      <c r="R66" s="51" t="str">
        <f>+IF(GENERAL!S67=GENERAL!$AI$2,GENERAL!$AI$2,CONCATENATE(OBSERVACIONES!R66,"
ESTADO DE POSTVENTAS:  ",GENERAL!S67))</f>
        <v>OK
ESTADO DE POSTVENTAS:  POSTVENTA CORREGIDA</v>
      </c>
      <c r="S66" s="51" t="str">
        <f>+IF(GENERAL!T67=GENERAL!$AI$2,GENERAL!$AI$2,CONCATENATE(OBSERVACIONES!S66,"
ESTADO DE POSTVENTAS:  ",GENERAL!T67))</f>
        <v>OK
ESTADO DE POSTVENTAS:  POSTVENTA CORREGIDA</v>
      </c>
      <c r="T66" s="51" t="str">
        <f>+IF(GENERAL!U67=GENERAL!$AI$2,GENERAL!$AI$2,CONCATENATE(OBSERVACIONES!T66,"
ESTADO DE POSTVENTAS:  ",GENERAL!U67))</f>
        <v>OK
ESTADO DE POSTVENTAS:  POSTVENTA CORREGIDA</v>
      </c>
      <c r="U66" s="51" t="str">
        <f>+IF(GENERAL!V67=GENERAL!$AI$2,GENERAL!$AI$2,CONCATENATE(OBSERVACIONES!U66,"
ESTADO DE POSTVENTAS:  ",GENERAL!V67))</f>
        <v>OK
ESTADO DE POSTVENTAS:  POSTVENTA CORREGIDA</v>
      </c>
      <c r="V66" s="51" t="str">
        <f>+IF(GENERAL!W67=GENERAL!$AI$2,GENERAL!$AI$2,CONCATENATE(OBSERVACIONES!V66,"
ESTADO DE POSTVENTAS:  ",GENERAL!W67))</f>
        <v>OK
ESTADO DE POSTVENTAS:  POSTVENTA CORREGIDA</v>
      </c>
      <c r="W66" s="51" t="str">
        <f>+IF(GENERAL!V67=GENERAL!$AI$2,GENERAL!$AI$2,CONCATENATE(OBSERVACIONES!W66,"
ESTADO DE POSTVENTAS:  ",GENERAL!V67))</f>
        <v>OK
ESTADO DE POSTVENTAS:  POSTVENTA CORREGIDA</v>
      </c>
      <c r="X66" s="51" t="str">
        <f>+IF(GENERAL!W67=GENERAL!$AI$2,GENERAL!$AI$2,CONCATENATE(OBSERVACIONES!X66,"
ESTADO DE POSTVENTAS:  ",GENERAL!W67))</f>
        <v>OK
ESTADO DE POSTVENTAS:  POSTVENTA CORREGIDA</v>
      </c>
      <c r="Y66" s="51" t="str">
        <f>+IF(GENERAL!Z67=GENERAL!$AI$2,GENERAL!$AI$2,CONCATENATE(OBSERVACIONES!Y66,"
ESTADO DE POSTVENTAS:  ",GENERAL!Z67))</f>
        <v>OK
ESTADO DE POSTVENTAS:  POSTVENTA CORREGIDA</v>
      </c>
      <c r="Z66" s="51" t="str">
        <f>+IF(GENERAL!AA67=GENERAL!$AI$2,GENERAL!$AI$2,CONCATENATE(OBSERVACIONES!Z66,"
ESTADO DE POSTVENTAS:  ",GENERAL!AA67))</f>
        <v>OK
ESTADO DE POSTVENTAS:  POSTVENTA CORREGIDA</v>
      </c>
      <c r="AA66" s="51" t="str">
        <f>+IF(GENERAL!AB67=GENERAL!$AI$2,GENERAL!$AI$2,CONCATENATE(OBSERVACIONES!AA66,"
ESTADO DE POSTVENTAS:  ",GENERAL!AB67))</f>
        <v>OK
ESTADO DE POSTVENTAS:  POSTVENTA CORREGIDA</v>
      </c>
      <c r="AB66" s="51" t="str">
        <f>+IF(GENERAL!AC67=GENERAL!$AI$2,GENERAL!$AI$2,CONCATENATE(OBSERVACIONES!AB66,"
ESTADO DE POSTVENTAS:  ",GENERAL!AC67))</f>
        <v>OK
ESTADO DE POSTVENTAS:  POSTVENTA CORREGIDA</v>
      </c>
      <c r="AC66" s="51" t="str">
        <f>+IF(GENERAL!AD67=GENERAL!$AI$2,GENERAL!$AI$2,CONCATENATE(OBSERVACIONES!AC66,"
ESTADO DE POSTVENTAS:  ",GENERAL!AD67))</f>
        <v>OK
ESTADO DE POSTVENTAS:  POSTVENTA CORREGIDA</v>
      </c>
      <c r="AD66" s="51" t="str">
        <f>+IF(GENERAL!AE67=GENERAL!$AI$2,GENERAL!$AI$2,CONCATENATE(OBSERVACIONES!AD66,"
ESTADO DE POSTVENTAS:  ",GENERAL!AE67))</f>
        <v>OK
ESTADO DE POSTVENTAS:  POSTVENTA CORREGIDA</v>
      </c>
      <c r="AE66" s="51" t="str">
        <f>+IF(GENERAL!AF67=GENERAL!$AI$2,GENERAL!$AI$2,CONCATENATE(OBSERVACIONES!AE66,"
ESTADO DE POSTVENTAS:  ",GENERAL!AF67))</f>
        <v>OK
ESTADO DE POSTVENTAS:  POSTVENTA CORREGIDA</v>
      </c>
      <c r="AF66" s="51" t="str">
        <f>+IF(GENERAL!AG67=GENERAL!$AI$2,GENERAL!$AI$2,CONCATENATE(OBSERVACIONES!AF66,"
ESTADO DE POSTVENTAS:  ",GENERAL!AG67))</f>
        <v>OK
ESTADO DE POSTVENTAS:  POSTVENTA CORREGIDA</v>
      </c>
      <c r="AG66" s="51" t="str">
        <f>+IF(GENERAL!AH67=GENERAL!$AI$2,GENERAL!$AI$2,CONCATENATE(OBSERVACIONES!AG66,"
ESTADO DE POSTVENTAS:  ",GENERAL!AH67))</f>
        <v>OK
ESTADO DE POSTVENTAS:  POSTVENTA CORREGIDA</v>
      </c>
      <c r="AH66" s="51" t="str">
        <f>+IF(GENERAL!AI67=GENERAL!$AI$2,GENERAL!$AI$2,CONCATENATE(OBSERVACIONES!AH66,"
ESTADO DE POSTVENTAS:  ",GENERAL!AI67))</f>
        <v>OK
ESTADO DE POSTVENTAS:  POSTVENTA CORREGIDA</v>
      </c>
      <c r="AI66" s="51" t="str">
        <f>+IF(GENERAL!AG67=GENERAL!$AI$2,GENERAL!$AI$2,CONCATENATE(OBSERVACIONES!AF66,"
ESTADO DE POSTVENTAS:  ",GENERAL!AG67))</f>
        <v>OK
ESTADO DE POSTVENTAS:  POSTVENTA CORREGIDA</v>
      </c>
      <c r="AJ66" s="51" t="str">
        <f>+IF(GENERAL!AI67=GENERAL!$AI$2,GENERAL!$AI$2,CONCATENATE(OBSERVACIONES!AH66,"
ESTADO DE POSTVENTAS:  ",GENERAL!AI67))</f>
        <v>OK
ESTADO DE POSTVENTAS:  POSTVENTA CORREGIDA</v>
      </c>
      <c r="AK66" s="51" t="str">
        <f>+IF(GENERAL!AJ67=GENERAL!$AI$2,GENERAL!$AI$2,CONCATENATE(OBSERVACIONES!AI66,"
ESTADO DE POSTVENTAS:  ",GENERAL!AJ67))</f>
        <v>OK
ESTADO DE POSTVENTAS:  POSTVENTA CORREGIDA</v>
      </c>
      <c r="AL66" s="51" t="str">
        <f>+IF(GENERAL!AK67=GENERAL!$AI$2,GENERAL!$AI$2,CONCATENATE(OBSERVACIONES!AJ66,"
ESTADO DE POSTVENTAS:  ",GENERAL!AK67))</f>
        <v>OK
ESTADO DE POSTVENTAS:  POSTVENTA CORREGIDA</v>
      </c>
      <c r="AM66" s="51" t="str">
        <f>+IF(GENERAL!AN67=GENERAL!$AI$2,GENERAL!$AI$2,CONCATENATE(OBSERVACIONES!AM66,"
ESTADO DE POSTVENTAS:  ",GENERAL!AN67))</f>
        <v>OK
ESTADO DE POSTVENTAS:  POSTVENTA CORREGIDA</v>
      </c>
      <c r="AN66" s="37">
        <v>1</v>
      </c>
      <c r="AO66" s="37">
        <v>10</v>
      </c>
      <c r="AP66" s="37">
        <v>3</v>
      </c>
      <c r="AQ66" s="37">
        <v>0</v>
      </c>
      <c r="AR66" s="43">
        <v>14</v>
      </c>
      <c r="AS66" s="40">
        <v>12</v>
      </c>
      <c r="AT66" s="37">
        <f>COUNTIFS($D$5:$AM$5,"&lt;&gt;"&amp;CODICIONALES!$A$1,$D$5:$AM$5,"&lt;&gt;"&amp;CODICIONALES!$A$2,$D$5:$AM$5,"&lt;&gt;"&amp;CODICIONALES!$B$2,$D$5:$AM$5,"&lt;&gt;"&amp;CODICIONALES!$C$2)</f>
        <v>6</v>
      </c>
      <c r="AU66" s="43">
        <f>COUNTIFS(D66:AM66,CODICIONALES!$A$2)</f>
        <v>34</v>
      </c>
      <c r="AV66" s="40">
        <f t="shared" si="0"/>
        <v>-4</v>
      </c>
    </row>
    <row r="67" spans="1:48" ht="51" customHeight="1" x14ac:dyDescent="0.25">
      <c r="A67" s="110" t="s">
        <v>90</v>
      </c>
      <c r="B67" s="2">
        <v>63</v>
      </c>
      <c r="C67" s="27" t="s">
        <v>45</v>
      </c>
      <c r="D67" s="51" t="str">
        <f>+IF(GENERAL!E68=GENERAL!$AI$2,GENERAL!$AI$2,CONCATENATE(OBSERVACIONES!D67,"
ESTADO DE POSTVENTAS:  ",GENERAL!E68))</f>
        <v>NO ENTREGADO
ESTADO DE POSTVENTAS:  TIENE POSTVENTA</v>
      </c>
      <c r="E67" s="51" t="str">
        <f>+IF(GENERAL!F68=GENERAL!$AI$2,GENERAL!$AI$2,CONCATENATE(OBSERVACIONES!E67,"
ESTADO DE POSTVENTAS:  ",GENERAL!F68))</f>
        <v>OK
ESTADO DE POSTVENTAS:  POSTVENTA CORREGIDA</v>
      </c>
      <c r="F67" s="51" t="str">
        <f>+IF(GENERAL!G68=GENERAL!$AI$2,GENERAL!$AI$2,CONCATENATE(OBSERVACIONES!F67,"
ESTADO DE POSTVENTAS:  ",GENERAL!G68))</f>
        <v>OK
ESTADO DE POSTVENTAS:  POSTVENTA CORREGIDA</v>
      </c>
      <c r="G67" s="51" t="str">
        <f>+IF(GENERAL!H68=GENERAL!$AI$2,GENERAL!$AI$2,CONCATENATE(OBSERVACIONES!G67,"
ESTADO DE POSTVENTAS:  ",GENERAL!H68))</f>
        <v>NO ENTREGADO
ESTADO DE POSTVENTAS:  TIENE POSTVENTA</v>
      </c>
      <c r="H67" s="51" t="str">
        <f>+IF(GENERAL!I68=GENERAL!$AI$2,GENERAL!$AI$2,CONCATENATE(OBSERVACIONES!H67,"
ESTADO DE POSTVENTAS:  ",GENERAL!I68))</f>
        <v>OK
ESTADO DE POSTVENTAS:  POSTVENTA CORREGIDA</v>
      </c>
      <c r="I67" s="51" t="str">
        <f>+IF(GENERAL!J68=GENERAL!$AI$2,GENERAL!$AI$2,CONCATENATE(OBSERVACIONES!I67,"
ESTADO DE POSTVENTAS:  ",GENERAL!J68))</f>
        <v>OK
ESTADO DE POSTVENTAS:  POSTVENTA CORREGIDA</v>
      </c>
      <c r="J67" s="51" t="str">
        <f>+IF(GENERAL!K68=GENERAL!$AI$2,GENERAL!$AI$2,CONCATENATE(OBSERVACIONES!J67,"
ESTADO DE POSTVENTAS:  ",GENERAL!K68))</f>
        <v>OK
ESTADO DE POSTVENTAS:  POSTVENTA CORREGIDA</v>
      </c>
      <c r="K67" s="51" t="str">
        <f>+IF(GENERAL!L68=GENERAL!$AI$2,GENERAL!$AI$2,CONCATENATE(OBSERVACIONES!K67,"
ESTADO DE POSTVENTAS:  ",GENERAL!L68))</f>
        <v>OK
ESTADO DE POSTVENTAS:  POSTVENTA CORREGIDA</v>
      </c>
      <c r="L67" s="51" t="str">
        <f>+IF(GENERAL!M68=GENERAL!$AI$2,GENERAL!$AI$2,CONCATENATE(OBSERVACIONES!L67,"
ESTADO DE POSTVENTAS:  ",GENERAL!M68))</f>
        <v>OK
ESTADO DE POSTVENTAS:  POSTVENTA CORREGIDA</v>
      </c>
      <c r="M67" s="70" t="str">
        <f>+IF(GENERAL!N68=GENERAL!$AI$2,GENERAL!$AI$2,CONCATENATE(OBSERVACIONES!M67,"
ESTADO DE POSTVENTAS:  ",GENERAL!N68))</f>
        <v>OK
ESTADO DE POSTVENTAS:  POSTVENTA CORREGIDA</v>
      </c>
      <c r="N67" s="51" t="str">
        <f>+IF(GENERAL!O68=GENERAL!$AI$2,GENERAL!$AI$2,CONCATENATE(OBSERVACIONES!N67,"
ESTADO DE POSTVENTAS:  ",GENERAL!O68))</f>
        <v>OK
ESTADO DE POSTVENTAS:  POSTVENTA CORREGIDA</v>
      </c>
      <c r="O67" s="51" t="str">
        <f>+IF(GENERAL!P68=GENERAL!$AI$2,GENERAL!$AI$2,CONCATENATE(OBSERVACIONES!O67,"
ESTADO DE POSTVENTAS:  ",GENERAL!P68))</f>
        <v>OK
ESTADO DE POSTVENTAS:  POSTVENTA CORREGIDA</v>
      </c>
      <c r="P67" s="70" t="str">
        <f>+IF(GENERAL!Q68=GENERAL!$AI$2,GENERAL!$AI$2,CONCATENATE(OBSERVACIONES!P67,"
ESTADO DE POSTVENTAS:  ",GENERAL!Q68))</f>
        <v>OK
ESTADO DE POSTVENTAS:  POSTVENTA CORREGIDA</v>
      </c>
      <c r="Q67" s="70" t="str">
        <f>+IF(GENERAL!R68=GENERAL!$AI$2,GENERAL!$AI$2,CONCATENATE(OBSERVACIONES!Q67,"
ESTADO DE POSTVENTAS:  ",GENERAL!R68))</f>
        <v>OK
ESTADO DE POSTVENTAS:  POSTVENTA CORREGIDA</v>
      </c>
      <c r="R67" s="51" t="str">
        <f>+IF(GENERAL!S68=GENERAL!$AI$2,GENERAL!$AI$2,CONCATENATE(OBSERVACIONES!R67,"
ESTADO DE POSTVENTAS:  ",GENERAL!S68))</f>
        <v>OK
ESTADO DE POSTVENTAS:  POSTVENTA CORREGIDA</v>
      </c>
      <c r="S67" s="51" t="str">
        <f>+IF(GENERAL!T68=GENERAL!$AI$2,GENERAL!$AI$2,CONCATENATE(OBSERVACIONES!S67,"
ESTADO DE POSTVENTAS:  ",GENERAL!T68))</f>
        <v>OK
ESTADO DE POSTVENTAS:  POSTVENTA CORREGIDA</v>
      </c>
      <c r="T67" s="51" t="str">
        <f>+IF(GENERAL!U68=GENERAL!$AI$2,GENERAL!$AI$2,CONCATENATE(OBSERVACIONES!T67,"
ESTADO DE POSTVENTAS:  ",GENERAL!U68))</f>
        <v>OK
ESTADO DE POSTVENTAS:  POSTVENTA CORREGIDA</v>
      </c>
      <c r="U67" s="51" t="str">
        <f>+IF(GENERAL!V68=GENERAL!$AI$2,GENERAL!$AI$2,CONCATENATE(OBSERVACIONES!U67,"
ESTADO DE POSTVENTAS:  ",GENERAL!V68))</f>
        <v>OK
ESTADO DE POSTVENTAS:  POSTVENTA CORREGIDA</v>
      </c>
      <c r="V67" s="51" t="str">
        <f>+IF(GENERAL!W68=GENERAL!$AI$2,GENERAL!$AI$2,CONCATENATE(OBSERVACIONES!V67,"
ESTADO DE POSTVENTAS:  ",GENERAL!W68))</f>
        <v>OK
ESTADO DE POSTVENTAS:  POSTVENTA CORREGIDA</v>
      </c>
      <c r="W67" s="51" t="str">
        <f>+IF(GENERAL!V68=GENERAL!$AI$2,GENERAL!$AI$2,CONCATENATE(OBSERVACIONES!W67,"
ESTADO DE POSTVENTAS:  ",GENERAL!V68))</f>
        <v>OK
ESTADO DE POSTVENTAS:  POSTVENTA CORREGIDA</v>
      </c>
      <c r="X67" s="51" t="str">
        <f>+IF(GENERAL!W68=GENERAL!$AI$2,GENERAL!$AI$2,CONCATENATE(OBSERVACIONES!X67,"
ESTADO DE POSTVENTAS:  ",GENERAL!W68))</f>
        <v>OK
ESTADO DE POSTVENTAS:  POSTVENTA CORREGIDA</v>
      </c>
      <c r="Y67" s="51" t="str">
        <f>+IF(GENERAL!Z68=GENERAL!$AI$2,GENERAL!$AI$2,CONCATENATE(OBSERVACIONES!Y67,"
ESTADO DE POSTVENTAS:  ",GENERAL!Z68))</f>
        <v>OK
ESTADO DE POSTVENTAS:  POSTVENTA CORREGIDA</v>
      </c>
      <c r="Z67" s="51" t="str">
        <f>+IF(GENERAL!AA68=GENERAL!$AI$2,GENERAL!$AI$2,CONCATENATE(OBSERVACIONES!Z67,"
ESTADO DE POSTVENTAS:  ",GENERAL!AA68))</f>
        <v>OK
ESTADO DE POSTVENTAS:  POSTVENTA CORREGIDA</v>
      </c>
      <c r="AA67" s="51" t="str">
        <f>+IF(GENERAL!AB68=GENERAL!$AI$2,GENERAL!$AI$2,CONCATENATE(OBSERVACIONES!AA67,"
ESTADO DE POSTVENTAS:  ",GENERAL!AB68))</f>
        <v>OK
ESTADO DE POSTVENTAS:  POSTVENTA CORREGIDA</v>
      </c>
      <c r="AB67" s="51" t="str">
        <f>+IF(GENERAL!AC68=GENERAL!$AI$2,GENERAL!$AI$2,CONCATENATE(OBSERVACIONES!AB67,"
ESTADO DE POSTVENTAS:  ",GENERAL!AC68))</f>
        <v>OK
ESTADO DE POSTVENTAS:  POSTVENTA CORREGIDA</v>
      </c>
      <c r="AC67" s="51" t="str">
        <f>+IF(GENERAL!AD68=GENERAL!$AI$2,GENERAL!$AI$2,CONCATENATE(OBSERVACIONES!AC67,"
ESTADO DE POSTVENTAS:  ",GENERAL!AD68))</f>
        <v>OK
ESTADO DE POSTVENTAS:  POSTVENTA CORREGIDA</v>
      </c>
      <c r="AD67" s="51" t="str">
        <f>+IF(GENERAL!AE68=GENERAL!$AI$2,GENERAL!$AI$2,CONCATENATE(OBSERVACIONES!AD67,"
ESTADO DE POSTVENTAS:  ",GENERAL!AE68))</f>
        <v>OK
ESTADO DE POSTVENTAS:  POSTVENTA CORREGIDA</v>
      </c>
      <c r="AE67" s="51" t="str">
        <f>+IF(GENERAL!AF68=GENERAL!$AI$2,GENERAL!$AI$2,CONCATENATE(OBSERVACIONES!AE67,"
ESTADO DE POSTVENTAS:  ",GENERAL!AF68))</f>
        <v>OK
ESTADO DE POSTVENTAS:  POSTVENTA CORREGIDA</v>
      </c>
      <c r="AF67" s="51" t="str">
        <f>+IF(GENERAL!AG68=GENERAL!$AI$2,GENERAL!$AI$2,CONCATENATE(OBSERVACIONES!AF67,"
ESTADO DE POSTVENTAS:  ",GENERAL!AG68))</f>
        <v>OK
ESTADO DE POSTVENTAS:  POSTVENTA CORREGIDA</v>
      </c>
      <c r="AG67" s="51" t="str">
        <f>+IF(GENERAL!AH68=GENERAL!$AI$2,GENERAL!$AI$2,CONCATENATE(OBSERVACIONES!AG67,"
ESTADO DE POSTVENTAS:  ",GENERAL!AH68))</f>
        <v>OK
ESTADO DE POSTVENTAS:  POSTVENTA CORREGIDA</v>
      </c>
      <c r="AH67" s="51" t="str">
        <f>+IF(GENERAL!AI68=GENERAL!$AI$2,GENERAL!$AI$2,CONCATENATE(OBSERVACIONES!AH67,"
ESTADO DE POSTVENTAS:  ",GENERAL!AI68))</f>
        <v>OK
ESTADO DE POSTVENTAS:  POSTVENTA CORREGIDA</v>
      </c>
      <c r="AI67" s="51" t="str">
        <f>+IF(GENERAL!AG68=GENERAL!$AI$2,GENERAL!$AI$2,CONCATENATE(OBSERVACIONES!AF67,"
ESTADO DE POSTVENTAS:  ",GENERAL!AG68))</f>
        <v>OK
ESTADO DE POSTVENTAS:  POSTVENTA CORREGIDA</v>
      </c>
      <c r="AJ67" s="51" t="str">
        <f>+IF(GENERAL!AI68=GENERAL!$AI$2,GENERAL!$AI$2,CONCATENATE(OBSERVACIONES!AH67,"
ESTADO DE POSTVENTAS:  ",GENERAL!AI68))</f>
        <v>OK
ESTADO DE POSTVENTAS:  POSTVENTA CORREGIDA</v>
      </c>
      <c r="AK67" s="51" t="str">
        <f>+IF(GENERAL!AJ68=GENERAL!$AI$2,GENERAL!$AI$2,CONCATENATE(OBSERVACIONES!AI67,"
ESTADO DE POSTVENTAS:  ",GENERAL!AJ68))</f>
        <v>OK
ESTADO DE POSTVENTAS:  POSTVENTA CORREGIDA</v>
      </c>
      <c r="AL67" s="51" t="str">
        <f>+IF(GENERAL!AK68=GENERAL!$AI$2,GENERAL!$AI$2,CONCATENATE(OBSERVACIONES!AJ67,"
ESTADO DE POSTVENTAS:  ",GENERAL!AK68))</f>
        <v>OK
ESTADO DE POSTVENTAS:  POSTVENTA CORREGIDA</v>
      </c>
      <c r="AM67" s="51" t="str">
        <f>+IF(GENERAL!AN68=GENERAL!$AI$2,GENERAL!$AI$2,CONCATENATE(OBSERVACIONES!AM67,"
ESTADO DE POSTVENTAS:  ",GENERAL!AN68))</f>
        <v>OK
ESTADO DE POSTVENTAS:  POSTVENTA CORREGIDA</v>
      </c>
      <c r="AN67" s="37">
        <v>0</v>
      </c>
      <c r="AO67" s="37">
        <v>11</v>
      </c>
      <c r="AP67" s="37">
        <v>3</v>
      </c>
      <c r="AQ67" s="37">
        <v>0</v>
      </c>
      <c r="AR67" s="43">
        <v>14</v>
      </c>
      <c r="AS67" s="40">
        <v>12</v>
      </c>
      <c r="AT67" s="37">
        <f>COUNTIFS($D$5:$AM$5,"&lt;&gt;"&amp;CODICIONALES!$A$1,$D$5:$AM$5,"&lt;&gt;"&amp;CODICIONALES!$A$2,$D$5:$AM$5,"&lt;&gt;"&amp;CODICIONALES!$B$2,$D$5:$AM$5,"&lt;&gt;"&amp;CODICIONALES!$C$2)</f>
        <v>6</v>
      </c>
      <c r="AU67" s="43">
        <f>COUNTIFS(D67:AM67,CODICIONALES!$A$2)</f>
        <v>34</v>
      </c>
      <c r="AV67" s="40">
        <f t="shared" si="0"/>
        <v>-4</v>
      </c>
    </row>
    <row r="68" spans="1:48" ht="51" customHeight="1" x14ac:dyDescent="0.25">
      <c r="A68" s="110"/>
      <c r="B68" s="2">
        <v>64</v>
      </c>
      <c r="C68" s="21" t="s">
        <v>59</v>
      </c>
      <c r="D68" s="51" t="str">
        <f>+IF(GENERAL!E69=GENERAL!$AI$2,GENERAL!$AI$2,CONCATENATE(OBSERVACIONES!D68,"
ESTADO DE POSTVENTAS:  ",GENERAL!E69))</f>
        <v>NO ENTREGADO
ESTADO DE POSTVENTAS:  TIENE POSTVENTA</v>
      </c>
      <c r="E68" s="51" t="str">
        <f>+IF(GENERAL!F69=GENERAL!$AI$2,GENERAL!$AI$2,CONCATENATE(OBSERVACIONES!E68,"
ESTADO DE POSTVENTAS:  ",GENERAL!F69))</f>
        <v>OK
ESTADO DE POSTVENTAS:  POSTVENTA CORREGIDA</v>
      </c>
      <c r="F68" s="51" t="str">
        <f>+IF(GENERAL!G69=GENERAL!$AI$2,GENERAL!$AI$2,CONCATENATE(OBSERVACIONES!F68,"
ESTADO DE POSTVENTAS:  ",GENERAL!G69))</f>
        <v>OK
ESTADO DE POSTVENTAS:  POSTVENTA CORREGIDA</v>
      </c>
      <c r="G68" s="51" t="str">
        <f>+IF(GENERAL!H69=GENERAL!$AI$2,GENERAL!$AI$2,CONCATENATE(OBSERVACIONES!G68,"
ESTADO DE POSTVENTAS:  ",GENERAL!H69))</f>
        <v>NO ENTREGADO
ESTADO DE POSTVENTAS:  TIENE POSTVENTA</v>
      </c>
      <c r="H68" s="51" t="str">
        <f>+IF(GENERAL!I69=GENERAL!$AI$2,GENERAL!$AI$2,CONCATENATE(OBSERVACIONES!H68,"
ESTADO DE POSTVENTAS:  ",GENERAL!I69))</f>
        <v>OK
ESTADO DE POSTVENTAS:  POSTVENTA CORREGIDA</v>
      </c>
      <c r="I68" s="51" t="str">
        <f>+IF(GENERAL!J69=GENERAL!$AI$2,GENERAL!$AI$2,CONCATENATE(OBSERVACIONES!I68,"
ESTADO DE POSTVENTAS:  ",GENERAL!J69))</f>
        <v>OK
ESTADO DE POSTVENTAS:  POSTVENTA CORREGIDA</v>
      </c>
      <c r="J68" s="51" t="str">
        <f>+IF(GENERAL!K69=GENERAL!$AI$2,GENERAL!$AI$2,CONCATENATE(OBSERVACIONES!J68,"
ESTADO DE POSTVENTAS:  ",GENERAL!K69))</f>
        <v>OK
ESTADO DE POSTVENTAS:  POSTVENTA CORREGIDA</v>
      </c>
      <c r="K68" s="51" t="str">
        <f>+IF(GENERAL!L69=GENERAL!$AI$2,GENERAL!$AI$2,CONCATENATE(OBSERVACIONES!K68,"
ESTADO DE POSTVENTAS:  ",GENERAL!L69))</f>
        <v>OK
ESTADO DE POSTVENTAS:  POSTVENTA CORREGIDA</v>
      </c>
      <c r="L68" s="51" t="str">
        <f>+IF(GENERAL!M69=GENERAL!$AI$2,GENERAL!$AI$2,CONCATENATE(OBSERVACIONES!L68,"
ESTADO DE POSTVENTAS:  ",GENERAL!M69))</f>
        <v>OK
ESTADO DE POSTVENTAS:  POSTVENTA CORREGIDA</v>
      </c>
      <c r="M68" s="70" t="str">
        <f>+IF(GENERAL!N69=GENERAL!$AI$2,GENERAL!$AI$2,CONCATENATE(OBSERVACIONES!M68,"
ESTADO DE POSTVENTAS:  ",GENERAL!N69))</f>
        <v>OK
ESTADO DE POSTVENTAS:  POSTVENTA CORREGIDA</v>
      </c>
      <c r="N68" s="51" t="str">
        <f>+IF(GENERAL!O69=GENERAL!$AI$2,GENERAL!$AI$2,CONCATENATE(OBSERVACIONES!N68,"
ESTADO DE POSTVENTAS:  ",GENERAL!O69))</f>
        <v>OK
ESTADO DE POSTVENTAS:  POSTVENTA CORREGIDA</v>
      </c>
      <c r="O68" s="51" t="str">
        <f>+IF(GENERAL!P69=GENERAL!$AI$2,GENERAL!$AI$2,CONCATENATE(OBSERVACIONES!O68,"
ESTADO DE POSTVENTAS:  ",GENERAL!P69))</f>
        <v>OK
ESTADO DE POSTVENTAS:  POSTVENTA CORREGIDA</v>
      </c>
      <c r="P68" s="70" t="str">
        <f>+IF(GENERAL!Q69=GENERAL!$AI$2,GENERAL!$AI$2,CONCATENATE(OBSERVACIONES!P68,"
ESTADO DE POSTVENTAS:  ",GENERAL!Q69))</f>
        <v>OK
ESTADO DE POSTVENTAS:  POSTVENTA CORREGIDA</v>
      </c>
      <c r="Q68" s="70" t="str">
        <f>+IF(GENERAL!R69=GENERAL!$AI$2,GENERAL!$AI$2,CONCATENATE(OBSERVACIONES!Q68,"
ESTADO DE POSTVENTAS:  ",GENERAL!R69))</f>
        <v>OK
ESTADO DE POSTVENTAS:  POSTVENTA CORREGIDA</v>
      </c>
      <c r="R68" s="51" t="str">
        <f>+IF(GENERAL!S69=GENERAL!$AI$2,GENERAL!$AI$2,CONCATENATE(OBSERVACIONES!R68,"
ESTADO DE POSTVENTAS:  ",GENERAL!S69))</f>
        <v>OK
ESTADO DE POSTVENTAS:  POSTVENTA CORREGIDA</v>
      </c>
      <c r="S68" s="51" t="str">
        <f>+IF(GENERAL!T69=GENERAL!$AI$2,GENERAL!$AI$2,CONCATENATE(OBSERVACIONES!S68,"
ESTADO DE POSTVENTAS:  ",GENERAL!T69))</f>
        <v>OK
ESTADO DE POSTVENTAS:  POSTVENTA CORREGIDA</v>
      </c>
      <c r="T68" s="51" t="str">
        <f>+IF(GENERAL!U69=GENERAL!$AI$2,GENERAL!$AI$2,CONCATENATE(OBSERVACIONES!T68,"
ESTADO DE POSTVENTAS:  ",GENERAL!U69))</f>
        <v>OK
ESTADO DE POSTVENTAS:  POSTVENTA CORREGIDA</v>
      </c>
      <c r="U68" s="51" t="str">
        <f>+IF(GENERAL!V69=GENERAL!$AI$2,GENERAL!$AI$2,CONCATENATE(OBSERVACIONES!U68,"
ESTADO DE POSTVENTAS:  ",GENERAL!V69))</f>
        <v>OK
ESTADO DE POSTVENTAS:  POSTVENTA CORREGIDA</v>
      </c>
      <c r="V68" s="51" t="str">
        <f>+IF(GENERAL!W69=GENERAL!$AI$2,GENERAL!$AI$2,CONCATENATE(OBSERVACIONES!V68,"
ESTADO DE POSTVENTAS:  ",GENERAL!W69))</f>
        <v>OK
ESTADO DE POSTVENTAS:  POSTVENTA CORREGIDA</v>
      </c>
      <c r="W68" s="51" t="str">
        <f>+IF(GENERAL!V69=GENERAL!$AI$2,GENERAL!$AI$2,CONCATENATE(OBSERVACIONES!W68,"
ESTADO DE POSTVENTAS:  ",GENERAL!V69))</f>
        <v>OK
ESTADO DE POSTVENTAS:  POSTVENTA CORREGIDA</v>
      </c>
      <c r="X68" s="51" t="str">
        <f>+IF(GENERAL!W69=GENERAL!$AI$2,GENERAL!$AI$2,CONCATENATE(OBSERVACIONES!X68,"
ESTADO DE POSTVENTAS:  ",GENERAL!W69))</f>
        <v>OK
ESTADO DE POSTVENTAS:  POSTVENTA CORREGIDA</v>
      </c>
      <c r="Y68" s="51" t="str">
        <f>+IF(GENERAL!Z69=GENERAL!$AI$2,GENERAL!$AI$2,CONCATENATE(OBSERVACIONES!Y68,"
ESTADO DE POSTVENTAS:  ",GENERAL!Z69))</f>
        <v>OK
ESTADO DE POSTVENTAS:  POSTVENTA CORREGIDA</v>
      </c>
      <c r="Z68" s="51" t="str">
        <f>+IF(GENERAL!AA69=GENERAL!$AI$2,GENERAL!$AI$2,CONCATENATE(OBSERVACIONES!Z68,"
ESTADO DE POSTVENTAS:  ",GENERAL!AA69))</f>
        <v>OK
ESTADO DE POSTVENTAS:  POSTVENTA CORREGIDA</v>
      </c>
      <c r="AA68" s="51" t="str">
        <f>+IF(GENERAL!AB69=GENERAL!$AI$2,GENERAL!$AI$2,CONCATENATE(OBSERVACIONES!AA68,"
ESTADO DE POSTVENTAS:  ",GENERAL!AB69))</f>
        <v>OK
ESTADO DE POSTVENTAS:  POSTVENTA CORREGIDA</v>
      </c>
      <c r="AB68" s="51" t="str">
        <f>+IF(GENERAL!AC69=GENERAL!$AI$2,GENERAL!$AI$2,CONCATENATE(OBSERVACIONES!AB68,"
ESTADO DE POSTVENTAS:  ",GENERAL!AC69))</f>
        <v>OK
ESTADO DE POSTVENTAS:  POSTVENTA CORREGIDA</v>
      </c>
      <c r="AC68" s="51" t="str">
        <f>+IF(GENERAL!AD69=GENERAL!$AI$2,GENERAL!$AI$2,CONCATENATE(OBSERVACIONES!AC68,"
ESTADO DE POSTVENTAS:  ",GENERAL!AD69))</f>
        <v>OK
ESTADO DE POSTVENTAS:  POSTVENTA CORREGIDA</v>
      </c>
      <c r="AD68" s="51" t="str">
        <f>+IF(GENERAL!AE69=GENERAL!$AI$2,GENERAL!$AI$2,CONCATENATE(OBSERVACIONES!AD68,"
ESTADO DE POSTVENTAS:  ",GENERAL!AE69))</f>
        <v>OK
ESTADO DE POSTVENTAS:  POSTVENTA CORREGIDA</v>
      </c>
      <c r="AE68" s="51" t="str">
        <f>+IF(GENERAL!AF69=GENERAL!$AI$2,GENERAL!$AI$2,CONCATENATE(OBSERVACIONES!AE68,"
ESTADO DE POSTVENTAS:  ",GENERAL!AF69))</f>
        <v>OK
ESTADO DE POSTVENTAS:  POSTVENTA CORREGIDA</v>
      </c>
      <c r="AF68" s="51" t="str">
        <f>+IF(GENERAL!AG69=GENERAL!$AI$2,GENERAL!$AI$2,CONCATENATE(OBSERVACIONES!AF68,"
ESTADO DE POSTVENTAS:  ",GENERAL!AG69))</f>
        <v>OK
ESTADO DE POSTVENTAS:  POSTVENTA CORREGIDA</v>
      </c>
      <c r="AG68" s="51" t="str">
        <f>+IF(GENERAL!AH69=GENERAL!$AI$2,GENERAL!$AI$2,CONCATENATE(OBSERVACIONES!AG68,"
ESTADO DE POSTVENTAS:  ",GENERAL!AH69))</f>
        <v>OK
ESTADO DE POSTVENTAS:  POSTVENTA CORREGIDA</v>
      </c>
      <c r="AH68" s="51" t="str">
        <f>+IF(GENERAL!AI69=GENERAL!$AI$2,GENERAL!$AI$2,CONCATENATE(OBSERVACIONES!AH68,"
ESTADO DE POSTVENTAS:  ",GENERAL!AI69))</f>
        <v>OK
ESTADO DE POSTVENTAS:  POSTVENTA CORREGIDA</v>
      </c>
      <c r="AI68" s="51" t="str">
        <f>+IF(GENERAL!AG69=GENERAL!$AI$2,GENERAL!$AI$2,CONCATENATE(OBSERVACIONES!AF68,"
ESTADO DE POSTVENTAS:  ",GENERAL!AG69))</f>
        <v>OK
ESTADO DE POSTVENTAS:  POSTVENTA CORREGIDA</v>
      </c>
      <c r="AJ68" s="51" t="str">
        <f>+IF(GENERAL!AI69=GENERAL!$AI$2,GENERAL!$AI$2,CONCATENATE(OBSERVACIONES!AH68,"
ESTADO DE POSTVENTAS:  ",GENERAL!AI69))</f>
        <v>OK
ESTADO DE POSTVENTAS:  POSTVENTA CORREGIDA</v>
      </c>
      <c r="AK68" s="51" t="str">
        <f>+IF(GENERAL!AJ69=GENERAL!$AI$2,GENERAL!$AI$2,CONCATENATE(OBSERVACIONES!AI68,"
ESTADO DE POSTVENTAS:  ",GENERAL!AJ69))</f>
        <v>OK
ESTADO DE POSTVENTAS:  POSTVENTA CORREGIDA</v>
      </c>
      <c r="AL68" s="51" t="str">
        <f>+IF(GENERAL!AK69=GENERAL!$AI$2,GENERAL!$AI$2,CONCATENATE(OBSERVACIONES!AJ68,"
ESTADO DE POSTVENTAS:  ",GENERAL!AK69))</f>
        <v>OK
ESTADO DE POSTVENTAS:  POSTVENTA CORREGIDA</v>
      </c>
      <c r="AM68" s="51" t="str">
        <f>+IF(GENERAL!AN69=GENERAL!$AI$2,GENERAL!$AI$2,CONCATENATE(OBSERVACIONES!AM68,"
ESTADO DE POSTVENTAS:  ",GENERAL!AN69))</f>
        <v>OK
ESTADO DE POSTVENTAS:  POSTVENTA CORREGIDA</v>
      </c>
      <c r="AN68" s="37">
        <v>3</v>
      </c>
      <c r="AO68" s="37">
        <v>8</v>
      </c>
      <c r="AP68" s="37">
        <v>3</v>
      </c>
      <c r="AQ68" s="37">
        <v>1</v>
      </c>
      <c r="AR68" s="43">
        <v>13</v>
      </c>
      <c r="AS68" s="40">
        <v>12</v>
      </c>
      <c r="AT68" s="37">
        <f>COUNTIFS($D$5:$AM$5,"&lt;&gt;"&amp;CODICIONALES!$A$1,$D$5:$AM$5,"&lt;&gt;"&amp;CODICIONALES!$A$2,$D$5:$AM$5,"&lt;&gt;"&amp;CODICIONALES!$B$2,$D$5:$AM$5,"&lt;&gt;"&amp;CODICIONALES!$C$2)</f>
        <v>6</v>
      </c>
      <c r="AU68" s="43">
        <f>COUNTIFS(D68:AM68,CODICIONALES!$A$2)</f>
        <v>34</v>
      </c>
      <c r="AV68" s="40">
        <f t="shared" si="0"/>
        <v>-4</v>
      </c>
    </row>
    <row r="69" spans="1:48" ht="51" customHeight="1" x14ac:dyDescent="0.25">
      <c r="A69" s="110"/>
      <c r="B69" s="2">
        <v>65</v>
      </c>
      <c r="C69" s="21" t="s">
        <v>61</v>
      </c>
      <c r="D69" s="51" t="str">
        <f>+IF(GENERAL!E70=GENERAL!$AI$2,GENERAL!$AI$2,CONCATENATE(OBSERVACIONES!D69,"
ESTADO DE POSTVENTAS:  ",GENERAL!E70))</f>
        <v>NO ENTREGADO
ESTADO DE POSTVENTAS:  TIENE POSTVENTA</v>
      </c>
      <c r="E69" s="51" t="str">
        <f>+IF(GENERAL!F70=GENERAL!$AI$2,GENERAL!$AI$2,CONCATENATE(OBSERVACIONES!E69,"
ESTADO DE POSTVENTAS:  ",GENERAL!F70))</f>
        <v>OK
ESTADO DE POSTVENTAS:  POSTVENTA CORREGIDA</v>
      </c>
      <c r="F69" s="51" t="str">
        <f>+IF(GENERAL!G70=GENERAL!$AI$2,GENERAL!$AI$2,CONCATENATE(OBSERVACIONES!F69,"
ESTADO DE POSTVENTAS:  ",GENERAL!G70))</f>
        <v>OK
ESTADO DE POSTVENTAS:  POSTVENTA CORREGIDA</v>
      </c>
      <c r="G69" s="51" t="str">
        <f>+IF(GENERAL!H70=GENERAL!$AI$2,GENERAL!$AI$2,CONCATENATE(OBSERVACIONES!G69,"
ESTADO DE POSTVENTAS:  ",GENERAL!H70))</f>
        <v>NO ENTREGADO
ESTADO DE POSTVENTAS:  TIENE POSTVENTA</v>
      </c>
      <c r="H69" s="51" t="str">
        <f>+IF(GENERAL!I70=GENERAL!$AI$2,GENERAL!$AI$2,CONCATENATE(OBSERVACIONES!H69,"
ESTADO DE POSTVENTAS:  ",GENERAL!I70))</f>
        <v>OK
ESTADO DE POSTVENTAS:  POSTVENTA CORREGIDA</v>
      </c>
      <c r="I69" s="51" t="str">
        <f>+IF(GENERAL!J70=GENERAL!$AI$2,GENERAL!$AI$2,CONCATENATE(OBSERVACIONES!I69,"
ESTADO DE POSTVENTAS:  ",GENERAL!J70))</f>
        <v>OK
ESTADO DE POSTVENTAS:  POSTVENTA CORREGIDA</v>
      </c>
      <c r="J69" s="51" t="str">
        <f>+IF(GENERAL!K70=GENERAL!$AI$2,GENERAL!$AI$2,CONCATENATE(OBSERVACIONES!J69,"
ESTADO DE POSTVENTAS:  ",GENERAL!K70))</f>
        <v>OK
ESTADO DE POSTVENTAS:  POSTVENTA CORREGIDA</v>
      </c>
      <c r="K69" s="51" t="str">
        <f>+IF(GENERAL!L70=GENERAL!$AI$2,GENERAL!$AI$2,CONCATENATE(OBSERVACIONES!K69,"
ESTADO DE POSTVENTAS:  ",GENERAL!L70))</f>
        <v>OK
ESTADO DE POSTVENTAS:  POSTVENTA CORREGIDA</v>
      </c>
      <c r="L69" s="51" t="str">
        <f>+IF(GENERAL!M70=GENERAL!$AI$2,GENERAL!$AI$2,CONCATENATE(OBSERVACIONES!L69,"
ESTADO DE POSTVENTAS:  ",GENERAL!M70))</f>
        <v>OK
ESTADO DE POSTVENTAS:  POSTVENTA CORREGIDA</v>
      </c>
      <c r="M69" s="70" t="str">
        <f>+IF(GENERAL!N70=GENERAL!$AI$2,GENERAL!$AI$2,CONCATENATE(OBSERVACIONES!M69,"
ESTADO DE POSTVENTAS:  ",GENERAL!N70))</f>
        <v>OK
ESTADO DE POSTVENTAS:  POSTVENTA CORREGIDA</v>
      </c>
      <c r="N69" s="51" t="str">
        <f>+IF(GENERAL!O70=GENERAL!$AI$2,GENERAL!$AI$2,CONCATENATE(OBSERVACIONES!N69,"
ESTADO DE POSTVENTAS:  ",GENERAL!O70))</f>
        <v>OK
ESTADO DE POSTVENTAS:  POSTVENTA CORREGIDA</v>
      </c>
      <c r="O69" s="51" t="str">
        <f>+IF(GENERAL!P70=GENERAL!$AI$2,GENERAL!$AI$2,CONCATENATE(OBSERVACIONES!O69,"
ESTADO DE POSTVENTAS:  ",GENERAL!P70))</f>
        <v>OK
ESTADO DE POSTVENTAS:  POSTVENTA CORREGIDA</v>
      </c>
      <c r="P69" s="70" t="str">
        <f>+IF(GENERAL!Q70=GENERAL!$AI$2,GENERAL!$AI$2,CONCATENATE(OBSERVACIONES!P69,"
ESTADO DE POSTVENTAS:  ",GENERAL!Q70))</f>
        <v>OK
ESTADO DE POSTVENTAS:  POSTVENTA CORREGIDA</v>
      </c>
      <c r="Q69" s="70" t="str">
        <f>+IF(GENERAL!R70=GENERAL!$AI$2,GENERAL!$AI$2,CONCATENATE(OBSERVACIONES!Q69,"
ESTADO DE POSTVENTAS:  ",GENERAL!R70))</f>
        <v>OK
ESTADO DE POSTVENTAS:  POSTVENTA CORREGIDA</v>
      </c>
      <c r="R69" s="51" t="str">
        <f>+IF(GENERAL!S70=GENERAL!$AI$2,GENERAL!$AI$2,CONCATENATE(OBSERVACIONES!R69,"
ESTADO DE POSTVENTAS:  ",GENERAL!S70))</f>
        <v>OK
ESTADO DE POSTVENTAS:  POSTVENTA CORREGIDA</v>
      </c>
      <c r="S69" s="51" t="str">
        <f>+IF(GENERAL!T70=GENERAL!$AI$2,GENERAL!$AI$2,CONCATENATE(OBSERVACIONES!S69,"
ESTADO DE POSTVENTAS:  ",GENERAL!T70))</f>
        <v>OK
ESTADO DE POSTVENTAS:  POSTVENTA CORREGIDA</v>
      </c>
      <c r="T69" s="51" t="str">
        <f>+IF(GENERAL!U70=GENERAL!$AI$2,GENERAL!$AI$2,CONCATENATE(OBSERVACIONES!T69,"
ESTADO DE POSTVENTAS:  ",GENERAL!U70))</f>
        <v>OK
ESTADO DE POSTVENTAS:  POSTVENTA CORREGIDA</v>
      </c>
      <c r="U69" s="51" t="str">
        <f>+IF(GENERAL!V70=GENERAL!$AI$2,GENERAL!$AI$2,CONCATENATE(OBSERVACIONES!U69,"
ESTADO DE POSTVENTAS:  ",GENERAL!V70))</f>
        <v>OK
ESTADO DE POSTVENTAS:  POSTVENTA CORREGIDA</v>
      </c>
      <c r="V69" s="51" t="str">
        <f>+IF(GENERAL!W70=GENERAL!$AI$2,GENERAL!$AI$2,CONCATENATE(OBSERVACIONES!V69,"
ESTADO DE POSTVENTAS:  ",GENERAL!W70))</f>
        <v>OK
ESTADO DE POSTVENTAS:  POSTVENTA CORREGIDA</v>
      </c>
      <c r="W69" s="51" t="str">
        <f>+IF(GENERAL!V70=GENERAL!$AI$2,GENERAL!$AI$2,CONCATENATE(OBSERVACIONES!W69,"
ESTADO DE POSTVENTAS:  ",GENERAL!V70))</f>
        <v>OK
ESTADO DE POSTVENTAS:  POSTVENTA CORREGIDA</v>
      </c>
      <c r="X69" s="51" t="str">
        <f>+IF(GENERAL!W70=GENERAL!$AI$2,GENERAL!$AI$2,CONCATENATE(OBSERVACIONES!X69,"
ESTADO DE POSTVENTAS:  ",GENERAL!W70))</f>
        <v>OK
ESTADO DE POSTVENTAS:  POSTVENTA CORREGIDA</v>
      </c>
      <c r="Y69" s="51" t="str">
        <f>+IF(GENERAL!Z70=GENERAL!$AI$2,GENERAL!$AI$2,CONCATENATE(OBSERVACIONES!Y69,"
ESTADO DE POSTVENTAS:  ",GENERAL!Z70))</f>
        <v>OK
ESTADO DE POSTVENTAS:  POSTVENTA CORREGIDA</v>
      </c>
      <c r="Z69" s="51" t="str">
        <f>+IF(GENERAL!AA70=GENERAL!$AI$2,GENERAL!$AI$2,CONCATENATE(OBSERVACIONES!Z69,"
ESTADO DE POSTVENTAS:  ",GENERAL!AA70))</f>
        <v>OK
ESTADO DE POSTVENTAS:  POSTVENTA CORREGIDA</v>
      </c>
      <c r="AA69" s="51" t="str">
        <f>+IF(GENERAL!AB70=GENERAL!$AI$2,GENERAL!$AI$2,CONCATENATE(OBSERVACIONES!AA69,"
ESTADO DE POSTVENTAS:  ",GENERAL!AB70))</f>
        <v>OK
ESTADO DE POSTVENTAS:  POSTVENTA CORREGIDA</v>
      </c>
      <c r="AB69" s="51" t="str">
        <f>+IF(GENERAL!AC70=GENERAL!$AI$2,GENERAL!$AI$2,CONCATENATE(OBSERVACIONES!AB69,"
ESTADO DE POSTVENTAS:  ",GENERAL!AC70))</f>
        <v>OK
ESTADO DE POSTVENTAS:  POSTVENTA CORREGIDA</v>
      </c>
      <c r="AC69" s="51" t="str">
        <f>+IF(GENERAL!AD70=GENERAL!$AI$2,GENERAL!$AI$2,CONCATENATE(OBSERVACIONES!AC69,"
ESTADO DE POSTVENTAS:  ",GENERAL!AD70))</f>
        <v>OK
ESTADO DE POSTVENTAS:  POSTVENTA CORREGIDA</v>
      </c>
      <c r="AD69" s="51" t="str">
        <f>+IF(GENERAL!AE70=GENERAL!$AI$2,GENERAL!$AI$2,CONCATENATE(OBSERVACIONES!AD69,"
ESTADO DE POSTVENTAS:  ",GENERAL!AE70))</f>
        <v>OK
ESTADO DE POSTVENTAS:  POSTVENTA CORREGIDA</v>
      </c>
      <c r="AE69" s="51" t="str">
        <f>+IF(GENERAL!AF70=GENERAL!$AI$2,GENERAL!$AI$2,CONCATENATE(OBSERVACIONES!AE69,"
ESTADO DE POSTVENTAS:  ",GENERAL!AF70))</f>
        <v>OK
ESTADO DE POSTVENTAS:  POSTVENTA CORREGIDA</v>
      </c>
      <c r="AF69" s="51" t="str">
        <f>+IF(GENERAL!AG70=GENERAL!$AI$2,GENERAL!$AI$2,CONCATENATE(OBSERVACIONES!AF69,"
ESTADO DE POSTVENTAS:  ",GENERAL!AG70))</f>
        <v>OK
ESTADO DE POSTVENTAS:  POSTVENTA CORREGIDA</v>
      </c>
      <c r="AG69" s="51" t="str">
        <f>+IF(GENERAL!AH70=GENERAL!$AI$2,GENERAL!$AI$2,CONCATENATE(OBSERVACIONES!AG69,"
ESTADO DE POSTVENTAS:  ",GENERAL!AH70))</f>
        <v>OK
ESTADO DE POSTVENTAS:  POSTVENTA CORREGIDA</v>
      </c>
      <c r="AH69" s="51" t="str">
        <f>+IF(GENERAL!AI70=GENERAL!$AI$2,GENERAL!$AI$2,CONCATENATE(OBSERVACIONES!AH69,"
ESTADO DE POSTVENTAS:  ",GENERAL!AI70))</f>
        <v>OK
ESTADO DE POSTVENTAS:  POSTVENTA CORREGIDA</v>
      </c>
      <c r="AI69" s="51" t="str">
        <f>+IF(GENERAL!AG70=GENERAL!$AI$2,GENERAL!$AI$2,CONCATENATE(OBSERVACIONES!AF69,"
ESTADO DE POSTVENTAS:  ",GENERAL!AG70))</f>
        <v>OK
ESTADO DE POSTVENTAS:  POSTVENTA CORREGIDA</v>
      </c>
      <c r="AJ69" s="51" t="str">
        <f>+IF(GENERAL!AI70=GENERAL!$AI$2,GENERAL!$AI$2,CONCATENATE(OBSERVACIONES!AH69,"
ESTADO DE POSTVENTAS:  ",GENERAL!AI70))</f>
        <v>OK
ESTADO DE POSTVENTAS:  POSTVENTA CORREGIDA</v>
      </c>
      <c r="AK69" s="51" t="str">
        <f>+IF(GENERAL!AJ70=GENERAL!$AI$2,GENERAL!$AI$2,CONCATENATE(OBSERVACIONES!AI69,"
ESTADO DE POSTVENTAS:  ",GENERAL!AJ70))</f>
        <v>OK
ESTADO DE POSTVENTAS:  POSTVENTA CORREGIDA</v>
      </c>
      <c r="AL69" s="51" t="str">
        <f>+IF(GENERAL!AK70=GENERAL!$AI$2,GENERAL!$AI$2,CONCATENATE(OBSERVACIONES!AJ69,"
ESTADO DE POSTVENTAS:  ",GENERAL!AK70))</f>
        <v>OK
ESTADO DE POSTVENTAS:  POSTVENTA CORREGIDA</v>
      </c>
      <c r="AM69" s="51" t="str">
        <f>+IF(GENERAL!AN70=GENERAL!$AI$2,GENERAL!$AI$2,CONCATENATE(OBSERVACIONES!AM69,"
ESTADO DE POSTVENTAS:  ",GENERAL!AN70))</f>
        <v>OK
ESTADO DE POSTVENTAS:  POSTVENTA CORREGIDA</v>
      </c>
      <c r="AN69" s="37">
        <v>3</v>
      </c>
      <c r="AO69" s="37">
        <v>8</v>
      </c>
      <c r="AP69" s="37">
        <v>3</v>
      </c>
      <c r="AQ69" s="37">
        <v>1</v>
      </c>
      <c r="AR69" s="43">
        <v>13</v>
      </c>
      <c r="AS69" s="40">
        <v>12</v>
      </c>
      <c r="AT69" s="37">
        <f>COUNTIFS($D$5:$AM$5,"&lt;&gt;"&amp;CODICIONALES!$A$1,$D$5:$AM$5,"&lt;&gt;"&amp;CODICIONALES!$A$2,$D$5:$AM$5,"&lt;&gt;"&amp;CODICIONALES!$B$2,$D$5:$AM$5,"&lt;&gt;"&amp;CODICIONALES!$C$2)</f>
        <v>6</v>
      </c>
      <c r="AU69" s="43">
        <f>COUNTIFS(D69:AM69,CODICIONALES!$A$2)</f>
        <v>34</v>
      </c>
      <c r="AV69" s="40">
        <f t="shared" si="0"/>
        <v>-4</v>
      </c>
    </row>
    <row r="70" spans="1:48" ht="51" customHeight="1" x14ac:dyDescent="0.25">
      <c r="A70" s="110"/>
      <c r="B70" s="2">
        <v>66</v>
      </c>
      <c r="C70" s="20" t="s">
        <v>64</v>
      </c>
      <c r="D70" s="51" t="str">
        <f>+IF(GENERAL!E71=GENERAL!$AI$2,GENERAL!$AI$2,CONCATENATE(OBSERVACIONES!D70,"
ESTADO DE POSTVENTAS:  ",GENERAL!E71))</f>
        <v>NO ENTREGADO
ESTADO DE POSTVENTAS:  TIENE POSTVENTA</v>
      </c>
      <c r="E70" s="51" t="str">
        <f>+IF(GENERAL!F71=GENERAL!$AI$2,GENERAL!$AI$2,CONCATENATE(OBSERVACIONES!E70,"
ESTADO DE POSTVENTAS:  ",GENERAL!F71))</f>
        <v>OK
ESTADO DE POSTVENTAS:  POSTVENTA CORREGIDA</v>
      </c>
      <c r="F70" s="51" t="str">
        <f>+IF(GENERAL!G71=GENERAL!$AI$2,GENERAL!$AI$2,CONCATENATE(OBSERVACIONES!F70,"
ESTADO DE POSTVENTAS:  ",GENERAL!G71))</f>
        <v>OK
ESTADO DE POSTVENTAS:  POSTVENTA CORREGIDA</v>
      </c>
      <c r="G70" s="51" t="str">
        <f>+IF(GENERAL!H71=GENERAL!$AI$2,GENERAL!$AI$2,CONCATENATE(OBSERVACIONES!G70,"
ESTADO DE POSTVENTAS:  ",GENERAL!H71))</f>
        <v>NO ENTREGADO
ESTADO DE POSTVENTAS:  TIENE POSTVENTA</v>
      </c>
      <c r="H70" s="51" t="str">
        <f>+IF(GENERAL!I71=GENERAL!$AI$2,GENERAL!$AI$2,CONCATENATE(OBSERVACIONES!H70,"
ESTADO DE POSTVENTAS:  ",GENERAL!I71))</f>
        <v>OK
ESTADO DE POSTVENTAS:  POSTVENTA CORREGIDA</v>
      </c>
      <c r="I70" s="51" t="str">
        <f>+IF(GENERAL!J71=GENERAL!$AI$2,GENERAL!$AI$2,CONCATENATE(OBSERVACIONES!I70,"
ESTADO DE POSTVENTAS:  ",GENERAL!J71))</f>
        <v>OK
ESTADO DE POSTVENTAS:  POSTVENTA CORREGIDA</v>
      </c>
      <c r="J70" s="51" t="str">
        <f>+IF(GENERAL!K71=GENERAL!$AI$2,GENERAL!$AI$2,CONCATENATE(OBSERVACIONES!J70,"
ESTADO DE POSTVENTAS:  ",GENERAL!K71))</f>
        <v>OK
ESTADO DE POSTVENTAS:  POSTVENTA CORREGIDA</v>
      </c>
      <c r="K70" s="51" t="str">
        <f>+IF(GENERAL!L71=GENERAL!$AI$2,GENERAL!$AI$2,CONCATENATE(OBSERVACIONES!K70,"
ESTADO DE POSTVENTAS:  ",GENERAL!L71))</f>
        <v>OK
ESTADO DE POSTVENTAS:  POSTVENTA CORREGIDA</v>
      </c>
      <c r="L70" s="51" t="str">
        <f>+IF(GENERAL!M71=GENERAL!$AI$2,GENERAL!$AI$2,CONCATENATE(OBSERVACIONES!L70,"
ESTADO DE POSTVENTAS:  ",GENERAL!M71))</f>
        <v>OK
ESTADO DE POSTVENTAS:  POSTVENTA CORREGIDA</v>
      </c>
      <c r="M70" s="70" t="str">
        <f>+IF(GENERAL!N71=GENERAL!$AI$2,GENERAL!$AI$2,CONCATENATE(OBSERVACIONES!M70,"
ESTADO DE POSTVENTAS:  ",GENERAL!N71))</f>
        <v>OK
ESTADO DE POSTVENTAS:  POSTVENTA CORREGIDA</v>
      </c>
      <c r="N70" s="51" t="str">
        <f>+IF(GENERAL!O71=GENERAL!$AI$2,GENERAL!$AI$2,CONCATENATE(OBSERVACIONES!N70,"
ESTADO DE POSTVENTAS:  ",GENERAL!O71))</f>
        <v>OK
ESTADO DE POSTVENTAS:  POSTVENTA CORREGIDA</v>
      </c>
      <c r="O70" s="51" t="str">
        <f>+IF(GENERAL!P71=GENERAL!$AI$2,GENERAL!$AI$2,CONCATENATE(OBSERVACIONES!O70,"
ESTADO DE POSTVENTAS:  ",GENERAL!P71))</f>
        <v>OK
ESTADO DE POSTVENTAS:  POSTVENTA CORREGIDA</v>
      </c>
      <c r="P70" s="70" t="str">
        <f>+IF(GENERAL!Q71=GENERAL!$AI$2,GENERAL!$AI$2,CONCATENATE(OBSERVACIONES!P70,"
ESTADO DE POSTVENTAS:  ",GENERAL!Q71))</f>
        <v>OK
ESTADO DE POSTVENTAS:  POSTVENTA CORREGIDA</v>
      </c>
      <c r="Q70" s="70" t="str">
        <f>+IF(GENERAL!R71=GENERAL!$AI$2,GENERAL!$AI$2,CONCATENATE(OBSERVACIONES!Q70,"
ESTADO DE POSTVENTAS:  ",GENERAL!R71))</f>
        <v>OK
ESTADO DE POSTVENTAS:  POSTVENTA CORREGIDA</v>
      </c>
      <c r="R70" s="51" t="str">
        <f>+IF(GENERAL!S71=GENERAL!$AI$2,GENERAL!$AI$2,CONCATENATE(OBSERVACIONES!R70,"
ESTADO DE POSTVENTAS:  ",GENERAL!S71))</f>
        <v>OK
ESTADO DE POSTVENTAS:  POSTVENTA CORREGIDA</v>
      </c>
      <c r="S70" s="51" t="str">
        <f>+IF(GENERAL!T71=GENERAL!$AI$2,GENERAL!$AI$2,CONCATENATE(OBSERVACIONES!S70,"
ESTADO DE POSTVENTAS:  ",GENERAL!T71))</f>
        <v>OK
ESTADO DE POSTVENTAS:  POSTVENTA CORREGIDA</v>
      </c>
      <c r="T70" s="51" t="str">
        <f>+IF(GENERAL!U71=GENERAL!$AI$2,GENERAL!$AI$2,CONCATENATE(OBSERVACIONES!T70,"
ESTADO DE POSTVENTAS:  ",GENERAL!U71))</f>
        <v>OK
ESTADO DE POSTVENTAS:  POSTVENTA CORREGIDA</v>
      </c>
      <c r="U70" s="51" t="str">
        <f>+IF(GENERAL!V71=GENERAL!$AI$2,GENERAL!$AI$2,CONCATENATE(OBSERVACIONES!U70,"
ESTADO DE POSTVENTAS:  ",GENERAL!V71))</f>
        <v>OK
ESTADO DE POSTVENTAS:  POSTVENTA CORREGIDA</v>
      </c>
      <c r="V70" s="51" t="str">
        <f>+IF(GENERAL!W71=GENERAL!$AI$2,GENERAL!$AI$2,CONCATENATE(OBSERVACIONES!V70,"
ESTADO DE POSTVENTAS:  ",GENERAL!W71))</f>
        <v>OK
ESTADO DE POSTVENTAS:  POSTVENTA CORREGIDA</v>
      </c>
      <c r="W70" s="51" t="str">
        <f>+IF(GENERAL!V71=GENERAL!$AI$2,GENERAL!$AI$2,CONCATENATE(OBSERVACIONES!W70,"
ESTADO DE POSTVENTAS:  ",GENERAL!V71))</f>
        <v>OK
ESTADO DE POSTVENTAS:  POSTVENTA CORREGIDA</v>
      </c>
      <c r="X70" s="51" t="str">
        <f>+IF(GENERAL!W71=GENERAL!$AI$2,GENERAL!$AI$2,CONCATENATE(OBSERVACIONES!X70,"
ESTADO DE POSTVENTAS:  ",GENERAL!W71))</f>
        <v>OK
ESTADO DE POSTVENTAS:  POSTVENTA CORREGIDA</v>
      </c>
      <c r="Y70" s="51" t="str">
        <f>+IF(GENERAL!Z71=GENERAL!$AI$2,GENERAL!$AI$2,CONCATENATE(OBSERVACIONES!Y70,"
ESTADO DE POSTVENTAS:  ",GENERAL!Z71))</f>
        <v>DETALLE PINTURA
ESTADO DE POSTVENTAS:  TIENE POSTVENTA</v>
      </c>
      <c r="Z70" s="51" t="str">
        <f>+IF(GENERAL!AA71=GENERAL!$AI$2,GENERAL!$AI$2,CONCATENATE(OBSERVACIONES!Z70,"
ESTADO DE POSTVENTAS:  ",GENERAL!AA71))</f>
        <v>OK
ESTADO DE POSTVENTAS:  POSTVENTA CORREGIDA</v>
      </c>
      <c r="AA70" s="51" t="str">
        <f>+IF(GENERAL!AB71=GENERAL!$AI$2,GENERAL!$AI$2,CONCATENATE(OBSERVACIONES!AA70,"
ESTADO DE POSTVENTAS:  ",GENERAL!AB71))</f>
        <v>OK
ESTADO DE POSTVENTAS:  POSTVENTA CORREGIDA</v>
      </c>
      <c r="AB70" s="51" t="str">
        <f>+IF(GENERAL!AC71=GENERAL!$AI$2,GENERAL!$AI$2,CONCATENATE(OBSERVACIONES!AB70,"
ESTADO DE POSTVENTAS:  ",GENERAL!AC71))</f>
        <v>OK
ESTADO DE POSTVENTAS:  POSTVENTA CORREGIDA</v>
      </c>
      <c r="AC70" s="51" t="str">
        <f>+IF(GENERAL!AD71=GENERAL!$AI$2,GENERAL!$AI$2,CONCATENATE(OBSERVACIONES!AC70,"
ESTADO DE POSTVENTAS:  ",GENERAL!AD71))</f>
        <v>OK
ESTADO DE POSTVENTAS:  POSTVENTA CORREGIDA</v>
      </c>
      <c r="AD70" s="51" t="str">
        <f>+IF(GENERAL!AE71=GENERAL!$AI$2,GENERAL!$AI$2,CONCATENATE(OBSERVACIONES!AD70,"
ESTADO DE POSTVENTAS:  ",GENERAL!AE71))</f>
        <v>OK
ESTADO DE POSTVENTAS:  POSTVENTA CORREGIDA</v>
      </c>
      <c r="AE70" s="51" t="str">
        <f>+IF(GENERAL!AF71=GENERAL!$AI$2,GENERAL!$AI$2,CONCATENATE(OBSERVACIONES!AE70,"
ESTADO DE POSTVENTAS:  ",GENERAL!AF71))</f>
        <v>OK
ESTADO DE POSTVENTAS:  POSTVENTA CORREGIDA</v>
      </c>
      <c r="AF70" s="51" t="str">
        <f>+IF(GENERAL!AG71=GENERAL!$AI$2,GENERAL!$AI$2,CONCATENATE(OBSERVACIONES!AF70,"
ESTADO DE POSTVENTAS:  ",GENERAL!AG71))</f>
        <v>OK
ESTADO DE POSTVENTAS:  POSTVENTA CORREGIDA</v>
      </c>
      <c r="AG70" s="51" t="str">
        <f>+IF(GENERAL!AH71=GENERAL!$AI$2,GENERAL!$AI$2,CONCATENATE(OBSERVACIONES!AG70,"
ESTADO DE POSTVENTAS:  ",GENERAL!AH71))</f>
        <v>DETALLE PINTURAS
ESTADO DE POSTVENTAS:  TIENE POSTVENTA</v>
      </c>
      <c r="AH70" s="51" t="str">
        <f>+IF(GENERAL!AI71=GENERAL!$AI$2,GENERAL!$AI$2,CONCATENATE(OBSERVACIONES!AH70,"
ESTADO DE POSTVENTAS:  ",GENERAL!AI71))</f>
        <v>OK
ESTADO DE POSTVENTAS:  POSTVENTA CORREGIDA</v>
      </c>
      <c r="AI70" s="51" t="str">
        <f>+IF(GENERAL!AG71=GENERAL!$AI$2,GENERAL!$AI$2,CONCATENATE(OBSERVACIONES!AF70,"
ESTADO DE POSTVENTAS:  ",GENERAL!AG71))</f>
        <v>OK
ESTADO DE POSTVENTAS:  POSTVENTA CORREGIDA</v>
      </c>
      <c r="AJ70" s="51" t="str">
        <f>+IF(GENERAL!AI71=GENERAL!$AI$2,GENERAL!$AI$2,CONCATENATE(OBSERVACIONES!AH70,"
ESTADO DE POSTVENTAS:  ",GENERAL!AI71))</f>
        <v>OK
ESTADO DE POSTVENTAS:  POSTVENTA CORREGIDA</v>
      </c>
      <c r="AK70" s="51" t="str">
        <f>+IF(GENERAL!AJ71=GENERAL!$AI$2,GENERAL!$AI$2,CONCATENATE(OBSERVACIONES!AI70,"
ESTADO DE POSTVENTAS:  ",GENERAL!AJ71))</f>
        <v>OK
ESTADO DE POSTVENTAS:  POSTVENTA CORREGIDA</v>
      </c>
      <c r="AL70" s="51" t="str">
        <f>+IF(GENERAL!AK71=GENERAL!$AI$2,GENERAL!$AI$2,CONCATENATE(OBSERVACIONES!AJ70,"
ESTADO DE POSTVENTAS:  ",GENERAL!AK71))</f>
        <v>OK
ESTADO DE POSTVENTAS:  POSTVENTA CORREGIDA</v>
      </c>
      <c r="AM70" s="51" t="str">
        <f>+IF(GENERAL!AN71=GENERAL!$AI$2,GENERAL!$AI$2,CONCATENATE(OBSERVACIONES!AM70,"
ESTADO DE POSTVENTAS:  ",GENERAL!AN71))</f>
        <v>OK
ESTADO DE POSTVENTAS:  POSTVENTA CORREGIDA</v>
      </c>
      <c r="AN70" s="37">
        <v>4</v>
      </c>
      <c r="AO70" s="37">
        <v>7</v>
      </c>
      <c r="AP70" s="37">
        <v>3</v>
      </c>
      <c r="AQ70" s="37">
        <v>0</v>
      </c>
      <c r="AR70" s="43">
        <v>14</v>
      </c>
      <c r="AS70" s="40">
        <v>12</v>
      </c>
      <c r="AT70" s="37">
        <f>COUNTIFS($D$5:$AM$5,"&lt;&gt;"&amp;CODICIONALES!$A$1,$D$5:$AM$5,"&lt;&gt;"&amp;CODICIONALES!$A$2,$D$5:$AM$5,"&lt;&gt;"&amp;CODICIONALES!$B$2,$D$5:$AM$5,"&lt;&gt;"&amp;CODICIONALES!$C$2)</f>
        <v>6</v>
      </c>
      <c r="AU70" s="43">
        <f>COUNTIFS(D70:AM70,CODICIONALES!$A$2)</f>
        <v>32</v>
      </c>
      <c r="AV70" s="40">
        <f t="shared" ref="AV70:AV133" si="1">COUNTA(D70:AM70)-SUM(AT70:AU70)</f>
        <v>-2</v>
      </c>
    </row>
    <row r="71" spans="1:48" ht="51" customHeight="1" x14ac:dyDescent="0.25">
      <c r="A71" s="110"/>
      <c r="B71" s="2">
        <v>67</v>
      </c>
      <c r="C71" s="21" t="s">
        <v>62</v>
      </c>
      <c r="D71" s="51" t="str">
        <f>+IF(GENERAL!E72=GENERAL!$AI$2,GENERAL!$AI$2,CONCATENATE(OBSERVACIONES!D71,"
ESTADO DE POSTVENTAS:  ",GENERAL!E72))</f>
        <v>NO ENTREGADO
ESTADO DE POSTVENTAS:  TIENE POSTVENTA</v>
      </c>
      <c r="E71" s="51" t="str">
        <f>+IF(GENERAL!F72=GENERAL!$AI$2,GENERAL!$AI$2,CONCATENATE(OBSERVACIONES!E71,"
ESTADO DE POSTVENTAS:  ",GENERAL!F72))</f>
        <v>OK
ESTADO DE POSTVENTAS:  POSTVENTA CORREGIDA</v>
      </c>
      <c r="F71" s="51" t="str">
        <f>+IF(GENERAL!G72=GENERAL!$AI$2,GENERAL!$AI$2,CONCATENATE(OBSERVACIONES!F71,"
ESTADO DE POSTVENTAS:  ",GENERAL!G72))</f>
        <v>OK
ESTADO DE POSTVENTAS:  POSTVENTA CORREGIDA</v>
      </c>
      <c r="G71" s="51" t="str">
        <f>+IF(GENERAL!H72=GENERAL!$AI$2,GENERAL!$AI$2,CONCATENATE(OBSERVACIONES!G71,"
ESTADO DE POSTVENTAS:  ",GENERAL!H72))</f>
        <v>NO ENTREGADO
ESTADO DE POSTVENTAS:  TIENE POSTVENTA</v>
      </c>
      <c r="H71" s="51" t="str">
        <f>+IF(GENERAL!I72=GENERAL!$AI$2,GENERAL!$AI$2,CONCATENATE(OBSERVACIONES!H71,"
ESTADO DE POSTVENTAS:  ",GENERAL!I72))</f>
        <v>OK
ESTADO DE POSTVENTAS:  POSTVENTA CORREGIDA</v>
      </c>
      <c r="I71" s="51" t="str">
        <f>+IF(GENERAL!J72=GENERAL!$AI$2,GENERAL!$AI$2,CONCATENATE(OBSERVACIONES!I71,"
ESTADO DE POSTVENTAS:  ",GENERAL!J72))</f>
        <v>OK
ESTADO DE POSTVENTAS:  POSTVENTA CORREGIDA</v>
      </c>
      <c r="J71" s="51" t="str">
        <f>+IF(GENERAL!K72=GENERAL!$AI$2,GENERAL!$AI$2,CONCATENATE(OBSERVACIONES!J71,"
ESTADO DE POSTVENTAS:  ",GENERAL!K72))</f>
        <v>OK
ESTADO DE POSTVENTAS:  POSTVENTA CORREGIDA</v>
      </c>
      <c r="K71" s="51" t="str">
        <f>+IF(GENERAL!L72=GENERAL!$AI$2,GENERAL!$AI$2,CONCATENATE(OBSERVACIONES!K71,"
ESTADO DE POSTVENTAS:  ",GENERAL!L72))</f>
        <v>OK
ESTADO DE POSTVENTAS:  POSTVENTA CORREGIDA</v>
      </c>
      <c r="L71" s="51" t="str">
        <f>+IF(GENERAL!M72=GENERAL!$AI$2,GENERAL!$AI$2,CONCATENATE(OBSERVACIONES!L71,"
ESTADO DE POSTVENTAS:  ",GENERAL!M72))</f>
        <v>OK
ESTADO DE POSTVENTAS:  POSTVENTA CORREGIDA</v>
      </c>
      <c r="M71" s="70" t="str">
        <f>+IF(GENERAL!N72=GENERAL!$AI$2,GENERAL!$AI$2,CONCATENATE(OBSERVACIONES!M71,"
ESTADO DE POSTVENTAS:  ",GENERAL!N72))</f>
        <v>OK
ESTADO DE POSTVENTAS:  POSTVENTA CORREGIDA</v>
      </c>
      <c r="N71" s="51" t="str">
        <f>+IF(GENERAL!O72=GENERAL!$AI$2,GENERAL!$AI$2,CONCATENATE(OBSERVACIONES!N71,"
ESTADO DE POSTVENTAS:  ",GENERAL!O72))</f>
        <v>OK
ESTADO DE POSTVENTAS:  POSTVENTA CORREGIDA</v>
      </c>
      <c r="O71" s="51" t="str">
        <f>+IF(GENERAL!P72=GENERAL!$AI$2,GENERAL!$AI$2,CONCATENATE(OBSERVACIONES!O71,"
ESTADO DE POSTVENTAS:  ",GENERAL!P72))</f>
        <v>OK
ESTADO DE POSTVENTAS:  POSTVENTA CORREGIDA</v>
      </c>
      <c r="P71" s="70" t="str">
        <f>+IF(GENERAL!Q72=GENERAL!$AI$2,GENERAL!$AI$2,CONCATENATE(OBSERVACIONES!P71,"
ESTADO DE POSTVENTAS:  ",GENERAL!Q72))</f>
        <v>OK
ESTADO DE POSTVENTAS:  POSTVENTA CORREGIDA</v>
      </c>
      <c r="Q71" s="70" t="str">
        <f>+IF(GENERAL!R72=GENERAL!$AI$2,GENERAL!$AI$2,CONCATENATE(OBSERVACIONES!Q71,"
ESTADO DE POSTVENTAS:  ",GENERAL!R72))</f>
        <v>OK
ESTADO DE POSTVENTAS:  POSTVENTA CORREGIDA</v>
      </c>
      <c r="R71" s="51" t="str">
        <f>+IF(GENERAL!S72=GENERAL!$AI$2,GENERAL!$AI$2,CONCATENATE(OBSERVACIONES!R71,"
ESTADO DE POSTVENTAS:  ",GENERAL!S72))</f>
        <v>OK
ESTADO DE POSTVENTAS:  POSTVENTA CORREGIDA</v>
      </c>
      <c r="S71" s="51" t="str">
        <f>+IF(GENERAL!T72=GENERAL!$AI$2,GENERAL!$AI$2,CONCATENATE(OBSERVACIONES!S71,"
ESTADO DE POSTVENTAS:  ",GENERAL!T72))</f>
        <v>OK
ESTADO DE POSTVENTAS:  POSTVENTA CORREGIDA</v>
      </c>
      <c r="T71" s="51" t="str">
        <f>+IF(GENERAL!U72=GENERAL!$AI$2,GENERAL!$AI$2,CONCATENATE(OBSERVACIONES!T71,"
ESTADO DE POSTVENTAS:  ",GENERAL!U72))</f>
        <v>DETALLE HUMEDAD
ESTADO DE POSTVENTAS:  TIENE POSTVENTA</v>
      </c>
      <c r="U71" s="51" t="str">
        <f>+IF(GENERAL!V72=GENERAL!$AI$2,GENERAL!$AI$2,CONCATENATE(OBSERVACIONES!U71,"
ESTADO DE POSTVENTAS:  ",GENERAL!V72))</f>
        <v>OK
ESTADO DE POSTVENTAS:  POSTVENTA CORREGIDA</v>
      </c>
      <c r="V71" s="51" t="str">
        <f>+IF(GENERAL!W72=GENERAL!$AI$2,GENERAL!$AI$2,CONCATENATE(OBSERVACIONES!V71,"
ESTADO DE POSTVENTAS:  ",GENERAL!W72))</f>
        <v>OK
ESTADO DE POSTVENTAS:  POSTVENTA CORREGIDA</v>
      </c>
      <c r="W71" s="51" t="str">
        <f>+IF(GENERAL!V72=GENERAL!$AI$2,GENERAL!$AI$2,CONCATENATE(OBSERVACIONES!W71,"
ESTADO DE POSTVENTAS:  ",GENERAL!V72))</f>
        <v>OK
ESTADO DE POSTVENTAS:  POSTVENTA CORREGIDA</v>
      </c>
      <c r="X71" s="51" t="str">
        <f>+IF(GENERAL!W72=GENERAL!$AI$2,GENERAL!$AI$2,CONCATENATE(OBSERVACIONES!X71,"
ESTADO DE POSTVENTAS:  ",GENERAL!W72))</f>
        <v>OK
ESTADO DE POSTVENTAS:  POSTVENTA CORREGIDA</v>
      </c>
      <c r="Y71" s="51" t="str">
        <f>+IF(GENERAL!Z72=GENERAL!$AI$2,GENERAL!$AI$2,CONCATENATE(OBSERVACIONES!Y71,"
ESTADO DE POSTVENTAS:  ",GENERAL!Z72))</f>
        <v>OK
ESTADO DE POSTVENTAS:  POSTVENTA CORREGIDA</v>
      </c>
      <c r="Z71" s="51" t="str">
        <f>+IF(GENERAL!AA72=GENERAL!$AI$2,GENERAL!$AI$2,CONCATENATE(OBSERVACIONES!Z71,"
ESTADO DE POSTVENTAS:  ",GENERAL!AA72))</f>
        <v>OK
ESTADO DE POSTVENTAS:  POSTVENTA CORREGIDA</v>
      </c>
      <c r="AA71" s="51" t="str">
        <f>+IF(GENERAL!AB72=GENERAL!$AI$2,GENERAL!$AI$2,CONCATENATE(OBSERVACIONES!AA71,"
ESTADO DE POSTVENTAS:  ",GENERAL!AB72))</f>
        <v>OK
ESTADO DE POSTVENTAS:  POSTVENTA CORREGIDA</v>
      </c>
      <c r="AB71" s="70" t="str">
        <f>+IF(GENERAL!AC72=GENERAL!$AI$2,GENERAL!$AI$2,CONCATENATE(OBSERVACIONES!AB71,"
ESTADO DE POSTVENTAS:  ",GENERAL!AC72))</f>
        <v>OK
ESTADO DE POSTVENTAS:  POSTVENTA CORREGIDA</v>
      </c>
      <c r="AC71" s="51" t="str">
        <f>+IF(GENERAL!AD72=GENERAL!$AI$2,GENERAL!$AI$2,CONCATENATE(OBSERVACIONES!AC71,"
ESTADO DE POSTVENTAS:  ",GENERAL!AD72))</f>
        <v>OK
ESTADO DE POSTVENTAS:  POSTVENTA CORREGIDA</v>
      </c>
      <c r="AD71" s="51" t="str">
        <f>+IF(GENERAL!AE72=GENERAL!$AI$2,GENERAL!$AI$2,CONCATENATE(OBSERVACIONES!AD71,"
ESTADO DE POSTVENTAS:  ",GENERAL!AE72))</f>
        <v>OK
ESTADO DE POSTVENTAS:  POSTVENTA CORREGIDA</v>
      </c>
      <c r="AE71" s="51" t="str">
        <f>+IF(GENERAL!AF72=GENERAL!$AI$2,GENERAL!$AI$2,CONCATENATE(OBSERVACIONES!AE71,"
ESTADO DE POSTVENTAS:  ",GENERAL!AF72))</f>
        <v>OK
ESTADO DE POSTVENTAS:  POSTVENTA CORREGIDA</v>
      </c>
      <c r="AF71" s="51" t="str">
        <f>+IF(GENERAL!AG72=GENERAL!$AI$2,GENERAL!$AI$2,CONCATENATE(OBSERVACIONES!AF71,"
ESTADO DE POSTVENTAS:  ",GENERAL!AG72))</f>
        <v>OK
ESTADO DE POSTVENTAS:  POSTVENTA CORREGIDA</v>
      </c>
      <c r="AG71" s="51" t="str">
        <f>+IF(GENERAL!AH72=GENERAL!$AI$2,GENERAL!$AI$2,CONCATENATE(OBSERVACIONES!AG71,"
ESTADO DE POSTVENTAS:  ",GENERAL!AH72))</f>
        <v>OK
ESTADO DE POSTVENTAS:  POSTVENTA CORREGIDA</v>
      </c>
      <c r="AH71" s="51" t="str">
        <f>+IF(GENERAL!AI72=GENERAL!$AI$2,GENERAL!$AI$2,CONCATENATE(OBSERVACIONES!AH71,"
ESTADO DE POSTVENTAS:  ",GENERAL!AI72))</f>
        <v>OK
ESTADO DE POSTVENTAS:  POSTVENTA CORREGIDA</v>
      </c>
      <c r="AI71" s="51" t="str">
        <f>+IF(GENERAL!AG72=GENERAL!$AI$2,GENERAL!$AI$2,CONCATENATE(OBSERVACIONES!AF71,"
ESTADO DE POSTVENTAS:  ",GENERAL!AG72))</f>
        <v>OK
ESTADO DE POSTVENTAS:  POSTVENTA CORREGIDA</v>
      </c>
      <c r="AJ71" s="51" t="str">
        <f>+IF(GENERAL!AI72=GENERAL!$AI$2,GENERAL!$AI$2,CONCATENATE(OBSERVACIONES!AH71,"
ESTADO DE POSTVENTAS:  ",GENERAL!AI72))</f>
        <v>OK
ESTADO DE POSTVENTAS:  POSTVENTA CORREGIDA</v>
      </c>
      <c r="AK71" s="51" t="str">
        <f>+IF(GENERAL!AJ72=GENERAL!$AI$2,GENERAL!$AI$2,CONCATENATE(OBSERVACIONES!AI71,"
ESTADO DE POSTVENTAS:  ",GENERAL!AJ72))</f>
        <v>OK
ESTADO DE POSTVENTAS:  POSTVENTA CORREGIDA</v>
      </c>
      <c r="AL71" s="51" t="str">
        <f>+IF(GENERAL!AK72=GENERAL!$AI$2,GENERAL!$AI$2,CONCATENATE(OBSERVACIONES!AJ71,"
ESTADO DE POSTVENTAS:  ",GENERAL!AK72))</f>
        <v>OK
ESTADO DE POSTVENTAS:  POSTVENTA CORREGIDA</v>
      </c>
      <c r="AM71" s="51" t="str">
        <f>+IF(GENERAL!AN72=GENERAL!$AI$2,GENERAL!$AI$2,CONCATENATE(OBSERVACIONES!AM71,"
ESTADO DE POSTVENTAS:  ",GENERAL!AN72))</f>
        <v>OK
ESTADO DE POSTVENTAS:  POSTVENTA CORREGIDA</v>
      </c>
      <c r="AN71" s="37">
        <v>4</v>
      </c>
      <c r="AO71" s="37">
        <v>7</v>
      </c>
      <c r="AP71" s="37">
        <v>3</v>
      </c>
      <c r="AQ71" s="37">
        <v>1</v>
      </c>
      <c r="AR71" s="43">
        <v>13</v>
      </c>
      <c r="AS71" s="40">
        <v>12</v>
      </c>
      <c r="AT71" s="37">
        <f>COUNTIFS($D$5:$AM$5,"&lt;&gt;"&amp;CODICIONALES!$A$1,$D$5:$AM$5,"&lt;&gt;"&amp;CODICIONALES!$A$2,$D$5:$AM$5,"&lt;&gt;"&amp;CODICIONALES!$B$2,$D$5:$AM$5,"&lt;&gt;"&amp;CODICIONALES!$C$2)</f>
        <v>6</v>
      </c>
      <c r="AU71" s="43">
        <f>COUNTIFS(D71:AM71,CODICIONALES!$A$2)</f>
        <v>33</v>
      </c>
      <c r="AV71" s="40">
        <f t="shared" si="1"/>
        <v>-3</v>
      </c>
    </row>
    <row r="72" spans="1:48" ht="51" customHeight="1" x14ac:dyDescent="0.25">
      <c r="A72" s="110"/>
      <c r="B72" s="2">
        <v>68</v>
      </c>
      <c r="C72" s="21" t="s">
        <v>91</v>
      </c>
      <c r="D72" s="51" t="str">
        <f>+IF(GENERAL!E73=GENERAL!$AI$2,GENERAL!$AI$2,CONCATENATE(OBSERVACIONES!D72,"
ESTADO DE POSTVENTAS:  ",GENERAL!E73))</f>
        <v>NO ENTREGADO
ESTADO DE POSTVENTAS:  TIENE POSTVENTA</v>
      </c>
      <c r="E72" s="51" t="str">
        <f>+IF(GENERAL!F73=GENERAL!$AI$2,GENERAL!$AI$2,CONCATENATE(OBSERVACIONES!E72,"
ESTADO DE POSTVENTAS:  ",GENERAL!F73))</f>
        <v>OK
ESTADO DE POSTVENTAS:  POSTVENTA CORREGIDA</v>
      </c>
      <c r="F72" s="51" t="str">
        <f>+IF(GENERAL!G73=GENERAL!$AI$2,GENERAL!$AI$2,CONCATENATE(OBSERVACIONES!F72,"
ESTADO DE POSTVENTAS:  ",GENERAL!G73))</f>
        <v>OK
ESTADO DE POSTVENTAS:  POSTVENTA CORREGIDA</v>
      </c>
      <c r="G72" s="51" t="str">
        <f>+IF(GENERAL!H73=GENERAL!$AI$2,GENERAL!$AI$2,CONCATENATE(OBSERVACIONES!G72,"
ESTADO DE POSTVENTAS:  ",GENERAL!H73))</f>
        <v>NO ENTREGADO
ESTADO DE POSTVENTAS:  TIENE POSTVENTA</v>
      </c>
      <c r="H72" s="51" t="str">
        <f>+IF(GENERAL!I73=GENERAL!$AI$2,GENERAL!$AI$2,CONCATENATE(OBSERVACIONES!H72,"
ESTADO DE POSTVENTAS:  ",GENERAL!I73))</f>
        <v>OK
ESTADO DE POSTVENTAS:  POSTVENTA CORREGIDA</v>
      </c>
      <c r="I72" s="51" t="str">
        <f>+IF(GENERAL!J73=GENERAL!$AI$2,GENERAL!$AI$2,CONCATENATE(OBSERVACIONES!I72,"
ESTADO DE POSTVENTAS:  ",GENERAL!J73))</f>
        <v>OK
ESTADO DE POSTVENTAS:  POSTVENTA CORREGIDA</v>
      </c>
      <c r="J72" s="51" t="str">
        <f>+IF(GENERAL!K73=GENERAL!$AI$2,GENERAL!$AI$2,CONCATENATE(OBSERVACIONES!J72,"
ESTADO DE POSTVENTAS:  ",GENERAL!K73))</f>
        <v>OK
ESTADO DE POSTVENTAS:  POSTVENTA CORREGIDA</v>
      </c>
      <c r="K72" s="51" t="str">
        <f>+IF(GENERAL!L73=GENERAL!$AI$2,GENERAL!$AI$2,CONCATENATE(OBSERVACIONES!K72,"
ESTADO DE POSTVENTAS:  ",GENERAL!L73))</f>
        <v>OK
ESTADO DE POSTVENTAS:  POSTVENTA CORREGIDA</v>
      </c>
      <c r="L72" s="51" t="str">
        <f>+IF(GENERAL!M73=GENERAL!$AI$2,GENERAL!$AI$2,CONCATENATE(OBSERVACIONES!L72,"
ESTADO DE POSTVENTAS:  ",GENERAL!M73))</f>
        <v>OK
ESTADO DE POSTVENTAS:  POSTVENTA CORREGIDA</v>
      </c>
      <c r="M72" s="70" t="str">
        <f>+IF(GENERAL!N73=GENERAL!$AI$2,GENERAL!$AI$2,CONCATENATE(OBSERVACIONES!M72,"
ESTADO DE POSTVENTAS:  ",GENERAL!N73))</f>
        <v>OK
ESTADO DE POSTVENTAS:  POSTVENTA CORREGIDA</v>
      </c>
      <c r="N72" s="51" t="str">
        <f>+IF(GENERAL!O73=GENERAL!$AI$2,GENERAL!$AI$2,CONCATENATE(OBSERVACIONES!N72,"
ESTADO DE POSTVENTAS:  ",GENERAL!O73))</f>
        <v>OK
ESTADO DE POSTVENTAS:  POSTVENTA CORREGIDA</v>
      </c>
      <c r="O72" s="51" t="str">
        <f>+IF(GENERAL!P73=GENERAL!$AI$2,GENERAL!$AI$2,CONCATENATE(OBSERVACIONES!O72,"
ESTADO DE POSTVENTAS:  ",GENERAL!P73))</f>
        <v>OK
ESTADO DE POSTVENTAS:  POSTVENTA CORREGIDA</v>
      </c>
      <c r="P72" s="70" t="str">
        <f>+IF(GENERAL!Q73=GENERAL!$AI$2,GENERAL!$AI$2,CONCATENATE(OBSERVACIONES!P72,"
ESTADO DE POSTVENTAS:  ",GENERAL!Q73))</f>
        <v>OK
ESTADO DE POSTVENTAS:  POSTVENTA CORREGIDA</v>
      </c>
      <c r="Q72" s="70" t="str">
        <f>+IF(GENERAL!R73=GENERAL!$AI$2,GENERAL!$AI$2,CONCATENATE(OBSERVACIONES!Q72,"
ESTADO DE POSTVENTAS:  ",GENERAL!R73))</f>
        <v>OK
ESTADO DE POSTVENTAS:  POSTVENTA CORREGIDA</v>
      </c>
      <c r="R72" s="51" t="str">
        <f>+IF(GENERAL!S73=GENERAL!$AI$2,GENERAL!$AI$2,CONCATENATE(OBSERVACIONES!R72,"
ESTADO DE POSTVENTAS:  ",GENERAL!S73))</f>
        <v>OK
ESTADO DE POSTVENTAS:  POSTVENTA CORREGIDA</v>
      </c>
      <c r="S72" s="51" t="str">
        <f>+IF(GENERAL!T73=GENERAL!$AI$2,GENERAL!$AI$2,CONCATENATE(OBSERVACIONES!S72,"
ESTADO DE POSTVENTAS:  ",GENERAL!T73))</f>
        <v>OK
ESTADO DE POSTVENTAS:  POSTVENTA CORREGIDA</v>
      </c>
      <c r="T72" s="51" t="str">
        <f>+IF(GENERAL!U73=GENERAL!$AI$2,GENERAL!$AI$2,CONCATENATE(OBSERVACIONES!T72,"
ESTADO DE POSTVENTAS:  ",GENERAL!U73))</f>
        <v>OK
ESTADO DE POSTVENTAS:  POSTVENTA CORREGIDA</v>
      </c>
      <c r="U72" s="51" t="str">
        <f>+IF(GENERAL!V73=GENERAL!$AI$2,GENERAL!$AI$2,CONCATENATE(OBSERVACIONES!U72,"
ESTADO DE POSTVENTAS:  ",GENERAL!V73))</f>
        <v>OK
ESTADO DE POSTVENTAS:  POSTVENTA CORREGIDA</v>
      </c>
      <c r="V72" s="51" t="str">
        <f>+IF(GENERAL!W73=GENERAL!$AI$2,GENERAL!$AI$2,CONCATENATE(OBSERVACIONES!V72,"
ESTADO DE POSTVENTAS:  ",GENERAL!W73))</f>
        <v>OK
ESTADO DE POSTVENTAS:  POSTVENTA CORREGIDA</v>
      </c>
      <c r="W72" s="51" t="str">
        <f>+IF(GENERAL!V73=GENERAL!$AI$2,GENERAL!$AI$2,CONCATENATE(OBSERVACIONES!W72,"
ESTADO DE POSTVENTAS:  ",GENERAL!V73))</f>
        <v>OK
ESTADO DE POSTVENTAS:  POSTVENTA CORREGIDA</v>
      </c>
      <c r="X72" s="51" t="str">
        <f>+IF(GENERAL!W73=GENERAL!$AI$2,GENERAL!$AI$2,CONCATENATE(OBSERVACIONES!X72,"
ESTADO DE POSTVENTAS:  ",GENERAL!W73))</f>
        <v>OK
ESTADO DE POSTVENTAS:  POSTVENTA CORREGIDA</v>
      </c>
      <c r="Y72" s="51" t="str">
        <f>+IF(GENERAL!Z73=GENERAL!$AI$2,GENERAL!$AI$2,CONCATENATE(OBSERVACIONES!Y72,"
ESTADO DE POSTVENTAS:  ",GENERAL!Z73))</f>
        <v>OK
ESTADO DE POSTVENTAS:  POSTVENTA CORREGIDA</v>
      </c>
      <c r="Z72" s="51" t="str">
        <f>+IF(GENERAL!AA73=GENERAL!$AI$2,GENERAL!$AI$2,CONCATENATE(OBSERVACIONES!Z72,"
ESTADO DE POSTVENTAS:  ",GENERAL!AA73))</f>
        <v>OK
ESTADO DE POSTVENTAS:  POSTVENTA CORREGIDA</v>
      </c>
      <c r="AA72" s="51" t="str">
        <f>+IF(GENERAL!AB73=GENERAL!$AI$2,GENERAL!$AI$2,CONCATENATE(OBSERVACIONES!AA72,"
ESTADO DE POSTVENTAS:  ",GENERAL!AB73))</f>
        <v>OK
ESTADO DE POSTVENTAS:  POSTVENTA CORREGIDA</v>
      </c>
      <c r="AB72" s="51" t="str">
        <f>+IF(GENERAL!AC73=GENERAL!$AI$2,GENERAL!$AI$2,CONCATENATE(OBSERVACIONES!AB72,"
ESTADO DE POSTVENTAS:  ",GENERAL!AC73))</f>
        <v>OK
ESTADO DE POSTVENTAS:  POSTVENTA CORREGIDA</v>
      </c>
      <c r="AC72" s="51" t="str">
        <f>+IF(GENERAL!AD73=GENERAL!$AI$2,GENERAL!$AI$2,CONCATENATE(OBSERVACIONES!AC72,"
ESTADO DE POSTVENTAS:  ",GENERAL!AD73))</f>
        <v>OK
ESTADO DE POSTVENTAS:  POSTVENTA CORREGIDA</v>
      </c>
      <c r="AD72" s="51" t="str">
        <f>+IF(GENERAL!AE73=GENERAL!$AI$2,GENERAL!$AI$2,CONCATENATE(OBSERVACIONES!AD72,"
ESTADO DE POSTVENTAS:  ",GENERAL!AE73))</f>
        <v>OK
ESTADO DE POSTVENTAS:  POSTVENTA CORREGIDA</v>
      </c>
      <c r="AE72" s="51" t="str">
        <f>+IF(GENERAL!AF73=GENERAL!$AI$2,GENERAL!$AI$2,CONCATENATE(OBSERVACIONES!AE72,"
ESTADO DE POSTVENTAS:  ",GENERAL!AF73))</f>
        <v>OK
ESTADO DE POSTVENTAS:  POSTVENTA CORREGIDA</v>
      </c>
      <c r="AF72" s="51" t="str">
        <f>+IF(GENERAL!AG73=GENERAL!$AI$2,GENERAL!$AI$2,CONCATENATE(OBSERVACIONES!AF72,"
ESTADO DE POSTVENTAS:  ",GENERAL!AG73))</f>
        <v>OK
ESTADO DE POSTVENTAS:  POSTVENTA CORREGIDA</v>
      </c>
      <c r="AG72" s="51" t="str">
        <f>+IF(GENERAL!AH73=GENERAL!$AI$2,GENERAL!$AI$2,CONCATENATE(OBSERVACIONES!AG72,"
ESTADO DE POSTVENTAS:  ",GENERAL!AH73))</f>
        <v>OK
ESTADO DE POSTVENTAS:  POSTVENTA CORREGIDA</v>
      </c>
      <c r="AH72" s="51" t="str">
        <f>+IF(GENERAL!AI73=GENERAL!$AI$2,GENERAL!$AI$2,CONCATENATE(OBSERVACIONES!AH72,"
ESTADO DE POSTVENTAS:  ",GENERAL!AI73))</f>
        <v>OK
ESTADO DE POSTVENTAS:  POSTVENTA CORREGIDA</v>
      </c>
      <c r="AI72" s="51" t="str">
        <f>+IF(GENERAL!AG73=GENERAL!$AI$2,GENERAL!$AI$2,CONCATENATE(OBSERVACIONES!AF72,"
ESTADO DE POSTVENTAS:  ",GENERAL!AG73))</f>
        <v>OK
ESTADO DE POSTVENTAS:  POSTVENTA CORREGIDA</v>
      </c>
      <c r="AJ72" s="51" t="str">
        <f>+IF(GENERAL!AI73=GENERAL!$AI$2,GENERAL!$AI$2,CONCATENATE(OBSERVACIONES!AH72,"
ESTADO DE POSTVENTAS:  ",GENERAL!AI73))</f>
        <v>OK
ESTADO DE POSTVENTAS:  POSTVENTA CORREGIDA</v>
      </c>
      <c r="AK72" s="51" t="str">
        <f>+IF(GENERAL!AJ73=GENERAL!$AI$2,GENERAL!$AI$2,CONCATENATE(OBSERVACIONES!AI72,"
ESTADO DE POSTVENTAS:  ",GENERAL!AJ73))</f>
        <v>OK
ESTADO DE POSTVENTAS:  POSTVENTA CORREGIDA</v>
      </c>
      <c r="AL72" s="51" t="str">
        <f>+IF(GENERAL!AK73=GENERAL!$AI$2,GENERAL!$AI$2,CONCATENATE(OBSERVACIONES!AJ72,"
ESTADO DE POSTVENTAS:  ",GENERAL!AK73))</f>
        <v>OK
ESTADO DE POSTVENTAS:  POSTVENTA CORREGIDA</v>
      </c>
      <c r="AM72" s="51" t="str">
        <f>+IF(GENERAL!AN73=GENERAL!$AI$2,GENERAL!$AI$2,CONCATENATE(OBSERVACIONES!AM72,"
ESTADO DE POSTVENTAS:  ",GENERAL!AN73))</f>
        <v>OK
ESTADO DE POSTVENTAS:  POSTVENTA CORREGIDA</v>
      </c>
      <c r="AN72" s="37">
        <v>1</v>
      </c>
      <c r="AO72" s="37">
        <v>10</v>
      </c>
      <c r="AP72" s="37">
        <v>3</v>
      </c>
      <c r="AQ72" s="37">
        <v>0</v>
      </c>
      <c r="AR72" s="43">
        <v>14</v>
      </c>
      <c r="AS72" s="40">
        <v>12</v>
      </c>
      <c r="AT72" s="37">
        <f>COUNTIFS($D$5:$AM$5,"&lt;&gt;"&amp;CODICIONALES!$A$1,$D$5:$AM$5,"&lt;&gt;"&amp;CODICIONALES!$A$2,$D$5:$AM$5,"&lt;&gt;"&amp;CODICIONALES!$B$2,$D$5:$AM$5,"&lt;&gt;"&amp;CODICIONALES!$C$2)</f>
        <v>6</v>
      </c>
      <c r="AU72" s="43">
        <f>COUNTIFS(D72:AM72,CODICIONALES!$A$2)</f>
        <v>34</v>
      </c>
      <c r="AV72" s="40">
        <f t="shared" si="1"/>
        <v>-4</v>
      </c>
    </row>
    <row r="73" spans="1:48" ht="51" customHeight="1" x14ac:dyDescent="0.25">
      <c r="A73" s="110"/>
      <c r="B73" s="2">
        <v>69</v>
      </c>
      <c r="C73" s="20" t="s">
        <v>92</v>
      </c>
      <c r="D73" s="51" t="str">
        <f>+IF(GENERAL!E74=GENERAL!$AI$2,GENERAL!$AI$2,CONCATENATE(OBSERVACIONES!D73,"
ESTADO DE POSTVENTAS:  ",GENERAL!E74))</f>
        <v>NO ENTREGADO
ESTADO DE POSTVENTAS:  TIENE POSTVENTA</v>
      </c>
      <c r="E73" s="51" t="str">
        <f>+IF(GENERAL!F74=GENERAL!$AI$2,GENERAL!$AI$2,CONCATENATE(OBSERVACIONES!E73,"
ESTADO DE POSTVENTAS:  ",GENERAL!F74))</f>
        <v>OK
ESTADO DE POSTVENTAS:  POSTVENTA CORREGIDA</v>
      </c>
      <c r="F73" s="51" t="str">
        <f>+IF(GENERAL!G74=GENERAL!$AI$2,GENERAL!$AI$2,CONCATENATE(OBSERVACIONES!F73,"
ESTADO DE POSTVENTAS:  ",GENERAL!G74))</f>
        <v>OK
ESTADO DE POSTVENTAS:  POSTVENTA CORREGIDA</v>
      </c>
      <c r="G73" s="51" t="str">
        <f>+IF(GENERAL!H74=GENERAL!$AI$2,GENERAL!$AI$2,CONCATENATE(OBSERVACIONES!G73,"
ESTADO DE POSTVENTAS:  ",GENERAL!H74))</f>
        <v>NO ENTREGADO
ESTADO DE POSTVENTAS:  TIENE POSTVENTA</v>
      </c>
      <c r="H73" s="51" t="str">
        <f>+IF(GENERAL!I74=GENERAL!$AI$2,GENERAL!$AI$2,CONCATENATE(OBSERVACIONES!H73,"
ESTADO DE POSTVENTAS:  ",GENERAL!I74))</f>
        <v>OK
ESTADO DE POSTVENTAS:  POSTVENTA CORREGIDA</v>
      </c>
      <c r="I73" s="51" t="str">
        <f>+IF(GENERAL!J74=GENERAL!$AI$2,GENERAL!$AI$2,CONCATENATE(OBSERVACIONES!I73,"
ESTADO DE POSTVENTAS:  ",GENERAL!J74))</f>
        <v>OK
ESTADO DE POSTVENTAS:  POSTVENTA CORREGIDA</v>
      </c>
      <c r="J73" s="51" t="str">
        <f>+IF(GENERAL!K74=GENERAL!$AI$2,GENERAL!$AI$2,CONCATENATE(OBSERVACIONES!J73,"
ESTADO DE POSTVENTAS:  ",GENERAL!K74))</f>
        <v>OK
ESTADO DE POSTVENTAS:  POSTVENTA CORREGIDA</v>
      </c>
      <c r="K73" s="51" t="str">
        <f>+IF(GENERAL!L74=GENERAL!$AI$2,GENERAL!$AI$2,CONCATENATE(OBSERVACIONES!K73,"
ESTADO DE POSTVENTAS:  ",GENERAL!L74))</f>
        <v>OK
ESTADO DE POSTVENTAS:  POSTVENTA CORREGIDA</v>
      </c>
      <c r="L73" s="51" t="str">
        <f>+IF(GENERAL!M74=GENERAL!$AI$2,GENERAL!$AI$2,CONCATENATE(OBSERVACIONES!L73,"
ESTADO DE POSTVENTAS:  ",GENERAL!M74))</f>
        <v>OK
ESTADO DE POSTVENTAS:  POSTVENTA CORREGIDA</v>
      </c>
      <c r="M73" s="70" t="str">
        <f>+IF(GENERAL!N74=GENERAL!$AI$2,GENERAL!$AI$2,CONCATENATE(OBSERVACIONES!M73,"
ESTADO DE POSTVENTAS:  ",GENERAL!N74))</f>
        <v>OK
ESTADO DE POSTVENTAS:  POSTVENTA CORREGIDA</v>
      </c>
      <c r="N73" s="51" t="str">
        <f>+IF(GENERAL!O74=GENERAL!$AI$2,GENERAL!$AI$2,CONCATENATE(OBSERVACIONES!N73,"
ESTADO DE POSTVENTAS:  ",GENERAL!O74))</f>
        <v>OK
ESTADO DE POSTVENTAS:  POSTVENTA CORREGIDA</v>
      </c>
      <c r="O73" s="51" t="str">
        <f>+IF(GENERAL!P74=GENERAL!$AI$2,GENERAL!$AI$2,CONCATENATE(OBSERVACIONES!O73,"
ESTADO DE POSTVENTAS:  ",GENERAL!P74))</f>
        <v>OK
ESTADO DE POSTVENTAS:  POSTVENTA CORREGIDA</v>
      </c>
      <c r="P73" s="70" t="str">
        <f>+IF(GENERAL!Q74=GENERAL!$AI$2,GENERAL!$AI$2,CONCATENATE(OBSERVACIONES!P73,"
ESTADO DE POSTVENTAS:  ",GENERAL!Q74))</f>
        <v>OK
ESTADO DE POSTVENTAS:  POSTVENTA CORREGIDA</v>
      </c>
      <c r="Q73" s="70" t="str">
        <f>+IF(GENERAL!R74=GENERAL!$AI$2,GENERAL!$AI$2,CONCATENATE(OBSERVACIONES!Q73,"
ESTADO DE POSTVENTAS:  ",GENERAL!R74))</f>
        <v>OK
ESTADO DE POSTVENTAS:  POSTVENTA CORREGIDA</v>
      </c>
      <c r="R73" s="51" t="str">
        <f>+IF(GENERAL!S74=GENERAL!$AI$2,GENERAL!$AI$2,CONCATENATE(OBSERVACIONES!R73,"
ESTADO DE POSTVENTAS:  ",GENERAL!S74))</f>
        <v>OK
ESTADO DE POSTVENTAS:  POSTVENTA CORREGIDA</v>
      </c>
      <c r="S73" s="51" t="str">
        <f>+IF(GENERAL!T74=GENERAL!$AI$2,GENERAL!$AI$2,CONCATENATE(OBSERVACIONES!S73,"
ESTADO DE POSTVENTAS:  ",GENERAL!T74))</f>
        <v>OK
ESTADO DE POSTVENTAS:  POSTVENTA CORREGIDA</v>
      </c>
      <c r="T73" s="51" t="str">
        <f>+IF(GENERAL!U74=GENERAL!$AI$2,GENERAL!$AI$2,CONCATENATE(OBSERVACIONES!T73,"
ESTADO DE POSTVENTAS:  ",GENERAL!U74))</f>
        <v>OK
ESTADO DE POSTVENTAS:  POSTVENTA CORREGIDA</v>
      </c>
      <c r="U73" s="51" t="str">
        <f>+IF(GENERAL!V74=GENERAL!$AI$2,GENERAL!$AI$2,CONCATENATE(OBSERVACIONES!U73,"
ESTADO DE POSTVENTAS:  ",GENERAL!V74))</f>
        <v>OK
ESTADO DE POSTVENTAS:  POSTVENTA CORREGIDA</v>
      </c>
      <c r="V73" s="51" t="str">
        <f>+IF(GENERAL!W74=GENERAL!$AI$2,GENERAL!$AI$2,CONCATENATE(OBSERVACIONES!V73,"
ESTADO DE POSTVENTAS:  ",GENERAL!W74))</f>
        <v>OK
ESTADO DE POSTVENTAS:  POSTVENTA CORREGIDA</v>
      </c>
      <c r="W73" s="51" t="str">
        <f>+IF(GENERAL!V74=GENERAL!$AI$2,GENERAL!$AI$2,CONCATENATE(OBSERVACIONES!W73,"
ESTADO DE POSTVENTAS:  ",GENERAL!V74))</f>
        <v>OK
ESTADO DE POSTVENTAS:  POSTVENTA CORREGIDA</v>
      </c>
      <c r="X73" s="51" t="str">
        <f>+IF(GENERAL!W74=GENERAL!$AI$2,GENERAL!$AI$2,CONCATENATE(OBSERVACIONES!X73,"
ESTADO DE POSTVENTAS:  ",GENERAL!W74))</f>
        <v>OK
ESTADO DE POSTVENTAS:  POSTVENTA CORREGIDA</v>
      </c>
      <c r="Y73" s="51" t="str">
        <f>+IF(GENERAL!Z74=GENERAL!$AI$2,GENERAL!$AI$2,CONCATENATE(OBSERVACIONES!Y73,"
ESTADO DE POSTVENTAS:  ",GENERAL!Z74))</f>
        <v>OK
ESTADO DE POSTVENTAS:  POSTVENTA CORREGIDA</v>
      </c>
      <c r="Z73" s="51" t="str">
        <f>+IF(GENERAL!AA74=GENERAL!$AI$2,GENERAL!$AI$2,CONCATENATE(OBSERVACIONES!Z73,"
ESTADO DE POSTVENTAS:  ",GENERAL!AA74))</f>
        <v>OK
ESTADO DE POSTVENTAS:  POSTVENTA CORREGIDA</v>
      </c>
      <c r="AA73" s="51" t="str">
        <f>+IF(GENERAL!AB74=GENERAL!$AI$2,GENERAL!$AI$2,CONCATENATE(OBSERVACIONES!AA73,"
ESTADO DE POSTVENTAS:  ",GENERAL!AB74))</f>
        <v>OK
ESTADO DE POSTVENTAS:  POSTVENTA CORREGIDA</v>
      </c>
      <c r="AB73" s="51" t="str">
        <f>+IF(GENERAL!AC74=GENERAL!$AI$2,GENERAL!$AI$2,CONCATENATE(OBSERVACIONES!AB73,"
ESTADO DE POSTVENTAS:  ",GENERAL!AC74))</f>
        <v>OK
ESTADO DE POSTVENTAS:  POSTVENTA CORREGIDA</v>
      </c>
      <c r="AC73" s="51" t="str">
        <f>+IF(GENERAL!AD74=GENERAL!$AI$2,GENERAL!$AI$2,CONCATENATE(OBSERVACIONES!AC73,"
ESTADO DE POSTVENTAS:  ",GENERAL!AD74))</f>
        <v>OK
ESTADO DE POSTVENTAS:  POSTVENTA CORREGIDA</v>
      </c>
      <c r="AD73" s="51" t="str">
        <f>+IF(GENERAL!AE74=GENERAL!$AI$2,GENERAL!$AI$2,CONCATENATE(OBSERVACIONES!AD73,"
ESTADO DE POSTVENTAS:  ",GENERAL!AE74))</f>
        <v>OK
ESTADO DE POSTVENTAS:  POSTVENTA CORREGIDA</v>
      </c>
      <c r="AE73" s="51" t="str">
        <f>+IF(GENERAL!AF74=GENERAL!$AI$2,GENERAL!$AI$2,CONCATENATE(OBSERVACIONES!AE73,"
ESTADO DE POSTVENTAS:  ",GENERAL!AF74))</f>
        <v>OK
ESTADO DE POSTVENTAS:  POSTVENTA CORREGIDA</v>
      </c>
      <c r="AF73" s="51" t="str">
        <f>+IF(GENERAL!AG74=GENERAL!$AI$2,GENERAL!$AI$2,CONCATENATE(OBSERVACIONES!AF73,"
ESTADO DE POSTVENTAS:  ",GENERAL!AG74))</f>
        <v>OK
ESTADO DE POSTVENTAS:  POSTVENTA CORREGIDA</v>
      </c>
      <c r="AG73" s="51" t="str">
        <f>+IF(GENERAL!AH74=GENERAL!$AI$2,GENERAL!$AI$2,CONCATENATE(OBSERVACIONES!AG73,"
ESTADO DE POSTVENTAS:  ",GENERAL!AH74))</f>
        <v>OK
ESTADO DE POSTVENTAS:  POSTVENTA CORREGIDA</v>
      </c>
      <c r="AH73" s="51" t="str">
        <f>+IF(GENERAL!AI74=GENERAL!$AI$2,GENERAL!$AI$2,CONCATENATE(OBSERVACIONES!AH73,"
ESTADO DE POSTVENTAS:  ",GENERAL!AI74))</f>
        <v>OK
ESTADO DE POSTVENTAS:  POSTVENTA CORREGIDA</v>
      </c>
      <c r="AI73" s="51" t="str">
        <f>+IF(GENERAL!AG74=GENERAL!$AI$2,GENERAL!$AI$2,CONCATENATE(OBSERVACIONES!AF73,"
ESTADO DE POSTVENTAS:  ",GENERAL!AG74))</f>
        <v>OK
ESTADO DE POSTVENTAS:  POSTVENTA CORREGIDA</v>
      </c>
      <c r="AJ73" s="51" t="str">
        <f>+IF(GENERAL!AI74=GENERAL!$AI$2,GENERAL!$AI$2,CONCATENATE(OBSERVACIONES!AH73,"
ESTADO DE POSTVENTAS:  ",GENERAL!AI74))</f>
        <v>OK
ESTADO DE POSTVENTAS:  POSTVENTA CORREGIDA</v>
      </c>
      <c r="AK73" s="51" t="str">
        <f>+IF(GENERAL!AJ74=GENERAL!$AI$2,GENERAL!$AI$2,CONCATENATE(OBSERVACIONES!AI73,"
ESTADO DE POSTVENTAS:  ",GENERAL!AJ74))</f>
        <v>OK
ESTADO DE POSTVENTAS:  POSTVENTA CORREGIDA</v>
      </c>
      <c r="AL73" s="51" t="str">
        <f>+IF(GENERAL!AK74=GENERAL!$AI$2,GENERAL!$AI$2,CONCATENATE(OBSERVACIONES!AJ73,"
ESTADO DE POSTVENTAS:  ",GENERAL!AK74))</f>
        <v>OK
ESTADO DE POSTVENTAS:  POSTVENTA CORREGIDA</v>
      </c>
      <c r="AM73" s="51" t="str">
        <f>+IF(GENERAL!AN74=GENERAL!$AI$2,GENERAL!$AI$2,CONCATENATE(OBSERVACIONES!AM73,"
ESTADO DE POSTVENTAS:  ",GENERAL!AN74))</f>
        <v>OK
ESTADO DE POSTVENTAS:  POSTVENTA CORREGIDA</v>
      </c>
      <c r="AN73" s="37">
        <v>0</v>
      </c>
      <c r="AO73" s="37">
        <v>11</v>
      </c>
      <c r="AP73" s="37">
        <v>3</v>
      </c>
      <c r="AQ73" s="37">
        <v>0</v>
      </c>
      <c r="AR73" s="43">
        <v>14</v>
      </c>
      <c r="AS73" s="40">
        <v>12</v>
      </c>
      <c r="AT73" s="37">
        <f>COUNTIFS($D$5:$AM$5,"&lt;&gt;"&amp;CODICIONALES!$A$1,$D$5:$AM$5,"&lt;&gt;"&amp;CODICIONALES!$A$2,$D$5:$AM$5,"&lt;&gt;"&amp;CODICIONALES!$B$2,$D$5:$AM$5,"&lt;&gt;"&amp;CODICIONALES!$C$2)</f>
        <v>6</v>
      </c>
      <c r="AU73" s="43">
        <f>COUNTIFS(D73:AM73,CODICIONALES!$A$2)</f>
        <v>34</v>
      </c>
      <c r="AV73" s="40">
        <f t="shared" si="1"/>
        <v>-4</v>
      </c>
    </row>
    <row r="74" spans="1:48" ht="51" customHeight="1" x14ac:dyDescent="0.25">
      <c r="A74" s="110"/>
      <c r="B74" s="2">
        <v>70</v>
      </c>
      <c r="C74" s="20" t="s">
        <v>93</v>
      </c>
      <c r="D74" s="51" t="str">
        <f>+IF(GENERAL!E75=GENERAL!$AI$2,GENERAL!$AI$2,CONCATENATE(OBSERVACIONES!D74,"
ESTADO DE POSTVENTAS:  ",GENERAL!E75))</f>
        <v>NO ENTREGADO
ESTADO DE POSTVENTAS:  TIENE POSTVENTA</v>
      </c>
      <c r="E74" s="51" t="str">
        <f>+IF(GENERAL!F75=GENERAL!$AI$2,GENERAL!$AI$2,CONCATENATE(OBSERVACIONES!E74,"
ESTADO DE POSTVENTAS:  ",GENERAL!F75))</f>
        <v>OK
ESTADO DE POSTVENTAS:  POSTVENTA CORREGIDA</v>
      </c>
      <c r="F74" s="51" t="str">
        <f>+IF(GENERAL!G75=GENERAL!$AI$2,GENERAL!$AI$2,CONCATENATE(OBSERVACIONES!F74,"
ESTADO DE POSTVENTAS:  ",GENERAL!G75))</f>
        <v>OK
ESTADO DE POSTVENTAS:  POSTVENTA CORREGIDA</v>
      </c>
      <c r="G74" s="51" t="str">
        <f>+IF(GENERAL!H75=GENERAL!$AI$2,GENERAL!$AI$2,CONCATENATE(OBSERVACIONES!G74,"
ESTADO DE POSTVENTAS:  ",GENERAL!H75))</f>
        <v>NO ENTREGADO
ESTADO DE POSTVENTAS:  TIENE POSTVENTA</v>
      </c>
      <c r="H74" s="51" t="str">
        <f>+IF(GENERAL!I75=GENERAL!$AI$2,GENERAL!$AI$2,CONCATENATE(OBSERVACIONES!H74,"
ESTADO DE POSTVENTAS:  ",GENERAL!I75))</f>
        <v>OK
ESTADO DE POSTVENTAS:  POSTVENTA CORREGIDA</v>
      </c>
      <c r="I74" s="51" t="str">
        <f>+IF(GENERAL!J75=GENERAL!$AI$2,GENERAL!$AI$2,CONCATENATE(OBSERVACIONES!I74,"
ESTADO DE POSTVENTAS:  ",GENERAL!J75))</f>
        <v>OK
ESTADO DE POSTVENTAS:  POSTVENTA CORREGIDA</v>
      </c>
      <c r="J74" s="51" t="str">
        <f>+IF(GENERAL!K75=GENERAL!$AI$2,GENERAL!$AI$2,CONCATENATE(OBSERVACIONES!J74,"
ESTADO DE POSTVENTAS:  ",GENERAL!K75))</f>
        <v>OK
ESTADO DE POSTVENTAS:  POSTVENTA CORREGIDA</v>
      </c>
      <c r="K74" s="51" t="str">
        <f>+IF(GENERAL!L75=GENERAL!$AI$2,GENERAL!$AI$2,CONCATENATE(OBSERVACIONES!K74,"
ESTADO DE POSTVENTAS:  ",GENERAL!L75))</f>
        <v>OK
ESTADO DE POSTVENTAS:  POSTVENTA CORREGIDA</v>
      </c>
      <c r="L74" s="51" t="str">
        <f>+IF(GENERAL!M75=GENERAL!$AI$2,GENERAL!$AI$2,CONCATENATE(OBSERVACIONES!L74,"
ESTADO DE POSTVENTAS:  ",GENERAL!M75))</f>
        <v>OK
ESTADO DE POSTVENTAS:  POSTVENTA CORREGIDA</v>
      </c>
      <c r="M74" s="70" t="str">
        <f>+IF(GENERAL!N75=GENERAL!$AI$2,GENERAL!$AI$2,CONCATENATE(OBSERVACIONES!M74,"
ESTADO DE POSTVENTAS:  ",GENERAL!N75))</f>
        <v>OK
ESTADO DE POSTVENTAS:  POSTVENTA CORREGIDA</v>
      </c>
      <c r="N74" s="51" t="str">
        <f>+IF(GENERAL!O75=GENERAL!$AI$2,GENERAL!$AI$2,CONCATENATE(OBSERVACIONES!N74,"
ESTADO DE POSTVENTAS:  ",GENERAL!O75))</f>
        <v>OK
ESTADO DE POSTVENTAS:  POSTVENTA CORREGIDA</v>
      </c>
      <c r="O74" s="51" t="str">
        <f>+IF(GENERAL!P75=GENERAL!$AI$2,GENERAL!$AI$2,CONCATENATE(OBSERVACIONES!O74,"
ESTADO DE POSTVENTAS:  ",GENERAL!P75))</f>
        <v>OK
ESTADO DE POSTVENTAS:  POSTVENTA CORREGIDA</v>
      </c>
      <c r="P74" s="70" t="str">
        <f>+IF(GENERAL!Q75=GENERAL!$AI$2,GENERAL!$AI$2,CONCATENATE(OBSERVACIONES!P74,"
ESTADO DE POSTVENTAS:  ",GENERAL!Q75))</f>
        <v>OK
ESTADO DE POSTVENTAS:  POSTVENTA CORREGIDA</v>
      </c>
      <c r="Q74" s="70" t="str">
        <f>+IF(GENERAL!R75=GENERAL!$AI$2,GENERAL!$AI$2,CONCATENATE(OBSERVACIONES!Q74,"
ESTADO DE POSTVENTAS:  ",GENERAL!R75))</f>
        <v>OK
ESTADO DE POSTVENTAS:  POSTVENTA CORREGIDA</v>
      </c>
      <c r="R74" s="51" t="str">
        <f>+IF(GENERAL!S75=GENERAL!$AI$2,GENERAL!$AI$2,CONCATENATE(OBSERVACIONES!R74,"
ESTADO DE POSTVENTAS:  ",GENERAL!S75))</f>
        <v>OK
ESTADO DE POSTVENTAS:  POSTVENTA CORREGIDA</v>
      </c>
      <c r="S74" s="51" t="str">
        <f>+IF(GENERAL!T75=GENERAL!$AI$2,GENERAL!$AI$2,CONCATENATE(OBSERVACIONES!S74,"
ESTADO DE POSTVENTAS:  ",GENERAL!T75))</f>
        <v>OK
ESTADO DE POSTVENTAS:  POSTVENTA CORREGIDA</v>
      </c>
      <c r="T74" s="51" t="str">
        <f>+IF(GENERAL!U75=GENERAL!$AI$2,GENERAL!$AI$2,CONCATENATE(OBSERVACIONES!T74,"
ESTADO DE POSTVENTAS:  ",GENERAL!U75))</f>
        <v>OK
ESTADO DE POSTVENTAS:  POSTVENTA CORREGIDA</v>
      </c>
      <c r="U74" s="51" t="str">
        <f>+IF(GENERAL!V75=GENERAL!$AI$2,GENERAL!$AI$2,CONCATENATE(OBSERVACIONES!U74,"
ESTADO DE POSTVENTAS:  ",GENERAL!V75))</f>
        <v>OK
ESTADO DE POSTVENTAS:  POSTVENTA CORREGIDA</v>
      </c>
      <c r="V74" s="51" t="str">
        <f>+IF(GENERAL!W75=GENERAL!$AI$2,GENERAL!$AI$2,CONCATENATE(OBSERVACIONES!V74,"
ESTADO DE POSTVENTAS:  ",GENERAL!W75))</f>
        <v>OK
ESTADO DE POSTVENTAS:  POSTVENTA CORREGIDA</v>
      </c>
      <c r="W74" s="51" t="str">
        <f>+IF(GENERAL!V75=GENERAL!$AI$2,GENERAL!$AI$2,CONCATENATE(OBSERVACIONES!W74,"
ESTADO DE POSTVENTAS:  ",GENERAL!V75))</f>
        <v>OK
ESTADO DE POSTVENTAS:  POSTVENTA CORREGIDA</v>
      </c>
      <c r="X74" s="51" t="str">
        <f>+IF(GENERAL!W75=GENERAL!$AI$2,GENERAL!$AI$2,CONCATENATE(OBSERVACIONES!X74,"
ESTADO DE POSTVENTAS:  ",GENERAL!W75))</f>
        <v>OK
ESTADO DE POSTVENTAS:  POSTVENTA CORREGIDA</v>
      </c>
      <c r="Y74" s="51" t="str">
        <f>+IF(GENERAL!Z75=GENERAL!$AI$2,GENERAL!$AI$2,CONCATENATE(OBSERVACIONES!Y74,"
ESTADO DE POSTVENTAS:  ",GENERAL!Z75))</f>
        <v>OK
ESTADO DE POSTVENTAS:  POSTVENTA CORREGIDA</v>
      </c>
      <c r="Z74" s="51" t="str">
        <f>+IF(GENERAL!AA75=GENERAL!$AI$2,GENERAL!$AI$2,CONCATENATE(OBSERVACIONES!Z74,"
ESTADO DE POSTVENTAS:  ",GENERAL!AA75))</f>
        <v>OK
ESTADO DE POSTVENTAS:  POSTVENTA CORREGIDA</v>
      </c>
      <c r="AA74" s="51" t="str">
        <f>+IF(GENERAL!AB75=GENERAL!$AI$2,GENERAL!$AI$2,CONCATENATE(OBSERVACIONES!AA74,"
ESTADO DE POSTVENTAS:  ",GENERAL!AB75))</f>
        <v>OK
ESTADO DE POSTVENTAS:  POSTVENTA CORREGIDA</v>
      </c>
      <c r="AB74" s="51" t="str">
        <f>+IF(GENERAL!AC75=GENERAL!$AI$2,GENERAL!$AI$2,CONCATENATE(OBSERVACIONES!AB74,"
ESTADO DE POSTVENTAS:  ",GENERAL!AC75))</f>
        <v>OK
ESTADO DE POSTVENTAS:  POSTVENTA CORREGIDA</v>
      </c>
      <c r="AC74" s="51" t="str">
        <f>+IF(GENERAL!AD75=GENERAL!$AI$2,GENERAL!$AI$2,CONCATENATE(OBSERVACIONES!AC74,"
ESTADO DE POSTVENTAS:  ",GENERAL!AD75))</f>
        <v>OK
ESTADO DE POSTVENTAS:  POSTVENTA CORREGIDA</v>
      </c>
      <c r="AD74" s="51" t="str">
        <f>+IF(GENERAL!AE75=GENERAL!$AI$2,GENERAL!$AI$2,CONCATENATE(OBSERVACIONES!AD74,"
ESTADO DE POSTVENTAS:  ",GENERAL!AE75))</f>
        <v>OK
ESTADO DE POSTVENTAS:  POSTVENTA CORREGIDA</v>
      </c>
      <c r="AE74" s="51" t="str">
        <f>+IF(GENERAL!AF75=GENERAL!$AI$2,GENERAL!$AI$2,CONCATENATE(OBSERVACIONES!AE74,"
ESTADO DE POSTVENTAS:  ",GENERAL!AF75))</f>
        <v>OK
ESTADO DE POSTVENTAS:  POSTVENTA CORREGIDA</v>
      </c>
      <c r="AF74" s="51" t="str">
        <f>+IF(GENERAL!AG75=GENERAL!$AI$2,GENERAL!$AI$2,CONCATENATE(OBSERVACIONES!AF74,"
ESTADO DE POSTVENTAS:  ",GENERAL!AG75))</f>
        <v>OK
ESTADO DE POSTVENTAS:  POSTVENTA CORREGIDA</v>
      </c>
      <c r="AG74" s="51" t="str">
        <f>+IF(GENERAL!AH75=GENERAL!$AI$2,GENERAL!$AI$2,CONCATENATE(OBSERVACIONES!AG74,"
ESTADO DE POSTVENTAS:  ",GENERAL!AH75))</f>
        <v>OK
ESTADO DE POSTVENTAS:  POSTVENTA CORREGIDA</v>
      </c>
      <c r="AH74" s="51" t="str">
        <f>+IF(GENERAL!AI75=GENERAL!$AI$2,GENERAL!$AI$2,CONCATENATE(OBSERVACIONES!AH74,"
ESTADO DE POSTVENTAS:  ",GENERAL!AI75))</f>
        <v>OK
ESTADO DE POSTVENTAS:  POSTVENTA CORREGIDA</v>
      </c>
      <c r="AI74" s="51" t="str">
        <f>+IF(GENERAL!AG75=GENERAL!$AI$2,GENERAL!$AI$2,CONCATENATE(OBSERVACIONES!AF74,"
ESTADO DE POSTVENTAS:  ",GENERAL!AG75))</f>
        <v>OK
ESTADO DE POSTVENTAS:  POSTVENTA CORREGIDA</v>
      </c>
      <c r="AJ74" s="51" t="str">
        <f>+IF(GENERAL!AI75=GENERAL!$AI$2,GENERAL!$AI$2,CONCATENATE(OBSERVACIONES!AH74,"
ESTADO DE POSTVENTAS:  ",GENERAL!AI75))</f>
        <v>OK
ESTADO DE POSTVENTAS:  POSTVENTA CORREGIDA</v>
      </c>
      <c r="AK74" s="51" t="str">
        <f>+IF(GENERAL!AJ75=GENERAL!$AI$2,GENERAL!$AI$2,CONCATENATE(OBSERVACIONES!AI74,"
ESTADO DE POSTVENTAS:  ",GENERAL!AJ75))</f>
        <v>OK
ESTADO DE POSTVENTAS:  POSTVENTA CORREGIDA</v>
      </c>
      <c r="AL74" s="51" t="str">
        <f>+IF(GENERAL!AK75=GENERAL!$AI$2,GENERAL!$AI$2,CONCATENATE(OBSERVACIONES!AJ74,"
ESTADO DE POSTVENTAS:  ",GENERAL!AK75))</f>
        <v>OK
ESTADO DE POSTVENTAS:  POSTVENTA CORREGIDA</v>
      </c>
      <c r="AM74" s="51" t="str">
        <f>+IF(GENERAL!AN75=GENERAL!$AI$2,GENERAL!$AI$2,CONCATENATE(OBSERVACIONES!AM74,"
ESTADO DE POSTVENTAS:  ",GENERAL!AN75))</f>
        <v>OK
ESTADO DE POSTVENTAS:  POSTVENTA CORREGIDA</v>
      </c>
      <c r="AN74" s="37">
        <v>0</v>
      </c>
      <c r="AO74" s="37">
        <v>11</v>
      </c>
      <c r="AP74" s="37">
        <v>3</v>
      </c>
      <c r="AQ74" s="37">
        <v>0</v>
      </c>
      <c r="AR74" s="43">
        <v>14</v>
      </c>
      <c r="AS74" s="40">
        <v>12</v>
      </c>
      <c r="AT74" s="37">
        <f>COUNTIFS($D$5:$AM$5,"&lt;&gt;"&amp;CODICIONALES!$A$1,$D$5:$AM$5,"&lt;&gt;"&amp;CODICIONALES!$A$2,$D$5:$AM$5,"&lt;&gt;"&amp;CODICIONALES!$B$2,$D$5:$AM$5,"&lt;&gt;"&amp;CODICIONALES!$C$2)</f>
        <v>6</v>
      </c>
      <c r="AU74" s="43">
        <f>COUNTIFS(D74:AM74,CODICIONALES!$A$2)</f>
        <v>34</v>
      </c>
      <c r="AV74" s="40">
        <f t="shared" si="1"/>
        <v>-4</v>
      </c>
    </row>
    <row r="75" spans="1:48" ht="51" customHeight="1" x14ac:dyDescent="0.25">
      <c r="A75" s="111"/>
      <c r="B75" s="2">
        <v>71</v>
      </c>
      <c r="C75" s="22" t="s">
        <v>94</v>
      </c>
      <c r="D75" s="51" t="str">
        <f>+IF(GENERAL!E76=GENERAL!$AI$2,GENERAL!$AI$2,CONCATENATE(OBSERVACIONES!D75,"
ESTADO DE POSTVENTAS:  ",GENERAL!E76))</f>
        <v>NO ENTREGADO
ESTADO DE POSTVENTAS:  TIENE POSTVENTA</v>
      </c>
      <c r="E75" s="51" t="str">
        <f>+IF(GENERAL!F76=GENERAL!$AI$2,GENERAL!$AI$2,CONCATENATE(OBSERVACIONES!E75,"
ESTADO DE POSTVENTAS:  ",GENERAL!F76))</f>
        <v>OK
ESTADO DE POSTVENTAS:  POSTVENTA CORREGIDA</v>
      </c>
      <c r="F75" s="51" t="str">
        <f>+IF(GENERAL!G76=GENERAL!$AI$2,GENERAL!$AI$2,CONCATENATE(OBSERVACIONES!F75,"
ESTADO DE POSTVENTAS:  ",GENERAL!G76))</f>
        <v>OK
ESTADO DE POSTVENTAS:  POSTVENTA CORREGIDA</v>
      </c>
      <c r="G75" s="51" t="str">
        <f>+IF(GENERAL!H76=GENERAL!$AI$2,GENERAL!$AI$2,CONCATENATE(OBSERVACIONES!G75,"
ESTADO DE POSTVENTAS:  ",GENERAL!H76))</f>
        <v>NO ENTREGADO
ESTADO DE POSTVENTAS:  TIENE POSTVENTA</v>
      </c>
      <c r="H75" s="51" t="str">
        <f>+IF(GENERAL!I76=GENERAL!$AI$2,GENERAL!$AI$2,CONCATENATE(OBSERVACIONES!H75,"
ESTADO DE POSTVENTAS:  ",GENERAL!I76))</f>
        <v>OK
ESTADO DE POSTVENTAS:  POSTVENTA CORREGIDA</v>
      </c>
      <c r="I75" s="51" t="str">
        <f>+IF(GENERAL!J76=GENERAL!$AI$2,GENERAL!$AI$2,CONCATENATE(OBSERVACIONES!I75,"
ESTADO DE POSTVENTAS:  ",GENERAL!J76))</f>
        <v>OK
ESTADO DE POSTVENTAS:  POSTVENTA CORREGIDA</v>
      </c>
      <c r="J75" s="51" t="str">
        <f>+IF(GENERAL!K76=GENERAL!$AI$2,GENERAL!$AI$2,CONCATENATE(OBSERVACIONES!J75,"
ESTADO DE POSTVENTAS:  ",GENERAL!K76))</f>
        <v>OK
ESTADO DE POSTVENTAS:  POSTVENTA CORREGIDA</v>
      </c>
      <c r="K75" s="51" t="str">
        <f>+IF(GENERAL!L76=GENERAL!$AI$2,GENERAL!$AI$2,CONCATENATE(OBSERVACIONES!K75,"
ESTADO DE POSTVENTAS:  ",GENERAL!L76))</f>
        <v>OK
ESTADO DE POSTVENTAS:  POSTVENTA CORREGIDA</v>
      </c>
      <c r="L75" s="51" t="str">
        <f>+IF(GENERAL!M76=GENERAL!$AI$2,GENERAL!$AI$2,CONCATENATE(OBSERVACIONES!L75,"
ESTADO DE POSTVENTAS:  ",GENERAL!M76))</f>
        <v>OK
ESTADO DE POSTVENTAS:  POSTVENTA CORREGIDA</v>
      </c>
      <c r="M75" s="70" t="str">
        <f>+IF(GENERAL!N76=GENERAL!$AI$2,GENERAL!$AI$2,CONCATENATE(OBSERVACIONES!M75,"
ESTADO DE POSTVENTAS:  ",GENERAL!N76))</f>
        <v>OK
ESTADO DE POSTVENTAS:  POSTVENTA CORREGIDA</v>
      </c>
      <c r="N75" s="51" t="str">
        <f>+IF(GENERAL!O76=GENERAL!$AI$2,GENERAL!$AI$2,CONCATENATE(OBSERVACIONES!N75,"
ESTADO DE POSTVENTAS:  ",GENERAL!O76))</f>
        <v>OK
ESTADO DE POSTVENTAS:  POSTVENTA CORREGIDA</v>
      </c>
      <c r="O75" s="51" t="str">
        <f>+IF(GENERAL!P76=GENERAL!$AI$2,GENERAL!$AI$2,CONCATENATE(OBSERVACIONES!O75,"
ESTADO DE POSTVENTAS:  ",GENERAL!P76))</f>
        <v>OK
ESTADO DE POSTVENTAS:  POSTVENTA CORREGIDA</v>
      </c>
      <c r="P75" s="70" t="str">
        <f>+IF(GENERAL!Q76=GENERAL!$AI$2,GENERAL!$AI$2,CONCATENATE(OBSERVACIONES!P75,"
ESTADO DE POSTVENTAS:  ",GENERAL!Q76))</f>
        <v>OK
ESTADO DE POSTVENTAS:  POSTVENTA CORREGIDA</v>
      </c>
      <c r="Q75" s="70" t="str">
        <f>+IF(GENERAL!R76=GENERAL!$AI$2,GENERAL!$AI$2,CONCATENATE(OBSERVACIONES!Q75,"
ESTADO DE POSTVENTAS:  ",GENERAL!R76))</f>
        <v>OK
ESTADO DE POSTVENTAS:  POSTVENTA CORREGIDA</v>
      </c>
      <c r="R75" s="51" t="str">
        <f>+IF(GENERAL!S76=GENERAL!$AI$2,GENERAL!$AI$2,CONCATENATE(OBSERVACIONES!R75,"
ESTADO DE POSTVENTAS:  ",GENERAL!S76))</f>
        <v>OK
ESTADO DE POSTVENTAS:  POSTVENTA CORREGIDA</v>
      </c>
      <c r="S75" s="51" t="str">
        <f>+IF(GENERAL!T76=GENERAL!$AI$2,GENERAL!$AI$2,CONCATENATE(OBSERVACIONES!S75,"
ESTADO DE POSTVENTAS:  ",GENERAL!T76))</f>
        <v>OK
ESTADO DE POSTVENTAS:  POSTVENTA CORREGIDA</v>
      </c>
      <c r="T75" s="51" t="str">
        <f>+IF(GENERAL!U76=GENERAL!$AI$2,GENERAL!$AI$2,CONCATENATE(OBSERVACIONES!T75,"
ESTADO DE POSTVENTAS:  ",GENERAL!U76))</f>
        <v>OK
ESTADO DE POSTVENTAS:  POSTVENTA CORREGIDA</v>
      </c>
      <c r="U75" s="51" t="str">
        <f>+IF(GENERAL!V76=GENERAL!$AI$2,GENERAL!$AI$2,CONCATENATE(OBSERVACIONES!U75,"
ESTADO DE POSTVENTAS:  ",GENERAL!V76))</f>
        <v>OK
ESTADO DE POSTVENTAS:  POSTVENTA CORREGIDA</v>
      </c>
      <c r="V75" s="51" t="str">
        <f>+IF(GENERAL!W76=GENERAL!$AI$2,GENERAL!$AI$2,CONCATENATE(OBSERVACIONES!V75,"
ESTADO DE POSTVENTAS:  ",GENERAL!W76))</f>
        <v>OK
ESTADO DE POSTVENTAS:  POSTVENTA CORREGIDA</v>
      </c>
      <c r="W75" s="51" t="str">
        <f>+IF(GENERAL!V76=GENERAL!$AI$2,GENERAL!$AI$2,CONCATENATE(OBSERVACIONES!W75,"
ESTADO DE POSTVENTAS:  ",GENERAL!V76))</f>
        <v>OK
ESTADO DE POSTVENTAS:  POSTVENTA CORREGIDA</v>
      </c>
      <c r="X75" s="51" t="str">
        <f>+IF(GENERAL!W76=GENERAL!$AI$2,GENERAL!$AI$2,CONCATENATE(OBSERVACIONES!X75,"
ESTADO DE POSTVENTAS:  ",GENERAL!W76))</f>
        <v>OK
ESTADO DE POSTVENTAS:  POSTVENTA CORREGIDA</v>
      </c>
      <c r="Y75" s="51" t="str">
        <f>+IF(GENERAL!Z76=GENERAL!$AI$2,GENERAL!$AI$2,CONCATENATE(OBSERVACIONES!Y75,"
ESTADO DE POSTVENTAS:  ",GENERAL!Z76))</f>
        <v>OK
ESTADO DE POSTVENTAS:  POSTVENTA CORREGIDA</v>
      </c>
      <c r="Z75" s="51" t="str">
        <f>+IF(GENERAL!AA76=GENERAL!$AI$2,GENERAL!$AI$2,CONCATENATE(OBSERVACIONES!Z75,"
ESTADO DE POSTVENTAS:  ",GENERAL!AA76))</f>
        <v>OK
ESTADO DE POSTVENTAS:  POSTVENTA CORREGIDA</v>
      </c>
      <c r="AA75" s="51" t="str">
        <f>+IF(GENERAL!AB76=GENERAL!$AI$2,GENERAL!$AI$2,CONCATENATE(OBSERVACIONES!AA75,"
ESTADO DE POSTVENTAS:  ",GENERAL!AB76))</f>
        <v>OK
ESTADO DE POSTVENTAS:  POSTVENTA CORREGIDA</v>
      </c>
      <c r="AB75" s="51" t="str">
        <f>+IF(GENERAL!AC76=GENERAL!$AI$2,GENERAL!$AI$2,CONCATENATE(OBSERVACIONES!AB75,"
ESTADO DE POSTVENTAS:  ",GENERAL!AC76))</f>
        <v>OK
ESTADO DE POSTVENTAS:  POSTVENTA CORREGIDA</v>
      </c>
      <c r="AC75" s="51" t="str">
        <f>+IF(GENERAL!AD76=GENERAL!$AI$2,GENERAL!$AI$2,CONCATENATE(OBSERVACIONES!AC75,"
ESTADO DE POSTVENTAS:  ",GENERAL!AD76))</f>
        <v>OK
ESTADO DE POSTVENTAS:  POSTVENTA CORREGIDA</v>
      </c>
      <c r="AD75" s="51" t="str">
        <f>+IF(GENERAL!AE76=GENERAL!$AI$2,GENERAL!$AI$2,CONCATENATE(OBSERVACIONES!AD75,"
ESTADO DE POSTVENTAS:  ",GENERAL!AE76))</f>
        <v>OK
ESTADO DE POSTVENTAS:  POSTVENTA CORREGIDA</v>
      </c>
      <c r="AE75" s="51" t="str">
        <f>+IF(GENERAL!AF76=GENERAL!$AI$2,GENERAL!$AI$2,CONCATENATE(OBSERVACIONES!AE75,"
ESTADO DE POSTVENTAS:  ",GENERAL!AF76))</f>
        <v>OK
ESTADO DE POSTVENTAS:  POSTVENTA CORREGIDA</v>
      </c>
      <c r="AF75" s="51" t="str">
        <f>+IF(GENERAL!AG76=GENERAL!$AI$2,GENERAL!$AI$2,CONCATENATE(OBSERVACIONES!AF75,"
ESTADO DE POSTVENTAS:  ",GENERAL!AG76))</f>
        <v>OK
ESTADO DE POSTVENTAS:  POSTVENTA CORREGIDA</v>
      </c>
      <c r="AG75" s="51" t="str">
        <f>+IF(GENERAL!AH76=GENERAL!$AI$2,GENERAL!$AI$2,CONCATENATE(OBSERVACIONES!AG75,"
ESTADO DE POSTVENTAS:  ",GENERAL!AH76))</f>
        <v>OK
ESTADO DE POSTVENTAS:  POSTVENTA CORREGIDA</v>
      </c>
      <c r="AH75" s="51" t="str">
        <f>+IF(GENERAL!AI76=GENERAL!$AI$2,GENERAL!$AI$2,CONCATENATE(OBSERVACIONES!AH75,"
ESTADO DE POSTVENTAS:  ",GENERAL!AI76))</f>
        <v>OK
ESTADO DE POSTVENTAS:  POSTVENTA CORREGIDA</v>
      </c>
      <c r="AI75" s="51" t="str">
        <f>+IF(GENERAL!AG76=GENERAL!$AI$2,GENERAL!$AI$2,CONCATENATE(OBSERVACIONES!AF75,"
ESTADO DE POSTVENTAS:  ",GENERAL!AG76))</f>
        <v>OK
ESTADO DE POSTVENTAS:  POSTVENTA CORREGIDA</v>
      </c>
      <c r="AJ75" s="51" t="str">
        <f>+IF(GENERAL!AI76=GENERAL!$AI$2,GENERAL!$AI$2,CONCATENATE(OBSERVACIONES!AH75,"
ESTADO DE POSTVENTAS:  ",GENERAL!AI76))</f>
        <v>OK
ESTADO DE POSTVENTAS:  POSTVENTA CORREGIDA</v>
      </c>
      <c r="AK75" s="51" t="str">
        <f>+IF(GENERAL!AJ76=GENERAL!$AI$2,GENERAL!$AI$2,CONCATENATE(OBSERVACIONES!AI75,"
ESTADO DE POSTVENTAS:  ",GENERAL!AJ76))</f>
        <v>OK
ESTADO DE POSTVENTAS:  POSTVENTA CORREGIDA</v>
      </c>
      <c r="AL75" s="51" t="str">
        <f>+IF(GENERAL!AK76=GENERAL!$AI$2,GENERAL!$AI$2,CONCATENATE(OBSERVACIONES!AJ75,"
ESTADO DE POSTVENTAS:  ",GENERAL!AK76))</f>
        <v>OK
ESTADO DE POSTVENTAS:  POSTVENTA CORREGIDA</v>
      </c>
      <c r="AM75" s="51" t="str">
        <f>+IF(GENERAL!AN76=GENERAL!$AI$2,GENERAL!$AI$2,CONCATENATE(OBSERVACIONES!AM75,"
ESTADO DE POSTVENTAS:  ",GENERAL!AN76))</f>
        <v>OK
ESTADO DE POSTVENTAS:  POSTVENTA CORREGIDA</v>
      </c>
      <c r="AN75" s="37">
        <v>0</v>
      </c>
      <c r="AO75" s="37">
        <v>11</v>
      </c>
      <c r="AP75" s="37">
        <v>3</v>
      </c>
      <c r="AQ75" s="37">
        <v>0</v>
      </c>
      <c r="AR75" s="43">
        <v>14</v>
      </c>
      <c r="AS75" s="40">
        <v>12</v>
      </c>
      <c r="AT75" s="37">
        <f>COUNTIFS($D$5:$AM$5,"&lt;&gt;"&amp;CODICIONALES!$A$1,$D$5:$AM$5,"&lt;&gt;"&amp;CODICIONALES!$A$2,$D$5:$AM$5,"&lt;&gt;"&amp;CODICIONALES!$B$2,$D$5:$AM$5,"&lt;&gt;"&amp;CODICIONALES!$C$2)</f>
        <v>6</v>
      </c>
      <c r="AU75" s="43">
        <f>COUNTIFS(D75:AM75,CODICIONALES!$A$2)</f>
        <v>34</v>
      </c>
      <c r="AV75" s="40">
        <f t="shared" si="1"/>
        <v>-4</v>
      </c>
    </row>
    <row r="76" spans="1:48" ht="51" customHeight="1" x14ac:dyDescent="0.25">
      <c r="A76" s="110" t="s">
        <v>95</v>
      </c>
      <c r="B76" s="2">
        <v>72</v>
      </c>
      <c r="C76" s="27" t="s">
        <v>45</v>
      </c>
      <c r="D76" s="51" t="str">
        <f>+IF(GENERAL!E77=GENERAL!$AI$2,GENERAL!$AI$2,CONCATENATE(OBSERVACIONES!D76,"
ESTADO DE POSTVENTAS:  ",GENERAL!E77))</f>
        <v>NO ENTREGADO
ESTADO DE POSTVENTAS:  TIENE POSTVENTA</v>
      </c>
      <c r="E76" s="51" t="str">
        <f>+IF(GENERAL!F77=GENERAL!$AI$2,GENERAL!$AI$2,CONCATENATE(OBSERVACIONES!E76,"
ESTADO DE POSTVENTAS:  ",GENERAL!F77))</f>
        <v>OK
ESTADO DE POSTVENTAS:  POSTVENTA CORREGIDA</v>
      </c>
      <c r="F76" s="51" t="str">
        <f>+IF(GENERAL!G77=GENERAL!$AI$2,GENERAL!$AI$2,CONCATENATE(OBSERVACIONES!F76,"
ESTADO DE POSTVENTAS:  ",GENERAL!G77))</f>
        <v>OK
ESTADO DE POSTVENTAS:  POSTVENTA CORREGIDA</v>
      </c>
      <c r="G76" s="51" t="str">
        <f>+IF(GENERAL!H77=GENERAL!$AI$2,GENERAL!$AI$2,CONCATENATE(OBSERVACIONES!G76,"
ESTADO DE POSTVENTAS:  ",GENERAL!H77))</f>
        <v>NO ENTREGADO
ESTADO DE POSTVENTAS:  TIENE POSTVENTA</v>
      </c>
      <c r="H76" s="51" t="str">
        <f>+IF(GENERAL!I77=GENERAL!$AI$2,GENERAL!$AI$2,CONCATENATE(OBSERVACIONES!H76,"
ESTADO DE POSTVENTAS:  ",GENERAL!I77))</f>
        <v>OK
ESTADO DE POSTVENTAS:  POSTVENTA CORREGIDA</v>
      </c>
      <c r="I76" s="51" t="str">
        <f>+IF(GENERAL!J77=GENERAL!$AI$2,GENERAL!$AI$2,CONCATENATE(OBSERVACIONES!I76,"
ESTADO DE POSTVENTAS:  ",GENERAL!J77))</f>
        <v>OK
ESTADO DE POSTVENTAS:  POSTVENTA CORREGIDA</v>
      </c>
      <c r="J76" s="51" t="str">
        <f>+IF(GENERAL!K77=GENERAL!$AI$2,GENERAL!$AI$2,CONCATENATE(OBSERVACIONES!J76,"
ESTADO DE POSTVENTAS:  ",GENERAL!K77))</f>
        <v>OK
ESTADO DE POSTVENTAS:  POSTVENTA CORREGIDA</v>
      </c>
      <c r="K76" s="51" t="str">
        <f>+IF(GENERAL!L77=GENERAL!$AI$2,GENERAL!$AI$2,CONCATENATE(OBSERVACIONES!K76,"
ESTADO DE POSTVENTAS:  ",GENERAL!L77))</f>
        <v>OK
ESTADO DE POSTVENTAS:  POSTVENTA CORREGIDA</v>
      </c>
      <c r="L76" s="51" t="str">
        <f>+IF(GENERAL!M77=GENERAL!$AI$2,GENERAL!$AI$2,CONCATENATE(OBSERVACIONES!L76,"
ESTADO DE POSTVENTAS:  ",GENERAL!M77))</f>
        <v>OK
ESTADO DE POSTVENTAS:  POSTVENTA CORREGIDA</v>
      </c>
      <c r="M76" s="70" t="str">
        <f>+IF(GENERAL!N77=GENERAL!$AI$2,GENERAL!$AI$2,CONCATENATE(OBSERVACIONES!M76,"
ESTADO DE POSTVENTAS:  ",GENERAL!N77))</f>
        <v>OK
ESTADO DE POSTVENTAS:  POSTVENTA CORREGIDA</v>
      </c>
      <c r="N76" s="51" t="str">
        <f>+IF(GENERAL!O77=GENERAL!$AI$2,GENERAL!$AI$2,CONCATENATE(OBSERVACIONES!N76,"
ESTADO DE POSTVENTAS:  ",GENERAL!O77))</f>
        <v>OK
ESTADO DE POSTVENTAS:  POSTVENTA CORREGIDA</v>
      </c>
      <c r="O76" s="51" t="str">
        <f>+IF(GENERAL!P77=GENERAL!$AI$2,GENERAL!$AI$2,CONCATENATE(OBSERVACIONES!O76,"
ESTADO DE POSTVENTAS:  ",GENERAL!P77))</f>
        <v>OK
ESTADO DE POSTVENTAS:  POSTVENTA CORREGIDA</v>
      </c>
      <c r="P76" s="70" t="str">
        <f>+IF(GENERAL!Q77=GENERAL!$AI$2,GENERAL!$AI$2,CONCATENATE(OBSERVACIONES!P76,"
ESTADO DE POSTVENTAS:  ",GENERAL!Q77))</f>
        <v>OK
ESTADO DE POSTVENTAS:  POSTVENTA CORREGIDA</v>
      </c>
      <c r="Q76" s="70" t="str">
        <f>+IF(GENERAL!R77=GENERAL!$AI$2,GENERAL!$AI$2,CONCATENATE(OBSERVACIONES!Q76,"
ESTADO DE POSTVENTAS:  ",GENERAL!R77))</f>
        <v>OK
ESTADO DE POSTVENTAS:  POSTVENTA CORREGIDA</v>
      </c>
      <c r="R76" s="51" t="str">
        <f>+IF(GENERAL!S77=GENERAL!$AI$2,GENERAL!$AI$2,CONCATENATE(OBSERVACIONES!R76,"
ESTADO DE POSTVENTAS:  ",GENERAL!S77))</f>
        <v>OK
ESTADO DE POSTVENTAS:  POSTVENTA CORREGIDA</v>
      </c>
      <c r="S76" s="51" t="str">
        <f>+IF(GENERAL!T77=GENERAL!$AI$2,GENERAL!$AI$2,CONCATENATE(OBSERVACIONES!S76,"
ESTADO DE POSTVENTAS:  ",GENERAL!T77))</f>
        <v>OK
ESTADO DE POSTVENTAS:  POSTVENTA CORREGIDA</v>
      </c>
      <c r="T76" s="51" t="str">
        <f>+IF(GENERAL!U77=GENERAL!$AI$2,GENERAL!$AI$2,CONCATENATE(OBSERVACIONES!T76,"
ESTADO DE POSTVENTAS:  ",GENERAL!U77))</f>
        <v>OK
ESTADO DE POSTVENTAS:  POSTVENTA CORREGIDA</v>
      </c>
      <c r="U76" s="51" t="str">
        <f>+IF(GENERAL!V77=GENERAL!$AI$2,GENERAL!$AI$2,CONCATENATE(OBSERVACIONES!U76,"
ESTADO DE POSTVENTAS:  ",GENERAL!V77))</f>
        <v>OK
ESTADO DE POSTVENTAS:  POSTVENTA CORREGIDA</v>
      </c>
      <c r="V76" s="51" t="str">
        <f>+IF(GENERAL!W77=GENERAL!$AI$2,GENERAL!$AI$2,CONCATENATE(OBSERVACIONES!V76,"
ESTADO DE POSTVENTAS:  ",GENERAL!W77))</f>
        <v>OK
ESTADO DE POSTVENTAS:  POSTVENTA CORREGIDA</v>
      </c>
      <c r="W76" s="51" t="str">
        <f>+IF(GENERAL!V77=GENERAL!$AI$2,GENERAL!$AI$2,CONCATENATE(OBSERVACIONES!W76,"
ESTADO DE POSTVENTAS:  ",GENERAL!V77))</f>
        <v>OK
ESTADO DE POSTVENTAS:  POSTVENTA CORREGIDA</v>
      </c>
      <c r="X76" s="51" t="str">
        <f>+IF(GENERAL!W77=GENERAL!$AI$2,GENERAL!$AI$2,CONCATENATE(OBSERVACIONES!X76,"
ESTADO DE POSTVENTAS:  ",GENERAL!W77))</f>
        <v>OK
ESTADO DE POSTVENTAS:  POSTVENTA CORREGIDA</v>
      </c>
      <c r="Y76" s="51" t="str">
        <f>+IF(GENERAL!Z77=GENERAL!$AI$2,GENERAL!$AI$2,CONCATENATE(OBSERVACIONES!Y76,"
ESTADO DE POSTVENTAS:  ",GENERAL!Z77))</f>
        <v>OK
ESTADO DE POSTVENTAS:  POSTVENTA CORREGIDA</v>
      </c>
      <c r="Z76" s="51" t="str">
        <f>+IF(GENERAL!AA77=GENERAL!$AI$2,GENERAL!$AI$2,CONCATENATE(OBSERVACIONES!Z76,"
ESTADO DE POSTVENTAS:  ",GENERAL!AA77))</f>
        <v>OK
ESTADO DE POSTVENTAS:  POSTVENTA CORREGIDA</v>
      </c>
      <c r="AA76" s="51" t="str">
        <f>+IF(GENERAL!AB77=GENERAL!$AI$2,GENERAL!$AI$2,CONCATENATE(OBSERVACIONES!AA76,"
ESTADO DE POSTVENTAS:  ",GENERAL!AB77))</f>
        <v>OK
ESTADO DE POSTVENTAS:  POSTVENTA CORREGIDA</v>
      </c>
      <c r="AB76" s="51" t="str">
        <f>+IF(GENERAL!AC77=GENERAL!$AI$2,GENERAL!$AI$2,CONCATENATE(OBSERVACIONES!AB76,"
ESTADO DE POSTVENTAS:  ",GENERAL!AC77))</f>
        <v>OK
ESTADO DE POSTVENTAS:  POSTVENTA CORREGIDA</v>
      </c>
      <c r="AC76" s="51" t="str">
        <f>+IF(GENERAL!AD77=GENERAL!$AI$2,GENERAL!$AI$2,CONCATENATE(OBSERVACIONES!AC76,"
ESTADO DE POSTVENTAS:  ",GENERAL!AD77))</f>
        <v>OK
ESTADO DE POSTVENTAS:  POSTVENTA CORREGIDA</v>
      </c>
      <c r="AD76" s="51" t="str">
        <f>+IF(GENERAL!AE77=GENERAL!$AI$2,GENERAL!$AI$2,CONCATENATE(OBSERVACIONES!AD76,"
ESTADO DE POSTVENTAS:  ",GENERAL!AE77))</f>
        <v>OK
ESTADO DE POSTVENTAS:  POSTVENTA CORREGIDA</v>
      </c>
      <c r="AE76" s="51" t="str">
        <f>+IF(GENERAL!AF77=GENERAL!$AI$2,GENERAL!$AI$2,CONCATENATE(OBSERVACIONES!AE76,"
ESTADO DE POSTVENTAS:  ",GENERAL!AF77))</f>
        <v>OK
ESTADO DE POSTVENTAS:  POSTVENTA CORREGIDA</v>
      </c>
      <c r="AF76" s="51" t="str">
        <f>+IF(GENERAL!AG77=GENERAL!$AI$2,GENERAL!$AI$2,CONCATENATE(OBSERVACIONES!AF76,"
ESTADO DE POSTVENTAS:  ",GENERAL!AG77))</f>
        <v>OK
ESTADO DE POSTVENTAS:  POSTVENTA CORREGIDA</v>
      </c>
      <c r="AG76" s="51" t="str">
        <f>+IF(GENERAL!AH77=GENERAL!$AI$2,GENERAL!$AI$2,CONCATENATE(OBSERVACIONES!AG76,"
ESTADO DE POSTVENTAS:  ",GENERAL!AH77))</f>
        <v>OK
ESTADO DE POSTVENTAS:  POSTVENTA CORREGIDA</v>
      </c>
      <c r="AH76" s="51" t="str">
        <f>+IF(GENERAL!AI77=GENERAL!$AI$2,GENERAL!$AI$2,CONCATENATE(OBSERVACIONES!AH76,"
ESTADO DE POSTVENTAS:  ",GENERAL!AI77))</f>
        <v>OK
ESTADO DE POSTVENTAS:  POSTVENTA CORREGIDA</v>
      </c>
      <c r="AI76" s="51" t="str">
        <f>+IF(GENERAL!AG77=GENERAL!$AI$2,GENERAL!$AI$2,CONCATENATE(OBSERVACIONES!AF76,"
ESTADO DE POSTVENTAS:  ",GENERAL!AG77))</f>
        <v>OK
ESTADO DE POSTVENTAS:  POSTVENTA CORREGIDA</v>
      </c>
      <c r="AJ76" s="51" t="str">
        <f>+IF(GENERAL!AI77=GENERAL!$AI$2,GENERAL!$AI$2,CONCATENATE(OBSERVACIONES!AH76,"
ESTADO DE POSTVENTAS:  ",GENERAL!AI77))</f>
        <v>OK
ESTADO DE POSTVENTAS:  POSTVENTA CORREGIDA</v>
      </c>
      <c r="AK76" s="51" t="str">
        <f>+IF(GENERAL!AJ77=GENERAL!$AI$2,GENERAL!$AI$2,CONCATENATE(OBSERVACIONES!AI76,"
ESTADO DE POSTVENTAS:  ",GENERAL!AJ77))</f>
        <v>OK
ESTADO DE POSTVENTAS:  POSTVENTA CORREGIDA</v>
      </c>
      <c r="AL76" s="51" t="str">
        <f>+IF(GENERAL!AK77=GENERAL!$AI$2,GENERAL!$AI$2,CONCATENATE(OBSERVACIONES!AJ76,"
ESTADO DE POSTVENTAS:  ",GENERAL!AK77))</f>
        <v>OK
ESTADO DE POSTVENTAS:  POSTVENTA CORREGIDA</v>
      </c>
      <c r="AM76" s="51" t="str">
        <f>+IF(GENERAL!AN77=GENERAL!$AI$2,GENERAL!$AI$2,CONCATENATE(OBSERVACIONES!AM76,"
ESTADO DE POSTVENTAS:  ",GENERAL!AN77))</f>
        <v>OK
ESTADO DE POSTVENTAS:  POSTVENTA CORREGIDA</v>
      </c>
      <c r="AN76" s="37">
        <v>0</v>
      </c>
      <c r="AO76" s="37">
        <v>11</v>
      </c>
      <c r="AP76" s="37">
        <v>3</v>
      </c>
      <c r="AQ76" s="37">
        <v>0</v>
      </c>
      <c r="AR76" s="43">
        <v>14</v>
      </c>
      <c r="AS76" s="40">
        <v>12</v>
      </c>
      <c r="AT76" s="37">
        <f>COUNTIFS($D$5:$AM$5,"&lt;&gt;"&amp;CODICIONALES!$A$1,$D$5:$AM$5,"&lt;&gt;"&amp;CODICIONALES!$A$2,$D$5:$AM$5,"&lt;&gt;"&amp;CODICIONALES!$B$2,$D$5:$AM$5,"&lt;&gt;"&amp;CODICIONALES!$C$2)</f>
        <v>6</v>
      </c>
      <c r="AU76" s="43">
        <f>COUNTIFS(D76:AM76,CODICIONALES!$A$2)</f>
        <v>34</v>
      </c>
      <c r="AV76" s="40">
        <f t="shared" si="1"/>
        <v>-4</v>
      </c>
    </row>
    <row r="77" spans="1:48" ht="51" customHeight="1" x14ac:dyDescent="0.25">
      <c r="A77" s="110"/>
      <c r="B77" s="2">
        <v>73</v>
      </c>
      <c r="C77" s="21" t="s">
        <v>96</v>
      </c>
      <c r="D77" s="51" t="str">
        <f>+IF(GENERAL!E78=GENERAL!$AI$2,GENERAL!$AI$2,CONCATENATE(OBSERVACIONES!D77,"
ESTADO DE POSTVENTAS:  ",GENERAL!E78))</f>
        <v>NO ENTREGADO
ESTADO DE POSTVENTAS:  TIENE POSTVENTA</v>
      </c>
      <c r="E77" s="51" t="str">
        <f>+IF(GENERAL!F78=GENERAL!$AI$2,GENERAL!$AI$2,CONCATENATE(OBSERVACIONES!E77,"
ESTADO DE POSTVENTAS:  ",GENERAL!F78))</f>
        <v>OK
ESTADO DE POSTVENTAS:  POSTVENTA CORREGIDA</v>
      </c>
      <c r="F77" s="51" t="str">
        <f>+IF(GENERAL!G78=GENERAL!$AI$2,GENERAL!$AI$2,CONCATENATE(OBSERVACIONES!F77,"
ESTADO DE POSTVENTAS:  ",GENERAL!G78))</f>
        <v>OK
ESTADO DE POSTVENTAS:  POSTVENTA CORREGIDA</v>
      </c>
      <c r="G77" s="51" t="str">
        <f>+IF(GENERAL!H78=GENERAL!$AI$2,GENERAL!$AI$2,CONCATENATE(OBSERVACIONES!G77,"
ESTADO DE POSTVENTAS:  ",GENERAL!H78))</f>
        <v>NO ENTREGADO
ESTADO DE POSTVENTAS:  TIENE POSTVENTA</v>
      </c>
      <c r="H77" s="51" t="str">
        <f>+IF(GENERAL!I78=GENERAL!$AI$2,GENERAL!$AI$2,CONCATENATE(OBSERVACIONES!H77,"
ESTADO DE POSTVENTAS:  ",GENERAL!I78))</f>
        <v>OK
ESTADO DE POSTVENTAS:  POSTVENTA CORREGIDA</v>
      </c>
      <c r="I77" s="51" t="str">
        <f>+IF(GENERAL!J78=GENERAL!$AI$2,GENERAL!$AI$2,CONCATENATE(OBSERVACIONES!I77,"
ESTADO DE POSTVENTAS:  ",GENERAL!J78))</f>
        <v>OK
ESTADO DE POSTVENTAS:  POSTVENTA CORREGIDA</v>
      </c>
      <c r="J77" s="51" t="str">
        <f>+IF(GENERAL!K78=GENERAL!$AI$2,GENERAL!$AI$2,CONCATENATE(OBSERVACIONES!J77,"
ESTADO DE POSTVENTAS:  ",GENERAL!K78))</f>
        <v>OK
ESTADO DE POSTVENTAS:  POSTVENTA CORREGIDA</v>
      </c>
      <c r="K77" s="51" t="str">
        <f>+IF(GENERAL!L78=GENERAL!$AI$2,GENERAL!$AI$2,CONCATENATE(OBSERVACIONES!K77,"
ESTADO DE POSTVENTAS:  ",GENERAL!L78))</f>
        <v>OK
ESTADO DE POSTVENTAS:  POSTVENTA CORREGIDA</v>
      </c>
      <c r="L77" s="51" t="str">
        <f>+IF(GENERAL!M78=GENERAL!$AI$2,GENERAL!$AI$2,CONCATENATE(OBSERVACIONES!L77,"
ESTADO DE POSTVENTAS:  ",GENERAL!M78))</f>
        <v>OK
ESTADO DE POSTVENTAS:  POSTVENTA CORREGIDA</v>
      </c>
      <c r="M77" s="70" t="str">
        <f>+IF(GENERAL!N78=GENERAL!$AI$2,GENERAL!$AI$2,CONCATENATE(OBSERVACIONES!M77,"
ESTADO DE POSTVENTAS:  ",GENERAL!N78))</f>
        <v>OK
ESTADO DE POSTVENTAS:  POSTVENTA CORREGIDA</v>
      </c>
      <c r="N77" s="51" t="str">
        <f>+IF(GENERAL!O78=GENERAL!$AI$2,GENERAL!$AI$2,CONCATENATE(OBSERVACIONES!N77,"
ESTADO DE POSTVENTAS:  ",GENERAL!O78))</f>
        <v>OK
ESTADO DE POSTVENTAS:  POSTVENTA CORREGIDA</v>
      </c>
      <c r="O77" s="51" t="str">
        <f>+IF(GENERAL!P78=GENERAL!$AI$2,GENERAL!$AI$2,CONCATENATE(OBSERVACIONES!O77,"
ESTADO DE POSTVENTAS:  ",GENERAL!P78))</f>
        <v>OK
ESTADO DE POSTVENTAS:  POSTVENTA CORREGIDA</v>
      </c>
      <c r="P77" s="70" t="str">
        <f>+IF(GENERAL!Q78=GENERAL!$AI$2,GENERAL!$AI$2,CONCATENATE(OBSERVACIONES!P77,"
ESTADO DE POSTVENTAS:  ",GENERAL!Q78))</f>
        <v>OK
ESTADO DE POSTVENTAS:  POSTVENTA CORREGIDA</v>
      </c>
      <c r="Q77" s="70" t="str">
        <f>+IF(GENERAL!R78=GENERAL!$AI$2,GENERAL!$AI$2,CONCATENATE(OBSERVACIONES!Q77,"
ESTADO DE POSTVENTAS:  ",GENERAL!R78))</f>
        <v>OK
ESTADO DE POSTVENTAS:  POSTVENTA CORREGIDA</v>
      </c>
      <c r="R77" s="51" t="str">
        <f>+IF(GENERAL!S78=GENERAL!$AI$2,GENERAL!$AI$2,CONCATENATE(OBSERVACIONES!R77,"
ESTADO DE POSTVENTAS:  ",GENERAL!S78))</f>
        <v>OK
ESTADO DE POSTVENTAS:  POSTVENTA CORREGIDA</v>
      </c>
      <c r="S77" s="51" t="str">
        <f>+IF(GENERAL!T78=GENERAL!$AI$2,GENERAL!$AI$2,CONCATENATE(OBSERVACIONES!S77,"
ESTADO DE POSTVENTAS:  ",GENERAL!T78))</f>
        <v>OK
ESTADO DE POSTVENTAS:  POSTVENTA CORREGIDA</v>
      </c>
      <c r="T77" s="51" t="str">
        <f>+IF(GENERAL!U78=GENERAL!$AI$2,GENERAL!$AI$2,CONCATENATE(OBSERVACIONES!T77,"
ESTADO DE POSTVENTAS:  ",GENERAL!U78))</f>
        <v>OK
ESTADO DE POSTVENTAS:  POSTVENTA CORREGIDA</v>
      </c>
      <c r="U77" s="51" t="str">
        <f>+IF(GENERAL!V78=GENERAL!$AI$2,GENERAL!$AI$2,CONCATENATE(OBSERVACIONES!U77,"
ESTADO DE POSTVENTAS:  ",GENERAL!V78))</f>
        <v>OK
ESTADO DE POSTVENTAS:  POSTVENTA CORREGIDA</v>
      </c>
      <c r="V77" s="51" t="str">
        <f>+IF(GENERAL!W78=GENERAL!$AI$2,GENERAL!$AI$2,CONCATENATE(OBSERVACIONES!V77,"
ESTADO DE POSTVENTAS:  ",GENERAL!W78))</f>
        <v>OK
ESTADO DE POSTVENTAS:  POSTVENTA CORREGIDA</v>
      </c>
      <c r="W77" s="51" t="str">
        <f>+IF(GENERAL!V78=GENERAL!$AI$2,GENERAL!$AI$2,CONCATENATE(OBSERVACIONES!W77,"
ESTADO DE POSTVENTAS:  ",GENERAL!V78))</f>
        <v>OK
ESTADO DE POSTVENTAS:  POSTVENTA CORREGIDA</v>
      </c>
      <c r="X77" s="51" t="str">
        <f>+IF(GENERAL!W78=GENERAL!$AI$2,GENERAL!$AI$2,CONCATENATE(OBSERVACIONES!X77,"
ESTADO DE POSTVENTAS:  ",GENERAL!W78))</f>
        <v>OK
ESTADO DE POSTVENTAS:  POSTVENTA CORREGIDA</v>
      </c>
      <c r="Y77" s="51" t="str">
        <f>+IF(GENERAL!Z78=GENERAL!$AI$2,GENERAL!$AI$2,CONCATENATE(OBSERVACIONES!Y77,"
ESTADO DE POSTVENTAS:  ",GENERAL!Z78))</f>
        <v>OK
ESTADO DE POSTVENTAS:  POSTVENTA CORREGIDA</v>
      </c>
      <c r="Z77" s="51" t="str">
        <f>+IF(GENERAL!AA78=GENERAL!$AI$2,GENERAL!$AI$2,CONCATENATE(OBSERVACIONES!Z77,"
ESTADO DE POSTVENTAS:  ",GENERAL!AA78))</f>
        <v>OK
ESTADO DE POSTVENTAS:  POSTVENTA CORREGIDA</v>
      </c>
      <c r="AA77" s="51" t="str">
        <f>+IF(GENERAL!AB78=GENERAL!$AI$2,GENERAL!$AI$2,CONCATENATE(OBSERVACIONES!AA77,"
ESTADO DE POSTVENTAS:  ",GENERAL!AB78))</f>
        <v>OK
ESTADO DE POSTVENTAS:  POSTVENTA CORREGIDA</v>
      </c>
      <c r="AB77" s="51" t="str">
        <f>+IF(GENERAL!AC78=GENERAL!$AI$2,GENERAL!$AI$2,CONCATENATE(OBSERVACIONES!AB77,"
ESTADO DE POSTVENTAS:  ",GENERAL!AC78))</f>
        <v>OK
ESTADO DE POSTVENTAS:  POSTVENTA CORREGIDA</v>
      </c>
      <c r="AC77" s="51" t="str">
        <f>+IF(GENERAL!AD78=GENERAL!$AI$2,GENERAL!$AI$2,CONCATENATE(OBSERVACIONES!AC77,"
ESTADO DE POSTVENTAS:  ",GENERAL!AD78))</f>
        <v>OK
ESTADO DE POSTVENTAS:  POSTVENTA CORREGIDA</v>
      </c>
      <c r="AD77" s="51" t="str">
        <f>+IF(GENERAL!AE78=GENERAL!$AI$2,GENERAL!$AI$2,CONCATENATE(OBSERVACIONES!AD77,"
ESTADO DE POSTVENTAS:  ",GENERAL!AE78))</f>
        <v>OK
ESTADO DE POSTVENTAS:  POSTVENTA CORREGIDA</v>
      </c>
      <c r="AE77" s="51" t="str">
        <f>+IF(GENERAL!AF78=GENERAL!$AI$2,GENERAL!$AI$2,CONCATENATE(OBSERVACIONES!AE77,"
ESTADO DE POSTVENTAS:  ",GENERAL!AF78))</f>
        <v>OK
ESTADO DE POSTVENTAS:  POSTVENTA CORREGIDA</v>
      </c>
      <c r="AF77" s="51" t="str">
        <f>+IF(GENERAL!AG78=GENERAL!$AI$2,GENERAL!$AI$2,CONCATENATE(OBSERVACIONES!AF77,"
ESTADO DE POSTVENTAS:  ",GENERAL!AG78))</f>
        <v>OK
ESTADO DE POSTVENTAS:  POSTVENTA CORREGIDA</v>
      </c>
      <c r="AG77" s="51" t="str">
        <f>+IF(GENERAL!AH78=GENERAL!$AI$2,GENERAL!$AI$2,CONCATENATE(OBSERVACIONES!AG77,"
ESTADO DE POSTVENTAS:  ",GENERAL!AH78))</f>
        <v>OK
ESTADO DE POSTVENTAS:  POSTVENTA CORREGIDA</v>
      </c>
      <c r="AH77" s="51" t="str">
        <f>+IF(GENERAL!AI78=GENERAL!$AI$2,GENERAL!$AI$2,CONCATENATE(OBSERVACIONES!AH77,"
ESTADO DE POSTVENTAS:  ",GENERAL!AI78))</f>
        <v>OK
ESTADO DE POSTVENTAS:  POSTVENTA CORREGIDA</v>
      </c>
      <c r="AI77" s="51" t="str">
        <f>+IF(GENERAL!AG78=GENERAL!$AI$2,GENERAL!$AI$2,CONCATENATE(OBSERVACIONES!AF77,"
ESTADO DE POSTVENTAS:  ",GENERAL!AG78))</f>
        <v>OK
ESTADO DE POSTVENTAS:  POSTVENTA CORREGIDA</v>
      </c>
      <c r="AJ77" s="51" t="str">
        <f>+IF(GENERAL!AI78=GENERAL!$AI$2,GENERAL!$AI$2,CONCATENATE(OBSERVACIONES!AH77,"
ESTADO DE POSTVENTAS:  ",GENERAL!AI78))</f>
        <v>OK
ESTADO DE POSTVENTAS:  POSTVENTA CORREGIDA</v>
      </c>
      <c r="AK77" s="51" t="str">
        <f>+IF(GENERAL!AJ78=GENERAL!$AI$2,GENERAL!$AI$2,CONCATENATE(OBSERVACIONES!AI77,"
ESTADO DE POSTVENTAS:  ",GENERAL!AJ78))</f>
        <v>OK
ESTADO DE POSTVENTAS:  POSTVENTA CORREGIDA</v>
      </c>
      <c r="AL77" s="51" t="str">
        <f>+IF(GENERAL!AK78=GENERAL!$AI$2,GENERAL!$AI$2,CONCATENATE(OBSERVACIONES!AJ77,"
ESTADO DE POSTVENTAS:  ",GENERAL!AK78))</f>
        <v>OK
ESTADO DE POSTVENTAS:  POSTVENTA CORREGIDA</v>
      </c>
      <c r="AM77" s="51" t="str">
        <f>+IF(GENERAL!AN78=GENERAL!$AI$2,GENERAL!$AI$2,CONCATENATE(OBSERVACIONES!AM77,"
ESTADO DE POSTVENTAS:  ",GENERAL!AN78))</f>
        <v>OK
ESTADO DE POSTVENTAS:  POSTVENTA CORREGIDA</v>
      </c>
      <c r="AN77" s="37">
        <v>0</v>
      </c>
      <c r="AO77" s="37">
        <v>11</v>
      </c>
      <c r="AP77" s="37">
        <v>3</v>
      </c>
      <c r="AQ77" s="37">
        <v>0</v>
      </c>
      <c r="AR77" s="43">
        <v>14</v>
      </c>
      <c r="AS77" s="40">
        <v>12</v>
      </c>
      <c r="AT77" s="37">
        <f>COUNTIFS($D$5:$AM$5,"&lt;&gt;"&amp;CODICIONALES!$A$1,$D$5:$AM$5,"&lt;&gt;"&amp;CODICIONALES!$A$2,$D$5:$AM$5,"&lt;&gt;"&amp;CODICIONALES!$B$2,$D$5:$AM$5,"&lt;&gt;"&amp;CODICIONALES!$C$2)</f>
        <v>6</v>
      </c>
      <c r="AU77" s="43">
        <f>COUNTIFS(D77:AM77,CODICIONALES!$A$2)</f>
        <v>34</v>
      </c>
      <c r="AV77" s="40">
        <f t="shared" si="1"/>
        <v>-4</v>
      </c>
    </row>
    <row r="78" spans="1:48" ht="51" customHeight="1" x14ac:dyDescent="0.25">
      <c r="A78" s="110"/>
      <c r="B78" s="2">
        <v>74</v>
      </c>
      <c r="C78" s="20" t="s">
        <v>64</v>
      </c>
      <c r="D78" s="51" t="str">
        <f>+IF(GENERAL!E79=GENERAL!$AI$2,GENERAL!$AI$2,CONCATENATE(OBSERVACIONES!D78,"
ESTADO DE POSTVENTAS:  ",GENERAL!E79))</f>
        <v>NO ENTREGADO
ESTADO DE POSTVENTAS:  TIENE POSTVENTA</v>
      </c>
      <c r="E78" s="51" t="str">
        <f>+IF(GENERAL!F79=GENERAL!$AI$2,GENERAL!$AI$2,CONCATENATE(OBSERVACIONES!E78,"
ESTADO DE POSTVENTAS:  ",GENERAL!F79))</f>
        <v>OK
ESTADO DE POSTVENTAS:  POSTVENTA CORREGIDA</v>
      </c>
      <c r="F78" s="51" t="str">
        <f>+IF(GENERAL!G79=GENERAL!$AI$2,GENERAL!$AI$2,CONCATENATE(OBSERVACIONES!F78,"
ESTADO DE POSTVENTAS:  ",GENERAL!G79))</f>
        <v>PINTURAS
ESTADO DE POSTVENTAS:  TIENE POSTVENTA</v>
      </c>
      <c r="G78" s="51" t="str">
        <f>+IF(GENERAL!H79=GENERAL!$AI$2,GENERAL!$AI$2,CONCATENATE(OBSERVACIONES!G78,"
ESTADO DE POSTVENTAS:  ",GENERAL!H79))</f>
        <v>NO ENTREGADO
ESTADO DE POSTVENTAS:  TIENE POSTVENTA</v>
      </c>
      <c r="H78" s="51" t="str">
        <f>+IF(GENERAL!I79=GENERAL!$AI$2,GENERAL!$AI$2,CONCATENATE(OBSERVACIONES!H78,"
ESTADO DE POSTVENTAS:  ",GENERAL!I79))</f>
        <v>OK
ESTADO DE POSTVENTAS:  POSTVENTA CORREGIDA</v>
      </c>
      <c r="I78" s="51" t="str">
        <f>+IF(GENERAL!J79=GENERAL!$AI$2,GENERAL!$AI$2,CONCATENATE(OBSERVACIONES!I78,"
ESTADO DE POSTVENTAS:  ",GENERAL!J79))</f>
        <v>OK
ESTADO DE POSTVENTAS:  POSTVENTA CORREGIDA</v>
      </c>
      <c r="J78" s="51" t="str">
        <f>+IF(GENERAL!K79=GENERAL!$AI$2,GENERAL!$AI$2,CONCATENATE(OBSERVACIONES!J78,"
ESTADO DE POSTVENTAS:  ",GENERAL!K79))</f>
        <v>OK
ESTADO DE POSTVENTAS:  POSTVENTA CORREGIDA</v>
      </c>
      <c r="K78" s="51" t="str">
        <f>+IF(GENERAL!L79=GENERAL!$AI$2,GENERAL!$AI$2,CONCATENATE(OBSERVACIONES!K78,"
ESTADO DE POSTVENTAS:  ",GENERAL!L79))</f>
        <v>OK
ESTADO DE POSTVENTAS:  POSTVENTA CORREGIDA</v>
      </c>
      <c r="L78" s="51" t="str">
        <f>+IF(GENERAL!M79=GENERAL!$AI$2,GENERAL!$AI$2,CONCATENATE(OBSERVACIONES!L78,"
ESTADO DE POSTVENTAS:  ",GENERAL!M79))</f>
        <v>OK
ESTADO DE POSTVENTAS:  POSTVENTA CORREGIDA</v>
      </c>
      <c r="M78" s="70" t="str">
        <f>+IF(GENERAL!N79=GENERAL!$AI$2,GENERAL!$AI$2,CONCATENATE(OBSERVACIONES!M78,"
ESTADO DE POSTVENTAS:  ",GENERAL!N79))</f>
        <v>OK
ESTADO DE POSTVENTAS:  POSTVENTA CORREGIDA</v>
      </c>
      <c r="N78" s="51" t="str">
        <f>+IF(GENERAL!O79=GENERAL!$AI$2,GENERAL!$AI$2,CONCATENATE(OBSERVACIONES!N78,"
ESTADO DE POSTVENTAS:  ",GENERAL!O79))</f>
        <v>OK
ESTADO DE POSTVENTAS:  POSTVENTA CORREGIDA</v>
      </c>
      <c r="O78" s="51" t="str">
        <f>+IF(GENERAL!P79=GENERAL!$AI$2,GENERAL!$AI$2,CONCATENATE(OBSERVACIONES!O78,"
ESTADO DE POSTVENTAS:  ",GENERAL!P79))</f>
        <v>OK
ESTADO DE POSTVENTAS:  POSTVENTA CORREGIDA</v>
      </c>
      <c r="P78" s="70" t="str">
        <f>+IF(GENERAL!Q79=GENERAL!$AI$2,GENERAL!$AI$2,CONCATENATE(OBSERVACIONES!P78,"
ESTADO DE POSTVENTAS:  ",GENERAL!Q79))</f>
        <v>OK
ESTADO DE POSTVENTAS:  POSTVENTA CORREGIDA</v>
      </c>
      <c r="Q78" s="70" t="str">
        <f>+IF(GENERAL!R79=GENERAL!$AI$2,GENERAL!$AI$2,CONCATENATE(OBSERVACIONES!Q78,"
ESTADO DE POSTVENTAS:  ",GENERAL!R79))</f>
        <v>OK
ESTADO DE POSTVENTAS:  POSTVENTA CORREGIDA</v>
      </c>
      <c r="R78" s="51" t="str">
        <f>+IF(GENERAL!S79=GENERAL!$AI$2,GENERAL!$AI$2,CONCATENATE(OBSERVACIONES!R78,"
ESTADO DE POSTVENTAS:  ",GENERAL!S79))</f>
        <v>OK
ESTADO DE POSTVENTAS:  POSTVENTA CORREGIDA</v>
      </c>
      <c r="S78" s="51" t="str">
        <f>+IF(GENERAL!T79=GENERAL!$AI$2,GENERAL!$AI$2,CONCATENATE(OBSERVACIONES!S78,"
ESTADO DE POSTVENTAS:  ",GENERAL!T79))</f>
        <v>OK
ESTADO DE POSTVENTAS:  POSTVENTA CORREGIDA</v>
      </c>
      <c r="T78" s="51" t="str">
        <f>+IF(GENERAL!U79=GENERAL!$AI$2,GENERAL!$AI$2,CONCATENATE(OBSERVACIONES!T78,"
ESTADO DE POSTVENTAS:  ",GENERAL!U79))</f>
        <v>OK
ESTADO DE POSTVENTAS:  POSTVENTA CORREGIDA</v>
      </c>
      <c r="U78" s="70" t="str">
        <f>+IF(GENERAL!V79=GENERAL!$AI$2,GENERAL!$AI$2,CONCATENATE(OBSERVACIONES!U78,"
ESTADO DE POSTVENTAS:  ",GENERAL!V79))</f>
        <v>DETALLE PINTURA Y ESTUCO
ESTADO DE POSTVENTAS:  TIENE POSTVENTA</v>
      </c>
      <c r="V78" s="51" t="str">
        <f>+IF(GENERAL!W79=GENERAL!$AI$2,GENERAL!$AI$2,CONCATENATE(OBSERVACIONES!V78,"
ESTADO DE POSTVENTAS:  ",GENERAL!W79))</f>
        <v>OK
ESTADO DE POSTVENTAS:  POSTVENTA CORREGIDA</v>
      </c>
      <c r="W78" s="70" t="str">
        <f>+IF(GENERAL!V79=GENERAL!$AI$2,GENERAL!$AI$2,CONCATENATE(OBSERVACIONES!W78,"
ESTADO DE POSTVENTAS:  ",GENERAL!V79))</f>
        <v>OK
ESTADO DE POSTVENTAS:  TIENE POSTVENTA</v>
      </c>
      <c r="X78" s="51" t="str">
        <f>+IF(GENERAL!W79=GENERAL!$AI$2,GENERAL!$AI$2,CONCATENATE(OBSERVACIONES!X78,"
ESTADO DE POSTVENTAS:  ",GENERAL!W79))</f>
        <v>OK
ESTADO DE POSTVENTAS:  POSTVENTA CORREGIDA</v>
      </c>
      <c r="Y78" s="51" t="str">
        <f>+IF(GENERAL!Z79=GENERAL!$AI$2,GENERAL!$AI$2,CONCATENATE(OBSERVACIONES!Y78,"
ESTADO DE POSTVENTAS:  ",GENERAL!Z79))</f>
        <v>DETALLE PINTURA
ESTADO DE POSTVENTAS:  TIENE POSTVENTA</v>
      </c>
      <c r="Z78" s="51" t="str">
        <f>+IF(GENERAL!AA79=GENERAL!$AI$2,GENERAL!$AI$2,CONCATENATE(OBSERVACIONES!Z78,"
ESTADO DE POSTVENTAS:  ",GENERAL!AA79))</f>
        <v>OK
ESTADO DE POSTVENTAS:  POSTVENTA CORREGIDA</v>
      </c>
      <c r="AA78" s="51" t="str">
        <f>+IF(GENERAL!AB79=GENERAL!$AI$2,GENERAL!$AI$2,CONCATENATE(OBSERVACIONES!AA78,"
ESTADO DE POSTVENTAS:  ",GENERAL!AB79))</f>
        <v>OK
ESTADO DE POSTVENTAS:  POSTVENTA CORREGIDA</v>
      </c>
      <c r="AB78" s="51" t="str">
        <f>+IF(GENERAL!AC79=GENERAL!$AI$2,GENERAL!$AI$2,CONCATENATE(OBSERVACIONES!AB78,"
ESTADO DE POSTVENTAS:  ",GENERAL!AC79))</f>
        <v>OK
ESTADO DE POSTVENTAS:  POSTVENTA CORREGIDA</v>
      </c>
      <c r="AC78" s="51" t="str">
        <f>+IF(GENERAL!AD79=GENERAL!$AI$2,GENERAL!$AI$2,CONCATENATE(OBSERVACIONES!AC78,"
ESTADO DE POSTVENTAS:  ",GENERAL!AD79))</f>
        <v>OK
ESTADO DE POSTVENTAS:  POSTVENTA CORREGIDA</v>
      </c>
      <c r="AD78" s="51" t="str">
        <f>+IF(GENERAL!AE79=GENERAL!$AI$2,GENERAL!$AI$2,CONCATENATE(OBSERVACIONES!AD78,"
ESTADO DE POSTVENTAS:  ",GENERAL!AE79))</f>
        <v>OK
ESTADO DE POSTVENTAS:  POSTVENTA CORREGIDA</v>
      </c>
      <c r="AE78" s="70" t="str">
        <f>+IF(GENERAL!AF79=GENERAL!$AI$2,GENERAL!$AI$2,CONCATENATE(OBSERVACIONES!AE78,"
ESTADO DE POSTVENTAS:  ",GENERAL!AF79))</f>
        <v>DETALLE PINTURA
ESTADO DE POSTVENTAS:  TIENE POSTVENTA</v>
      </c>
      <c r="AF78" s="51" t="str">
        <f>+IF(GENERAL!AG79=GENERAL!$AI$2,GENERAL!$AI$2,CONCATENATE(OBSERVACIONES!AF78,"
ESTADO DE POSTVENTAS:  ",GENERAL!AG79))</f>
        <v>OK
ESTADO DE POSTVENTAS:  POSTVENTA CORREGIDA</v>
      </c>
      <c r="AG78" s="51" t="str">
        <f>+IF(GENERAL!AH79=GENERAL!$AI$2,GENERAL!$AI$2,CONCATENATE(OBSERVACIONES!AG78,"
ESTADO DE POSTVENTAS:  ",GENERAL!AH79))</f>
        <v>OK
ESTADO DE POSTVENTAS:  POSTVENTA CORREGIDA</v>
      </c>
      <c r="AH78" s="51" t="str">
        <f>+IF(GENERAL!AI79=GENERAL!$AI$2,GENERAL!$AI$2,CONCATENATE(OBSERVACIONES!AH78,"
ESTADO DE POSTVENTAS:  ",GENERAL!AI79))</f>
        <v>OK
ESTADO DE POSTVENTAS:  POSTVENTA CORREGIDA</v>
      </c>
      <c r="AI78" s="51" t="str">
        <f>+IF(GENERAL!AG79=GENERAL!$AI$2,GENERAL!$AI$2,CONCATENATE(OBSERVACIONES!AF78,"
ESTADO DE POSTVENTAS:  ",GENERAL!AG79))</f>
        <v>OK
ESTADO DE POSTVENTAS:  POSTVENTA CORREGIDA</v>
      </c>
      <c r="AJ78" s="51" t="str">
        <f>+IF(GENERAL!AI79=GENERAL!$AI$2,GENERAL!$AI$2,CONCATENATE(OBSERVACIONES!AH78,"
ESTADO DE POSTVENTAS:  ",GENERAL!AI79))</f>
        <v>OK
ESTADO DE POSTVENTAS:  POSTVENTA CORREGIDA</v>
      </c>
      <c r="AK78" s="51" t="str">
        <f>+IF(GENERAL!AJ79=GENERAL!$AI$2,GENERAL!$AI$2,CONCATENATE(OBSERVACIONES!AI78,"
ESTADO DE POSTVENTAS:  ",GENERAL!AJ79))</f>
        <v>OK
ESTADO DE POSTVENTAS:  POSTVENTA CORREGIDA</v>
      </c>
      <c r="AL78" s="51" t="str">
        <f>+IF(GENERAL!AK79=GENERAL!$AI$2,GENERAL!$AI$2,CONCATENATE(OBSERVACIONES!AJ78,"
ESTADO DE POSTVENTAS:  ",GENERAL!AK79))</f>
        <v>OK
ESTADO DE POSTVENTAS:  POSTVENTA CORREGIDA</v>
      </c>
      <c r="AM78" s="70" t="str">
        <f>+IF(GENERAL!AN79=GENERAL!$AI$2,GENERAL!$AI$2,CONCATENATE(OBSERVACIONES!AM78,"
ESTADO DE POSTVENTAS:  ",GENERAL!AN79))</f>
        <v>DETALLE PINTURA
ESTADO DE POSTVENTAS:  TIENE POSTVENTA</v>
      </c>
      <c r="AN78" s="37">
        <v>1</v>
      </c>
      <c r="AO78" s="37">
        <v>10</v>
      </c>
      <c r="AP78" s="37">
        <v>3</v>
      </c>
      <c r="AQ78" s="37">
        <v>0</v>
      </c>
      <c r="AR78" s="43">
        <v>14</v>
      </c>
      <c r="AS78" s="40">
        <v>12</v>
      </c>
      <c r="AT78" s="37">
        <f>COUNTIFS($D$5:$AM$5,"&lt;&gt;"&amp;CODICIONALES!$A$1,$D$5:$AM$5,"&lt;&gt;"&amp;CODICIONALES!$A$2,$D$5:$AM$5,"&lt;&gt;"&amp;CODICIONALES!$B$2,$D$5:$AM$5,"&lt;&gt;"&amp;CODICIONALES!$C$2)</f>
        <v>6</v>
      </c>
      <c r="AU78" s="43">
        <f>COUNTIFS(D78:AM78,CODICIONALES!$A$2)</f>
        <v>28</v>
      </c>
      <c r="AV78" s="40">
        <f t="shared" si="1"/>
        <v>2</v>
      </c>
    </row>
    <row r="79" spans="1:48" ht="51" customHeight="1" x14ac:dyDescent="0.25">
      <c r="A79" s="110"/>
      <c r="B79" s="2">
        <v>75</v>
      </c>
      <c r="C79" s="21" t="s">
        <v>62</v>
      </c>
      <c r="D79" s="51" t="str">
        <f>+IF(GENERAL!E80=GENERAL!$AI$2,GENERAL!$AI$2,CONCATENATE(OBSERVACIONES!D79,"
ESTADO DE POSTVENTAS:  ",GENERAL!E80))</f>
        <v>NO ENTREGADO
ESTADO DE POSTVENTAS:  TIENE POSTVENTA</v>
      </c>
      <c r="E79" s="51" t="str">
        <f>+IF(GENERAL!F80=GENERAL!$AI$2,GENERAL!$AI$2,CONCATENATE(OBSERVACIONES!E79,"
ESTADO DE POSTVENTAS:  ",GENERAL!F80))</f>
        <v>OK
ESTADO DE POSTVENTAS:  POSTVENTA CORREGIDA</v>
      </c>
      <c r="F79" s="51" t="str">
        <f>+IF(GENERAL!G80=GENERAL!$AI$2,GENERAL!$AI$2,CONCATENATE(OBSERVACIONES!F79,"
ESTADO DE POSTVENTAS:  ",GENERAL!G80))</f>
        <v>OK
ESTADO DE POSTVENTAS:  POSTVENTA CORREGIDA</v>
      </c>
      <c r="G79" s="51" t="str">
        <f>+IF(GENERAL!H80=GENERAL!$AI$2,GENERAL!$AI$2,CONCATENATE(OBSERVACIONES!G79,"
ESTADO DE POSTVENTAS:  ",GENERAL!H80))</f>
        <v>NO ENTREGADO
ESTADO DE POSTVENTAS:  TIENE POSTVENTA</v>
      </c>
      <c r="H79" s="51" t="str">
        <f>+IF(GENERAL!I80=GENERAL!$AI$2,GENERAL!$AI$2,CONCATENATE(OBSERVACIONES!H79,"
ESTADO DE POSTVENTAS:  ",GENERAL!I80))</f>
        <v>OK
ESTADO DE POSTVENTAS:  POSTVENTA CORREGIDA</v>
      </c>
      <c r="I79" s="51" t="str">
        <f>+IF(GENERAL!J80=GENERAL!$AI$2,GENERAL!$AI$2,CONCATENATE(OBSERVACIONES!I79,"
ESTADO DE POSTVENTAS:  ",GENERAL!J80))</f>
        <v>OK
ESTADO DE POSTVENTAS:  POSTVENTA CORREGIDA</v>
      </c>
      <c r="J79" s="51" t="str">
        <f>+IF(GENERAL!K80=GENERAL!$AI$2,GENERAL!$AI$2,CONCATENATE(OBSERVACIONES!J79,"
ESTADO DE POSTVENTAS:  ",GENERAL!K80))</f>
        <v>OK
ESTADO DE POSTVENTAS:  POSTVENTA CORREGIDA</v>
      </c>
      <c r="K79" s="51" t="str">
        <f>+IF(GENERAL!L80=GENERAL!$AI$2,GENERAL!$AI$2,CONCATENATE(OBSERVACIONES!K79,"
ESTADO DE POSTVENTAS:  ",GENERAL!L80))</f>
        <v>OK
ESTADO DE POSTVENTAS:  POSTVENTA CORREGIDA</v>
      </c>
      <c r="L79" s="51" t="str">
        <f>+IF(GENERAL!M80=GENERAL!$AI$2,GENERAL!$AI$2,CONCATENATE(OBSERVACIONES!L79,"
ESTADO DE POSTVENTAS:  ",GENERAL!M80))</f>
        <v>OK
ESTADO DE POSTVENTAS:  POSTVENTA CORREGIDA</v>
      </c>
      <c r="M79" s="70" t="str">
        <f>+IF(GENERAL!N80=GENERAL!$AI$2,GENERAL!$AI$2,CONCATENATE(OBSERVACIONES!M79,"
ESTADO DE POSTVENTAS:  ",GENERAL!N80))</f>
        <v>OK
ESTADO DE POSTVENTAS:  POSTVENTA CORREGIDA</v>
      </c>
      <c r="N79" s="51" t="str">
        <f>+IF(GENERAL!O80=GENERAL!$AI$2,GENERAL!$AI$2,CONCATENATE(OBSERVACIONES!N79,"
ESTADO DE POSTVENTAS:  ",GENERAL!O80))</f>
        <v>OK
ESTADO DE POSTVENTAS:  POSTVENTA CORREGIDA</v>
      </c>
      <c r="O79" s="51" t="str">
        <f>+IF(GENERAL!P80=GENERAL!$AI$2,GENERAL!$AI$2,CONCATENATE(OBSERVACIONES!O79,"
ESTADO DE POSTVENTAS:  ",GENERAL!P80))</f>
        <v>OK
ESTADO DE POSTVENTAS:  POSTVENTA CORREGIDA</v>
      </c>
      <c r="P79" s="70" t="str">
        <f>+IF(GENERAL!Q80=GENERAL!$AI$2,GENERAL!$AI$2,CONCATENATE(OBSERVACIONES!P79,"
ESTADO DE POSTVENTAS:  ",GENERAL!Q80))</f>
        <v>OK
ESTADO DE POSTVENTAS:  POSTVENTA CORREGIDA</v>
      </c>
      <c r="Q79" s="70" t="str">
        <f>+IF(GENERAL!R80=GENERAL!$AI$2,GENERAL!$AI$2,CONCATENATE(OBSERVACIONES!Q79,"
ESTADO DE POSTVENTAS:  ",GENERAL!R80))</f>
        <v>OK
ESTADO DE POSTVENTAS:  POSTVENTA CORREGIDA</v>
      </c>
      <c r="R79" s="51" t="str">
        <f>+IF(GENERAL!S80=GENERAL!$AI$2,GENERAL!$AI$2,CONCATENATE(OBSERVACIONES!R79,"
ESTADO DE POSTVENTAS:  ",GENERAL!S80))</f>
        <v>OK
ESTADO DE POSTVENTAS:  POSTVENTA CORREGIDA</v>
      </c>
      <c r="S79" s="51" t="str">
        <f>+IF(GENERAL!T80=GENERAL!$AI$2,GENERAL!$AI$2,CONCATENATE(OBSERVACIONES!S79,"
ESTADO DE POSTVENTAS:  ",GENERAL!T80))</f>
        <v>OK
ESTADO DE POSTVENTAS:  POSTVENTA CORREGIDA</v>
      </c>
      <c r="T79" s="51" t="str">
        <f>+IF(GENERAL!U80=GENERAL!$AI$2,GENERAL!$AI$2,CONCATENATE(OBSERVACIONES!T79,"
ESTADO DE POSTVENTAS:  ",GENERAL!U80))</f>
        <v>DETALLE HUMEDAD
ESTADO DE POSTVENTAS:  TIENE POSTVENTA</v>
      </c>
      <c r="U79" s="51" t="str">
        <f>+IF(GENERAL!V80=GENERAL!$AI$2,GENERAL!$AI$2,CONCATENATE(OBSERVACIONES!U79,"
ESTADO DE POSTVENTAS:  ",GENERAL!V80))</f>
        <v>OK
ESTADO DE POSTVENTAS:  POSTVENTA CORREGIDA</v>
      </c>
      <c r="V79" s="70" t="str">
        <f>+IF(GENERAL!W80=GENERAL!$AI$2,GENERAL!$AI$2,CONCATENATE(OBSERVACIONES!V79,"
ESTADO DE POSTVENTAS:  ",GENERAL!W80))</f>
        <v>DETALLE FILTRACION
ESTADO DE POSTVENTAS:  TIENE POSTVENTA</v>
      </c>
      <c r="W79" s="51" t="str">
        <f>+IF(GENERAL!V80=GENERAL!$AI$2,GENERAL!$AI$2,CONCATENATE(OBSERVACIONES!W79,"
ESTADO DE POSTVENTAS:  ",GENERAL!V80))</f>
        <v>OK
ESTADO DE POSTVENTAS:  POSTVENTA CORREGIDA</v>
      </c>
      <c r="X79" s="51" t="str">
        <f>+IF(GENERAL!W80=GENERAL!$AI$2,GENERAL!$AI$2,CONCATENATE(OBSERVACIONES!X79,"
ESTADO DE POSTVENTAS:  ",GENERAL!W80))</f>
        <v>OK
ESTADO DE POSTVENTAS:  TIENE POSTVENTA</v>
      </c>
      <c r="Y79" s="51" t="str">
        <f>+IF(GENERAL!Z80=GENERAL!$AI$2,GENERAL!$AI$2,CONCATENATE(OBSERVACIONES!Y79,"
ESTADO DE POSTVENTAS:  ",GENERAL!Z80))</f>
        <v>OK
ESTADO DE POSTVENTAS:  POSTVENTA CORREGIDA</v>
      </c>
      <c r="Z79" s="51" t="str">
        <f>+IF(GENERAL!AA80=GENERAL!$AI$2,GENERAL!$AI$2,CONCATENATE(OBSERVACIONES!Z79,"
ESTADO DE POSTVENTAS:  ",GENERAL!AA80))</f>
        <v>OK
ESTADO DE POSTVENTAS:  POSTVENTA CORREGIDA</v>
      </c>
      <c r="AA79" s="51" t="str">
        <f>+IF(GENERAL!AB80=GENERAL!$AI$2,GENERAL!$AI$2,CONCATENATE(OBSERVACIONES!AA79,"
ESTADO DE POSTVENTAS:  ",GENERAL!AB80))</f>
        <v>OK
ESTADO DE POSTVENTAS:  POSTVENTA CORREGIDA</v>
      </c>
      <c r="AB79" s="51" t="str">
        <f>+IF(GENERAL!AC80=GENERAL!$AI$2,GENERAL!$AI$2,CONCATENATE(OBSERVACIONES!AB79,"
ESTADO DE POSTVENTAS:  ",GENERAL!AC80))</f>
        <v>OK
ESTADO DE POSTVENTAS:  POSTVENTA CORREGIDA</v>
      </c>
      <c r="AC79" s="70" t="str">
        <f>+IF(GENERAL!AD80=GENERAL!$AI$2,GENERAL!$AI$2,CONCATENATE(OBSERVACIONES!AC79,"
ESTADO DE POSTVENTAS:  ",GENERAL!AD80))</f>
        <v>OK
ESTADO DE POSTVENTAS:  POSTVENTA CORREGIDA</v>
      </c>
      <c r="AD79" s="51" t="str">
        <f>+IF(GENERAL!AE80=GENERAL!$AI$2,GENERAL!$AI$2,CONCATENATE(OBSERVACIONES!AD79,"
ESTADO DE POSTVENTAS:  ",GENERAL!AE80))</f>
        <v>OK
ESTADO DE POSTVENTAS:  POSTVENTA CORREGIDA</v>
      </c>
      <c r="AE79" s="51" t="str">
        <f>+IF(GENERAL!AF80=GENERAL!$AI$2,GENERAL!$AI$2,CONCATENATE(OBSERVACIONES!AE79,"
ESTADO DE POSTVENTAS:  ",GENERAL!AF80))</f>
        <v>OK
ESTADO DE POSTVENTAS:  POSTVENTA CORREGIDA</v>
      </c>
      <c r="AF79" s="51" t="str">
        <f>+IF(GENERAL!AG80=GENERAL!$AI$2,GENERAL!$AI$2,CONCATENATE(OBSERVACIONES!AF79,"
ESTADO DE POSTVENTAS:  ",GENERAL!AG80))</f>
        <v>OK
ESTADO DE POSTVENTAS:  POSTVENTA CORREGIDA</v>
      </c>
      <c r="AG79" s="51" t="str">
        <f>+IF(GENERAL!AH80=GENERAL!$AI$2,GENERAL!$AI$2,CONCATENATE(OBSERVACIONES!AG79,"
ESTADO DE POSTVENTAS:  ",GENERAL!AH80))</f>
        <v>OK
ESTADO DE POSTVENTAS:  POSTVENTA CORREGIDA</v>
      </c>
      <c r="AH79" s="51" t="str">
        <f>+IF(GENERAL!AI80=GENERAL!$AI$2,GENERAL!$AI$2,CONCATENATE(OBSERVACIONES!AH79,"
ESTADO DE POSTVENTAS:  ",GENERAL!AI80))</f>
        <v>OK
ESTADO DE POSTVENTAS:  POSTVENTA CORREGIDA</v>
      </c>
      <c r="AI79" s="51" t="str">
        <f>+IF(GENERAL!AG80=GENERAL!$AI$2,GENERAL!$AI$2,CONCATENATE(OBSERVACIONES!AF79,"
ESTADO DE POSTVENTAS:  ",GENERAL!AG80))</f>
        <v>OK
ESTADO DE POSTVENTAS:  POSTVENTA CORREGIDA</v>
      </c>
      <c r="AJ79" s="51" t="str">
        <f>+IF(GENERAL!AI80=GENERAL!$AI$2,GENERAL!$AI$2,CONCATENATE(OBSERVACIONES!AH79,"
ESTADO DE POSTVENTAS:  ",GENERAL!AI80))</f>
        <v>OK
ESTADO DE POSTVENTAS:  POSTVENTA CORREGIDA</v>
      </c>
      <c r="AK79" s="51" t="str">
        <f>+IF(GENERAL!AJ80=GENERAL!$AI$2,GENERAL!$AI$2,CONCATENATE(OBSERVACIONES!AI79,"
ESTADO DE POSTVENTAS:  ",GENERAL!AJ80))</f>
        <v>OK
ESTADO DE POSTVENTAS:  POSTVENTA CORREGIDA</v>
      </c>
      <c r="AL79" s="51" t="str">
        <f>+IF(GENERAL!AK80=GENERAL!$AI$2,GENERAL!$AI$2,CONCATENATE(OBSERVACIONES!AJ79,"
ESTADO DE POSTVENTAS:  ",GENERAL!AK80))</f>
        <v>OK
ESTADO DE POSTVENTAS:  POSTVENTA CORREGIDA</v>
      </c>
      <c r="AM79" s="51" t="str">
        <f>+IF(GENERAL!AN80=GENERAL!$AI$2,GENERAL!$AI$2,CONCATENATE(OBSERVACIONES!AM79,"
ESTADO DE POSTVENTAS:  ",GENERAL!AN80))</f>
        <v>OK
ESTADO DE POSTVENTAS:  POSTVENTA CORREGIDA</v>
      </c>
      <c r="AN79" s="37">
        <v>1</v>
      </c>
      <c r="AO79" s="37">
        <v>10</v>
      </c>
      <c r="AP79" s="37">
        <v>3</v>
      </c>
      <c r="AQ79" s="37">
        <v>0</v>
      </c>
      <c r="AR79" s="43">
        <v>14</v>
      </c>
      <c r="AS79" s="40">
        <v>12</v>
      </c>
      <c r="AT79" s="37">
        <f>COUNTIFS($D$5:$AM$5,"&lt;&gt;"&amp;CODICIONALES!$A$1,$D$5:$AM$5,"&lt;&gt;"&amp;CODICIONALES!$A$2,$D$5:$AM$5,"&lt;&gt;"&amp;CODICIONALES!$B$2,$D$5:$AM$5,"&lt;&gt;"&amp;CODICIONALES!$C$2)</f>
        <v>6</v>
      </c>
      <c r="AU79" s="43">
        <f>COUNTIFS(D79:AM79,CODICIONALES!$A$2)</f>
        <v>31</v>
      </c>
      <c r="AV79" s="40">
        <f t="shared" si="1"/>
        <v>-1</v>
      </c>
    </row>
    <row r="80" spans="1:48" ht="51" customHeight="1" x14ac:dyDescent="0.25">
      <c r="A80" s="110"/>
      <c r="B80" s="2">
        <v>76</v>
      </c>
      <c r="C80" s="21" t="s">
        <v>97</v>
      </c>
      <c r="D80" s="51" t="str">
        <f>+IF(GENERAL!E81=GENERAL!$AI$2,GENERAL!$AI$2,CONCATENATE(OBSERVACIONES!D80,"
ESTADO DE POSTVENTAS:  ",GENERAL!E81))</f>
        <v>NO ENTREGADO
ESTADO DE POSTVENTAS:  TIENE POSTVENTA</v>
      </c>
      <c r="E80" s="51" t="str">
        <f>+IF(GENERAL!F81=GENERAL!$AI$2,GENERAL!$AI$2,CONCATENATE(OBSERVACIONES!E80,"
ESTADO DE POSTVENTAS:  ",GENERAL!F81))</f>
        <v>OK
ESTADO DE POSTVENTAS:  POSTVENTA CORREGIDA</v>
      </c>
      <c r="F80" s="51" t="str">
        <f>+IF(GENERAL!G81=GENERAL!$AI$2,GENERAL!$AI$2,CONCATENATE(OBSERVACIONES!F80,"
ESTADO DE POSTVENTAS:  ",GENERAL!G81))</f>
        <v>OK
ESTADO DE POSTVENTAS:  POSTVENTA CORREGIDA</v>
      </c>
      <c r="G80" s="51" t="str">
        <f>+IF(GENERAL!H81=GENERAL!$AI$2,GENERAL!$AI$2,CONCATENATE(OBSERVACIONES!G80,"
ESTADO DE POSTVENTAS:  ",GENERAL!H81))</f>
        <v>NO ENTREGADO
ESTADO DE POSTVENTAS:  TIENE POSTVENTA</v>
      </c>
      <c r="H80" s="51" t="str">
        <f>+IF(GENERAL!I81=GENERAL!$AI$2,GENERAL!$AI$2,CONCATENATE(OBSERVACIONES!H80,"
ESTADO DE POSTVENTAS:  ",GENERAL!I81))</f>
        <v>OK
ESTADO DE POSTVENTAS:  POSTVENTA CORREGIDA</v>
      </c>
      <c r="I80" s="51" t="str">
        <f>+IF(GENERAL!J81=GENERAL!$AI$2,GENERAL!$AI$2,CONCATENATE(OBSERVACIONES!I80,"
ESTADO DE POSTVENTAS:  ",GENERAL!J81))</f>
        <v>OK
ESTADO DE POSTVENTAS:  POSTVENTA CORREGIDA</v>
      </c>
      <c r="J80" s="51" t="str">
        <f>+IF(GENERAL!K81=GENERAL!$AI$2,GENERAL!$AI$2,CONCATENATE(OBSERVACIONES!J80,"
ESTADO DE POSTVENTAS:  ",GENERAL!K81))</f>
        <v>OK
ESTADO DE POSTVENTAS:  POSTVENTA CORREGIDA</v>
      </c>
      <c r="K80" s="51" t="str">
        <f>+IF(GENERAL!L81=GENERAL!$AI$2,GENERAL!$AI$2,CONCATENATE(OBSERVACIONES!K80,"
ESTADO DE POSTVENTAS:  ",GENERAL!L81))</f>
        <v>OK
ESTADO DE POSTVENTAS:  POSTVENTA CORREGIDA</v>
      </c>
      <c r="L80" s="51" t="str">
        <f>+IF(GENERAL!M81=GENERAL!$AI$2,GENERAL!$AI$2,CONCATENATE(OBSERVACIONES!L80,"
ESTADO DE POSTVENTAS:  ",GENERAL!M81))</f>
        <v>OK
ESTADO DE POSTVENTAS:  POSTVENTA CORREGIDA</v>
      </c>
      <c r="M80" s="70" t="str">
        <f>+IF(GENERAL!N81=GENERAL!$AI$2,GENERAL!$AI$2,CONCATENATE(OBSERVACIONES!M80,"
ESTADO DE POSTVENTAS:  ",GENERAL!N81))</f>
        <v>OK
ESTADO DE POSTVENTAS:  POSTVENTA CORREGIDA</v>
      </c>
      <c r="N80" s="51" t="str">
        <f>+IF(GENERAL!O81=GENERAL!$AI$2,GENERAL!$AI$2,CONCATENATE(OBSERVACIONES!N80,"
ESTADO DE POSTVENTAS:  ",GENERAL!O81))</f>
        <v>OK
ESTADO DE POSTVENTAS:  POSTVENTA CORREGIDA</v>
      </c>
      <c r="O80" s="51" t="str">
        <f>+IF(GENERAL!P81=GENERAL!$AI$2,GENERAL!$AI$2,CONCATENATE(OBSERVACIONES!O80,"
ESTADO DE POSTVENTAS:  ",GENERAL!P81))</f>
        <v>OK
ESTADO DE POSTVENTAS:  POSTVENTA CORREGIDA</v>
      </c>
      <c r="P80" s="70" t="str">
        <f>+IF(GENERAL!Q81=GENERAL!$AI$2,GENERAL!$AI$2,CONCATENATE(OBSERVACIONES!P80,"
ESTADO DE POSTVENTAS:  ",GENERAL!Q81))</f>
        <v>OK
ESTADO DE POSTVENTAS:  POSTVENTA CORREGIDA</v>
      </c>
      <c r="Q80" s="70" t="str">
        <f>+IF(GENERAL!R81=GENERAL!$AI$2,GENERAL!$AI$2,CONCATENATE(OBSERVACIONES!Q80,"
ESTADO DE POSTVENTAS:  ",GENERAL!R81))</f>
        <v>OK
ESTADO DE POSTVENTAS:  POSTVENTA CORREGIDA</v>
      </c>
      <c r="R80" s="51" t="str">
        <f>+IF(GENERAL!S81=GENERAL!$AI$2,GENERAL!$AI$2,CONCATENATE(OBSERVACIONES!R80,"
ESTADO DE POSTVENTAS:  ",GENERAL!S81))</f>
        <v>OK
ESTADO DE POSTVENTAS:  POSTVENTA CORREGIDA</v>
      </c>
      <c r="S80" s="51" t="str">
        <f>+IF(GENERAL!T81=GENERAL!$AI$2,GENERAL!$AI$2,CONCATENATE(OBSERVACIONES!S80,"
ESTADO DE POSTVENTAS:  ",GENERAL!T81))</f>
        <v>OK
ESTADO DE POSTVENTAS:  POSTVENTA CORREGIDA</v>
      </c>
      <c r="T80" s="51" t="str">
        <f>+IF(GENERAL!U81=GENERAL!$AI$2,GENERAL!$AI$2,CONCATENATE(OBSERVACIONES!T80,"
ESTADO DE POSTVENTAS:  ",GENERAL!U81))</f>
        <v>OK
ESTADO DE POSTVENTAS:  POSTVENTA CORREGIDA</v>
      </c>
      <c r="U80" s="51" t="str">
        <f>+IF(GENERAL!V81=GENERAL!$AI$2,GENERAL!$AI$2,CONCATENATE(OBSERVACIONES!U80,"
ESTADO DE POSTVENTAS:  ",GENERAL!V81))</f>
        <v>OK
ESTADO DE POSTVENTAS:  POSTVENTA CORREGIDA</v>
      </c>
      <c r="V80" s="51" t="str">
        <f>+IF(GENERAL!W81=GENERAL!$AI$2,GENERAL!$AI$2,CONCATENATE(OBSERVACIONES!V80,"
ESTADO DE POSTVENTAS:  ",GENERAL!W81))</f>
        <v>OK
ESTADO DE POSTVENTAS:  POSTVENTA CORREGIDA</v>
      </c>
      <c r="W80" s="51" t="str">
        <f>+IF(GENERAL!V81=GENERAL!$AI$2,GENERAL!$AI$2,CONCATENATE(OBSERVACIONES!W80,"
ESTADO DE POSTVENTAS:  ",GENERAL!V81))</f>
        <v>OK
ESTADO DE POSTVENTAS:  POSTVENTA CORREGIDA</v>
      </c>
      <c r="X80" s="51" t="str">
        <f>+IF(GENERAL!W81=GENERAL!$AI$2,GENERAL!$AI$2,CONCATENATE(OBSERVACIONES!X80,"
ESTADO DE POSTVENTAS:  ",GENERAL!W81))</f>
        <v>OK
ESTADO DE POSTVENTAS:  POSTVENTA CORREGIDA</v>
      </c>
      <c r="Y80" s="51" t="str">
        <f>+IF(GENERAL!Z81=GENERAL!$AI$2,GENERAL!$AI$2,CONCATENATE(OBSERVACIONES!Y80,"
ESTADO DE POSTVENTAS:  ",GENERAL!Z81))</f>
        <v>OK
ESTADO DE POSTVENTAS:  POSTVENTA CORREGIDA</v>
      </c>
      <c r="Z80" s="51" t="str">
        <f>+IF(GENERAL!AA81=GENERAL!$AI$2,GENERAL!$AI$2,CONCATENATE(OBSERVACIONES!Z80,"
ESTADO DE POSTVENTAS:  ",GENERAL!AA81))</f>
        <v>OK
ESTADO DE POSTVENTAS:  POSTVENTA CORREGIDA</v>
      </c>
      <c r="AA80" s="51" t="str">
        <f>+IF(GENERAL!AB81=GENERAL!$AI$2,GENERAL!$AI$2,CONCATENATE(OBSERVACIONES!AA80,"
ESTADO DE POSTVENTAS:  ",GENERAL!AB81))</f>
        <v>OK
ESTADO DE POSTVENTAS:  POSTVENTA CORREGIDA</v>
      </c>
      <c r="AB80" s="51" t="str">
        <f>+IF(GENERAL!AC81=GENERAL!$AI$2,GENERAL!$AI$2,CONCATENATE(OBSERVACIONES!AB80,"
ESTADO DE POSTVENTAS:  ",GENERAL!AC81))</f>
        <v>OK
ESTADO DE POSTVENTAS:  POSTVENTA CORREGIDA</v>
      </c>
      <c r="AC80" s="51" t="str">
        <f>+IF(GENERAL!AD81=GENERAL!$AI$2,GENERAL!$AI$2,CONCATENATE(OBSERVACIONES!AC80,"
ESTADO DE POSTVENTAS:  ",GENERAL!AD81))</f>
        <v>OK
ESTADO DE POSTVENTAS:  POSTVENTA CORREGIDA</v>
      </c>
      <c r="AD80" s="51" t="str">
        <f>+IF(GENERAL!AE81=GENERAL!$AI$2,GENERAL!$AI$2,CONCATENATE(OBSERVACIONES!AD80,"
ESTADO DE POSTVENTAS:  ",GENERAL!AE81))</f>
        <v>OK
ESTADO DE POSTVENTAS:  POSTVENTA CORREGIDA</v>
      </c>
      <c r="AE80" s="51" t="str">
        <f>+IF(GENERAL!AF81=GENERAL!$AI$2,GENERAL!$AI$2,CONCATENATE(OBSERVACIONES!AE80,"
ESTADO DE POSTVENTAS:  ",GENERAL!AF81))</f>
        <v>OK
ESTADO DE POSTVENTAS:  POSTVENTA CORREGIDA</v>
      </c>
      <c r="AF80" s="51" t="str">
        <f>+IF(GENERAL!AG81=GENERAL!$AI$2,GENERAL!$AI$2,CONCATENATE(OBSERVACIONES!AF80,"
ESTADO DE POSTVENTAS:  ",GENERAL!AG81))</f>
        <v>OK
ESTADO DE POSTVENTAS:  POSTVENTA CORREGIDA</v>
      </c>
      <c r="AG80" s="51" t="str">
        <f>+IF(GENERAL!AH81=GENERAL!$AI$2,GENERAL!$AI$2,CONCATENATE(OBSERVACIONES!AG80,"
ESTADO DE POSTVENTAS:  ",GENERAL!AH81))</f>
        <v>OK
ESTADO DE POSTVENTAS:  POSTVENTA CORREGIDA</v>
      </c>
      <c r="AH80" s="51" t="str">
        <f>+IF(GENERAL!AI81=GENERAL!$AI$2,GENERAL!$AI$2,CONCATENATE(OBSERVACIONES!AH80,"
ESTADO DE POSTVENTAS:  ",GENERAL!AI81))</f>
        <v>OK
ESTADO DE POSTVENTAS:  POSTVENTA CORREGIDA</v>
      </c>
      <c r="AI80" s="51" t="str">
        <f>+IF(GENERAL!AG81=GENERAL!$AI$2,GENERAL!$AI$2,CONCATENATE(OBSERVACIONES!AF80,"
ESTADO DE POSTVENTAS:  ",GENERAL!AG81))</f>
        <v>OK
ESTADO DE POSTVENTAS:  POSTVENTA CORREGIDA</v>
      </c>
      <c r="AJ80" s="51" t="str">
        <f>+IF(GENERAL!AI81=GENERAL!$AI$2,GENERAL!$AI$2,CONCATENATE(OBSERVACIONES!AH80,"
ESTADO DE POSTVENTAS:  ",GENERAL!AI81))</f>
        <v>OK
ESTADO DE POSTVENTAS:  POSTVENTA CORREGIDA</v>
      </c>
      <c r="AK80" s="51" t="str">
        <f>+IF(GENERAL!AJ81=GENERAL!$AI$2,GENERAL!$AI$2,CONCATENATE(OBSERVACIONES!AI80,"
ESTADO DE POSTVENTAS:  ",GENERAL!AJ81))</f>
        <v>OK
ESTADO DE POSTVENTAS:  POSTVENTA CORREGIDA</v>
      </c>
      <c r="AL80" s="51" t="str">
        <f>+IF(GENERAL!AK81=GENERAL!$AI$2,GENERAL!$AI$2,CONCATENATE(OBSERVACIONES!AJ80,"
ESTADO DE POSTVENTAS:  ",GENERAL!AK81))</f>
        <v>OK
ESTADO DE POSTVENTAS:  POSTVENTA CORREGIDA</v>
      </c>
      <c r="AM80" s="51" t="str">
        <f>+IF(GENERAL!AN81=GENERAL!$AI$2,GENERAL!$AI$2,CONCATENATE(OBSERVACIONES!AM80,"
ESTADO DE POSTVENTAS:  ",GENERAL!AN81))</f>
        <v>OK
ESTADO DE POSTVENTAS:  POSTVENTA CORREGIDA</v>
      </c>
      <c r="AN80" s="37">
        <v>0</v>
      </c>
      <c r="AO80" s="37">
        <v>11</v>
      </c>
      <c r="AP80" s="37">
        <v>3</v>
      </c>
      <c r="AQ80" s="37">
        <v>0</v>
      </c>
      <c r="AR80" s="43">
        <v>14</v>
      </c>
      <c r="AS80" s="40">
        <v>12</v>
      </c>
      <c r="AT80" s="37">
        <f>COUNTIFS($D$5:$AM$5,"&lt;&gt;"&amp;CODICIONALES!$A$1,$D$5:$AM$5,"&lt;&gt;"&amp;CODICIONALES!$A$2,$D$5:$AM$5,"&lt;&gt;"&amp;CODICIONALES!$B$2,$D$5:$AM$5,"&lt;&gt;"&amp;CODICIONALES!$C$2)</f>
        <v>6</v>
      </c>
      <c r="AU80" s="43">
        <f>COUNTIFS(D80:AM80,CODICIONALES!$A$2)</f>
        <v>34</v>
      </c>
      <c r="AV80" s="40">
        <f t="shared" si="1"/>
        <v>-4</v>
      </c>
    </row>
    <row r="81" spans="1:48" ht="51" customHeight="1" x14ac:dyDescent="0.25">
      <c r="A81" s="110"/>
      <c r="B81" s="2">
        <v>77</v>
      </c>
      <c r="C81" s="20" t="s">
        <v>92</v>
      </c>
      <c r="D81" s="51" t="str">
        <f>+IF(GENERAL!E82=GENERAL!$AI$2,GENERAL!$AI$2,CONCATENATE(OBSERVACIONES!D81,"
ESTADO DE POSTVENTAS:  ",GENERAL!E82))</f>
        <v>NO ENTREGADO
ESTADO DE POSTVENTAS:  TIENE POSTVENTA</v>
      </c>
      <c r="E81" s="51" t="str">
        <f>+IF(GENERAL!F82=GENERAL!$AI$2,GENERAL!$AI$2,CONCATENATE(OBSERVACIONES!E81,"
ESTADO DE POSTVENTAS:  ",GENERAL!F82))</f>
        <v>OK
ESTADO DE POSTVENTAS:  POSTVENTA CORREGIDA</v>
      </c>
      <c r="F81" s="51" t="str">
        <f>+IF(GENERAL!G82=GENERAL!$AI$2,GENERAL!$AI$2,CONCATENATE(OBSERVACIONES!F81,"
ESTADO DE POSTVENTAS:  ",GENERAL!G82))</f>
        <v>DETALLE NIVEL
ESTADO DE POSTVENTAS:  TIENE POSTVENTA</v>
      </c>
      <c r="G81" s="51" t="str">
        <f>+IF(GENERAL!H82=GENERAL!$AI$2,GENERAL!$AI$2,CONCATENATE(OBSERVACIONES!G81,"
ESTADO DE POSTVENTAS:  ",GENERAL!H82))</f>
        <v>NO ENTREGADO
ESTADO DE POSTVENTAS:  TIENE POSTVENTA</v>
      </c>
      <c r="H81" s="51" t="str">
        <f>+IF(GENERAL!I82=GENERAL!$AI$2,GENERAL!$AI$2,CONCATENATE(OBSERVACIONES!H81,"
ESTADO DE POSTVENTAS:  ",GENERAL!I82))</f>
        <v>OK
ESTADO DE POSTVENTAS:  POSTVENTA CORREGIDA</v>
      </c>
      <c r="I81" s="51" t="str">
        <f>+IF(GENERAL!J82=GENERAL!$AI$2,GENERAL!$AI$2,CONCATENATE(OBSERVACIONES!I81,"
ESTADO DE POSTVENTAS:  ",GENERAL!J82))</f>
        <v>OK
ESTADO DE POSTVENTAS:  POSTVENTA CORREGIDA</v>
      </c>
      <c r="J81" s="51" t="str">
        <f>+IF(GENERAL!K82=GENERAL!$AI$2,GENERAL!$AI$2,CONCATENATE(OBSERVACIONES!J81,"
ESTADO DE POSTVENTAS:  ",GENERAL!K82))</f>
        <v>OK
ESTADO DE POSTVENTAS:  POSTVENTA CORREGIDA</v>
      </c>
      <c r="K81" s="51" t="str">
        <f>+IF(GENERAL!L82=GENERAL!$AI$2,GENERAL!$AI$2,CONCATENATE(OBSERVACIONES!K81,"
ESTADO DE POSTVENTAS:  ",GENERAL!L82))</f>
        <v>OK
ESTADO DE POSTVENTAS:  POSTVENTA CORREGIDA</v>
      </c>
      <c r="L81" s="51" t="str">
        <f>+IF(GENERAL!M82=GENERAL!$AI$2,GENERAL!$AI$2,CONCATENATE(OBSERVACIONES!L81,"
ESTADO DE POSTVENTAS:  ",GENERAL!M82))</f>
        <v>OK
ESTADO DE POSTVENTAS:  POSTVENTA CORREGIDA</v>
      </c>
      <c r="M81" s="70" t="str">
        <f>+IF(GENERAL!N82=GENERAL!$AI$2,GENERAL!$AI$2,CONCATENATE(OBSERVACIONES!M81,"
ESTADO DE POSTVENTAS:  ",GENERAL!N82))</f>
        <v>OK
ESTADO DE POSTVENTAS:  POSTVENTA CORREGIDA</v>
      </c>
      <c r="N81" s="51" t="str">
        <f>+IF(GENERAL!O82=GENERAL!$AI$2,GENERAL!$AI$2,CONCATENATE(OBSERVACIONES!N81,"
ESTADO DE POSTVENTAS:  ",GENERAL!O82))</f>
        <v>OK
ESTADO DE POSTVENTAS:  POSTVENTA CORREGIDA</v>
      </c>
      <c r="O81" s="51" t="str">
        <f>+IF(GENERAL!P82=GENERAL!$AI$2,GENERAL!$AI$2,CONCATENATE(OBSERVACIONES!O81,"
ESTADO DE POSTVENTAS:  ",GENERAL!P82))</f>
        <v>OK
ESTADO DE POSTVENTAS:  POSTVENTA CORREGIDA</v>
      </c>
      <c r="P81" s="70" t="str">
        <f>+IF(GENERAL!Q82=GENERAL!$AI$2,GENERAL!$AI$2,CONCATENATE(OBSERVACIONES!P81,"
ESTADO DE POSTVENTAS:  ",GENERAL!Q82))</f>
        <v>OK
ESTADO DE POSTVENTAS:  POSTVENTA CORREGIDA</v>
      </c>
      <c r="Q81" s="70" t="str">
        <f>+IF(GENERAL!R82=GENERAL!$AI$2,GENERAL!$AI$2,CONCATENATE(OBSERVACIONES!Q81,"
ESTADO DE POSTVENTAS:  ",GENERAL!R82))</f>
        <v>OK
ESTADO DE POSTVENTAS:  POSTVENTA CORREGIDA</v>
      </c>
      <c r="R81" s="51" t="str">
        <f>+IF(GENERAL!S82=GENERAL!$AI$2,GENERAL!$AI$2,CONCATENATE(OBSERVACIONES!R81,"
ESTADO DE POSTVENTAS:  ",GENERAL!S82))</f>
        <v>OK
ESTADO DE POSTVENTAS:  POSTVENTA CORREGIDA</v>
      </c>
      <c r="S81" s="51" t="str">
        <f>+IF(GENERAL!T82=GENERAL!$AI$2,GENERAL!$AI$2,CONCATENATE(OBSERVACIONES!S81,"
ESTADO DE POSTVENTAS:  ",GENERAL!T82))</f>
        <v>OK
ESTADO DE POSTVENTAS:  POSTVENTA CORREGIDA</v>
      </c>
      <c r="T81" s="51" t="str">
        <f>+IF(GENERAL!U82=GENERAL!$AI$2,GENERAL!$AI$2,CONCATENATE(OBSERVACIONES!T81,"
ESTADO DE POSTVENTAS:  ",GENERAL!U82))</f>
        <v>OK
ESTADO DE POSTVENTAS:  POSTVENTA CORREGIDA</v>
      </c>
      <c r="U81" s="51" t="str">
        <f>+IF(GENERAL!V82=GENERAL!$AI$2,GENERAL!$AI$2,CONCATENATE(OBSERVACIONES!U81,"
ESTADO DE POSTVENTAS:  ",GENERAL!V82))</f>
        <v>OK
ESTADO DE POSTVENTAS:  POSTVENTA CORREGIDA</v>
      </c>
      <c r="V81" s="51" t="str">
        <f>+IF(GENERAL!W82=GENERAL!$AI$2,GENERAL!$AI$2,CONCATENATE(OBSERVACIONES!V81,"
ESTADO DE POSTVENTAS:  ",GENERAL!W82))</f>
        <v>OK
ESTADO DE POSTVENTAS:  POSTVENTA CORREGIDA</v>
      </c>
      <c r="W81" s="51" t="str">
        <f>+IF(GENERAL!V82=GENERAL!$AI$2,GENERAL!$AI$2,CONCATENATE(OBSERVACIONES!W81,"
ESTADO DE POSTVENTAS:  ",GENERAL!V82))</f>
        <v>OK
ESTADO DE POSTVENTAS:  POSTVENTA CORREGIDA</v>
      </c>
      <c r="X81" s="51" t="str">
        <f>+IF(GENERAL!W82=GENERAL!$AI$2,GENERAL!$AI$2,CONCATENATE(OBSERVACIONES!X81,"
ESTADO DE POSTVENTAS:  ",GENERAL!W82))</f>
        <v>OK
ESTADO DE POSTVENTAS:  POSTVENTA CORREGIDA</v>
      </c>
      <c r="Y81" s="51" t="str">
        <f>+IF(GENERAL!Z82=GENERAL!$AI$2,GENERAL!$AI$2,CONCATENATE(OBSERVACIONES!Y81,"
ESTADO DE POSTVENTAS:  ",GENERAL!Z82))</f>
        <v>OK
ESTADO DE POSTVENTAS:  POSTVENTA CORREGIDA</v>
      </c>
      <c r="Z81" s="51" t="str">
        <f>+IF(GENERAL!AA82=GENERAL!$AI$2,GENERAL!$AI$2,CONCATENATE(OBSERVACIONES!Z81,"
ESTADO DE POSTVENTAS:  ",GENERAL!AA82))</f>
        <v>OK
ESTADO DE POSTVENTAS:  POSTVENTA CORREGIDA</v>
      </c>
      <c r="AA81" s="51" t="str">
        <f>+IF(GENERAL!AB82=GENERAL!$AI$2,GENERAL!$AI$2,CONCATENATE(OBSERVACIONES!AA81,"
ESTADO DE POSTVENTAS:  ",GENERAL!AB82))</f>
        <v>OK
ESTADO DE POSTVENTAS:  POSTVENTA CORREGIDA</v>
      </c>
      <c r="AB81" s="51" t="str">
        <f>+IF(GENERAL!AC82=GENERAL!$AI$2,GENERAL!$AI$2,CONCATENATE(OBSERVACIONES!AB81,"
ESTADO DE POSTVENTAS:  ",GENERAL!AC82))</f>
        <v>OK
ESTADO DE POSTVENTAS:  POSTVENTA CORREGIDA</v>
      </c>
      <c r="AC81" s="51" t="str">
        <f>+IF(GENERAL!AD82=GENERAL!$AI$2,GENERAL!$AI$2,CONCATENATE(OBSERVACIONES!AC81,"
ESTADO DE POSTVENTAS:  ",GENERAL!AD82))</f>
        <v>OK
ESTADO DE POSTVENTAS:  POSTVENTA CORREGIDA</v>
      </c>
      <c r="AD81" s="51" t="str">
        <f>+IF(GENERAL!AE82=GENERAL!$AI$2,GENERAL!$AI$2,CONCATENATE(OBSERVACIONES!AD81,"
ESTADO DE POSTVENTAS:  ",GENERAL!AE82))</f>
        <v>DETALLE FIJADO
ESTADO DE POSTVENTAS:  TIENE POSTVENTA</v>
      </c>
      <c r="AE81" s="51" t="str">
        <f>+IF(GENERAL!AF82=GENERAL!$AI$2,GENERAL!$AI$2,CONCATENATE(OBSERVACIONES!AE81,"
ESTADO DE POSTVENTAS:  ",GENERAL!AF82))</f>
        <v>OK
ESTADO DE POSTVENTAS:  POSTVENTA CORREGIDA</v>
      </c>
      <c r="AF81" s="51" t="str">
        <f>+IF(GENERAL!AG82=GENERAL!$AI$2,GENERAL!$AI$2,CONCATENATE(OBSERVACIONES!AF81,"
ESTADO DE POSTVENTAS:  ",GENERAL!AG82))</f>
        <v>OK
ESTADO DE POSTVENTAS:  POSTVENTA CORREGIDA</v>
      </c>
      <c r="AG81" s="51" t="str">
        <f>+IF(GENERAL!AH82=GENERAL!$AI$2,GENERAL!$AI$2,CONCATENATE(OBSERVACIONES!AG81,"
ESTADO DE POSTVENTAS:  ",GENERAL!AH82))</f>
        <v>OK
ESTADO DE POSTVENTAS:  POSTVENTA CORREGIDA</v>
      </c>
      <c r="AH81" s="51" t="str">
        <f>+IF(GENERAL!AI82=GENERAL!$AI$2,GENERAL!$AI$2,CONCATENATE(OBSERVACIONES!AH81,"
ESTADO DE POSTVENTAS:  ",GENERAL!AI82))</f>
        <v>OK
ESTADO DE POSTVENTAS:  POSTVENTA CORREGIDA</v>
      </c>
      <c r="AI81" s="51" t="str">
        <f>+IF(GENERAL!AG82=GENERAL!$AI$2,GENERAL!$AI$2,CONCATENATE(OBSERVACIONES!AF81,"
ESTADO DE POSTVENTAS:  ",GENERAL!AG82))</f>
        <v>OK
ESTADO DE POSTVENTAS:  POSTVENTA CORREGIDA</v>
      </c>
      <c r="AJ81" s="51" t="str">
        <f>+IF(GENERAL!AI82=GENERAL!$AI$2,GENERAL!$AI$2,CONCATENATE(OBSERVACIONES!AH81,"
ESTADO DE POSTVENTAS:  ",GENERAL!AI82))</f>
        <v>OK
ESTADO DE POSTVENTAS:  POSTVENTA CORREGIDA</v>
      </c>
      <c r="AK81" s="51" t="str">
        <f>+IF(GENERAL!AJ82=GENERAL!$AI$2,GENERAL!$AI$2,CONCATENATE(OBSERVACIONES!AI81,"
ESTADO DE POSTVENTAS:  ",GENERAL!AJ82))</f>
        <v>OK
ESTADO DE POSTVENTAS:  POSTVENTA CORREGIDA</v>
      </c>
      <c r="AL81" s="51" t="str">
        <f>+IF(GENERAL!AK82=GENERAL!$AI$2,GENERAL!$AI$2,CONCATENATE(OBSERVACIONES!AJ81,"
ESTADO DE POSTVENTAS:  ",GENERAL!AK82))</f>
        <v>OK
ESTADO DE POSTVENTAS:  POSTVENTA CORREGIDA</v>
      </c>
      <c r="AM81" s="51" t="str">
        <f>+IF(GENERAL!AN82=GENERAL!$AI$2,GENERAL!$AI$2,CONCATENATE(OBSERVACIONES!AM81,"
ESTADO DE POSTVENTAS:  ",GENERAL!AN82))</f>
        <v>OK
ESTADO DE POSTVENTAS:  POSTVENTA CORREGIDA</v>
      </c>
      <c r="AN81" s="37">
        <v>1</v>
      </c>
      <c r="AO81" s="37">
        <v>10</v>
      </c>
      <c r="AP81" s="37">
        <v>3</v>
      </c>
      <c r="AQ81" s="37">
        <v>0</v>
      </c>
      <c r="AR81" s="43">
        <v>14</v>
      </c>
      <c r="AS81" s="40">
        <v>12</v>
      </c>
      <c r="AT81" s="37">
        <f>COUNTIFS($D$5:$AM$5,"&lt;&gt;"&amp;CODICIONALES!$A$1,$D$5:$AM$5,"&lt;&gt;"&amp;CODICIONALES!$A$2,$D$5:$AM$5,"&lt;&gt;"&amp;CODICIONALES!$B$2,$D$5:$AM$5,"&lt;&gt;"&amp;CODICIONALES!$C$2)</f>
        <v>6</v>
      </c>
      <c r="AU81" s="43">
        <f>COUNTIFS(D81:AM81,CODICIONALES!$A$2)</f>
        <v>32</v>
      </c>
      <c r="AV81" s="40">
        <f t="shared" si="1"/>
        <v>-2</v>
      </c>
    </row>
    <row r="82" spans="1:48" ht="51" customHeight="1" x14ac:dyDescent="0.25">
      <c r="A82" s="112" t="s">
        <v>98</v>
      </c>
      <c r="B82" s="2">
        <v>78</v>
      </c>
      <c r="C82" s="25" t="s">
        <v>99</v>
      </c>
      <c r="D82" s="51" t="str">
        <f>+IF(GENERAL!E83=GENERAL!$AI$2,GENERAL!$AI$2,CONCATENATE(OBSERVACIONES!D82,"
ESTADO DE POSTVENTAS:  ",GENERAL!E83))</f>
        <v>NO ENTREGADO
ESTADO DE POSTVENTAS:  TIENE POSTVENTA</v>
      </c>
      <c r="E82" s="51" t="str">
        <f>+IF(GENERAL!F83=GENERAL!$AI$2,GENERAL!$AI$2,CONCATENATE(OBSERVACIONES!E82,"
ESTADO DE POSTVENTAS:  ",GENERAL!F83))</f>
        <v>OK
ESTADO DE POSTVENTAS:  POSTVENTA CORREGIDA</v>
      </c>
      <c r="F82" s="51" t="str">
        <f>+IF(GENERAL!G83=GENERAL!$AI$2,GENERAL!$AI$2,CONCATENATE(OBSERVACIONES!F82,"
ESTADO DE POSTVENTAS:  ",GENERAL!G83))</f>
        <v>OK
ESTADO DE POSTVENTAS:  POSTVENTA CORREGIDA</v>
      </c>
      <c r="G82" s="51" t="str">
        <f>+IF(GENERAL!H83=GENERAL!$AI$2,GENERAL!$AI$2,CONCATENATE(OBSERVACIONES!G82,"
ESTADO DE POSTVENTAS:  ",GENERAL!H83))</f>
        <v>NO ENTREGADO
ESTADO DE POSTVENTAS:  TIENE POSTVENTA</v>
      </c>
      <c r="H82" s="70" t="str">
        <f>+IF(GENERAL!I83=GENERAL!$AI$2,GENERAL!$AI$2,CONCATENATE(OBSERVACIONES!H82,"
ESTADO DE POSTVENTAS:  ",GENERAL!I83))</f>
        <v>DETALLE CAMBIO
ESTADO DE POSTVENTAS:  TIENE POSTVENTA</v>
      </c>
      <c r="I82" s="51" t="str">
        <f>+IF(GENERAL!J83=GENERAL!$AI$2,GENERAL!$AI$2,CONCATENATE(OBSERVACIONES!I82,"
ESTADO DE POSTVENTAS:  ",GENERAL!J83))</f>
        <v>OK
ESTADO DE POSTVENTAS:  POSTVENTA CORREGIDA</v>
      </c>
      <c r="J82" s="51" t="str">
        <f>+IF(GENERAL!K83=GENERAL!$AI$2,GENERAL!$AI$2,CONCATENATE(OBSERVACIONES!J82,"
ESTADO DE POSTVENTAS:  ",GENERAL!K83))</f>
        <v>OK
ESTADO DE POSTVENTAS:  POSTVENTA CORREGIDA</v>
      </c>
      <c r="K82" s="51" t="str">
        <f>+IF(GENERAL!L83=GENERAL!$AI$2,GENERAL!$AI$2,CONCATENATE(OBSERVACIONES!K82,"
ESTADO DE POSTVENTAS:  ",GENERAL!L83))</f>
        <v>OK
ESTADO DE POSTVENTAS:  POSTVENTA CORREGIDA</v>
      </c>
      <c r="L82" s="51" t="str">
        <f>+IF(GENERAL!M83=GENERAL!$AI$2,GENERAL!$AI$2,CONCATENATE(OBSERVACIONES!L82,"
ESTADO DE POSTVENTAS:  ",GENERAL!M83))</f>
        <v>OK
ESTADO DE POSTVENTAS:  POSTVENTA CORREGIDA</v>
      </c>
      <c r="M82" s="70" t="str">
        <f>+IF(GENERAL!N83=GENERAL!$AI$2,GENERAL!$AI$2,CONCATENATE(OBSERVACIONES!M82,"
ESTADO DE POSTVENTAS:  ",GENERAL!N83))</f>
        <v>DETALLE CAMBIO
ESTADO DE POSTVENTAS:  TIENE POSTVENTA</v>
      </c>
      <c r="N82" s="51" t="str">
        <f>+IF(GENERAL!O83=GENERAL!$AI$2,GENERAL!$AI$2,CONCATENATE(OBSERVACIONES!N82,"
ESTADO DE POSTVENTAS:  ",GENERAL!O83))</f>
        <v>OK
ESTADO DE POSTVENTAS:  POSTVENTA CORREGIDA</v>
      </c>
      <c r="O82" s="51" t="str">
        <f>+IF(GENERAL!P83=GENERAL!$AI$2,GENERAL!$AI$2,CONCATENATE(OBSERVACIONES!O82,"
ESTADO DE POSTVENTAS:  ",GENERAL!P83))</f>
        <v>OK
ESTADO DE POSTVENTAS:  POSTVENTA CORREGIDA</v>
      </c>
      <c r="P82" s="70" t="str">
        <f>+IF(GENERAL!Q83=GENERAL!$AI$2,GENERAL!$AI$2,CONCATENATE(OBSERVACIONES!P82,"
ESTADO DE POSTVENTAS:  ",GENERAL!Q83))</f>
        <v>OK
ESTADO DE POSTVENTAS:  POSTVENTA CORREGIDA</v>
      </c>
      <c r="Q82" s="70" t="str">
        <f>+IF(GENERAL!R83=GENERAL!$AI$2,GENERAL!$AI$2,CONCATENATE(OBSERVACIONES!Q82,"
ESTADO DE POSTVENTAS:  ",GENERAL!R83))</f>
        <v>OK
ESTADO DE POSTVENTAS:  POSTVENTA CORREGIDA</v>
      </c>
      <c r="R82" s="51" t="str">
        <f>+IF(GENERAL!S83=GENERAL!$AI$2,GENERAL!$AI$2,CONCATENATE(OBSERVACIONES!R82,"
ESTADO DE POSTVENTAS:  ",GENERAL!S83))</f>
        <v>OK
ESTADO DE POSTVENTAS:  POSTVENTA CORREGIDA</v>
      </c>
      <c r="S82" s="51" t="str">
        <f>+IF(GENERAL!T83=GENERAL!$AI$2,GENERAL!$AI$2,CONCATENATE(OBSERVACIONES!S82,"
ESTADO DE POSTVENTAS:  ",GENERAL!T83))</f>
        <v>OK
ESTADO DE POSTVENTAS:  POSTVENTA CORREGIDA</v>
      </c>
      <c r="T82" s="51" t="str">
        <f>+IF(GENERAL!U83=GENERAL!$AI$2,GENERAL!$AI$2,CONCATENATE(OBSERVACIONES!T82,"
ESTADO DE POSTVENTAS:  ",GENERAL!U83))</f>
        <v>OK
ESTADO DE POSTVENTAS:  POSTVENTA CORREGIDA</v>
      </c>
      <c r="U82" s="51" t="str">
        <f>+IF(GENERAL!V83=GENERAL!$AI$2,GENERAL!$AI$2,CONCATENATE(OBSERVACIONES!U82,"
ESTADO DE POSTVENTAS:  ",GENERAL!V83))</f>
        <v>OK
ESTADO DE POSTVENTAS:  POSTVENTA CORREGIDA</v>
      </c>
      <c r="V82" s="51" t="str">
        <f>+IF(GENERAL!W83=GENERAL!$AI$2,GENERAL!$AI$2,CONCATENATE(OBSERVACIONES!V82,"
ESTADO DE POSTVENTAS:  ",GENERAL!W83))</f>
        <v>OK
ESTADO DE POSTVENTAS:  POSTVENTA CORREGIDA</v>
      </c>
      <c r="W82" s="51" t="str">
        <f>+IF(GENERAL!V83=GENERAL!$AI$2,GENERAL!$AI$2,CONCATENATE(OBSERVACIONES!W82,"
ESTADO DE POSTVENTAS:  ",GENERAL!V83))</f>
        <v>OK
ESTADO DE POSTVENTAS:  POSTVENTA CORREGIDA</v>
      </c>
      <c r="X82" s="51" t="str">
        <f>+IF(GENERAL!W83=GENERAL!$AI$2,GENERAL!$AI$2,CONCATENATE(OBSERVACIONES!X82,"
ESTADO DE POSTVENTAS:  ",GENERAL!W83))</f>
        <v>OK
ESTADO DE POSTVENTAS:  POSTVENTA CORREGIDA</v>
      </c>
      <c r="Y82" s="51" t="str">
        <f>+IF(GENERAL!Z83=GENERAL!$AI$2,GENERAL!$AI$2,CONCATENATE(OBSERVACIONES!Y82,"
ESTADO DE POSTVENTAS:  ",GENERAL!Z83))</f>
        <v>OK
ESTADO DE POSTVENTAS:  POSTVENTA CORREGIDA</v>
      </c>
      <c r="Z82" s="51" t="str">
        <f>+IF(GENERAL!AA83=GENERAL!$AI$2,GENERAL!$AI$2,CONCATENATE(OBSERVACIONES!Z82,"
ESTADO DE POSTVENTAS:  ",GENERAL!AA83))</f>
        <v>OK
ESTADO DE POSTVENTAS:  POSTVENTA CORREGIDA</v>
      </c>
      <c r="AA82" s="70" t="str">
        <f>+IF(GENERAL!AB83=GENERAL!$AI$2,GENERAL!$AI$2,CONCATENATE(OBSERVACIONES!AA82,"
ESTADO DE POSTVENTAS:  ",GENERAL!AB83))</f>
        <v>DETALLE CAMBIO
ESTADO DE POSTVENTAS:  TIENE POSTVENTA</v>
      </c>
      <c r="AB82" s="51" t="str">
        <f>+IF(GENERAL!AC83=GENERAL!$AI$2,GENERAL!$AI$2,CONCATENATE(OBSERVACIONES!AB82,"
ESTADO DE POSTVENTAS:  ",GENERAL!AC83))</f>
        <v>OK
ESTADO DE POSTVENTAS:  POSTVENTA CORREGIDA</v>
      </c>
      <c r="AC82" s="51" t="str">
        <f>+IF(GENERAL!AD83=GENERAL!$AI$2,GENERAL!$AI$2,CONCATENATE(OBSERVACIONES!AC82,"
ESTADO DE POSTVENTAS:  ",GENERAL!AD83))</f>
        <v>OK
ESTADO DE POSTVENTAS:  POSTVENTA CORREGIDA</v>
      </c>
      <c r="AD82" s="51" t="str">
        <f>+IF(GENERAL!AE83=GENERAL!$AI$2,GENERAL!$AI$2,CONCATENATE(OBSERVACIONES!AD82,"
ESTADO DE POSTVENTAS:  ",GENERAL!AE83))</f>
        <v>DETALALR MARCO 
ESTADO DE POSTVENTAS:  TIENE POSTVENTA</v>
      </c>
      <c r="AE82" s="51" t="str">
        <f>+IF(GENERAL!AF83=GENERAL!$AI$2,GENERAL!$AI$2,CONCATENATE(OBSERVACIONES!AE82,"
ESTADO DE POSTVENTAS:  ",GENERAL!AF83))</f>
        <v>OK
ESTADO DE POSTVENTAS:  POSTVENTA CORREGIDA</v>
      </c>
      <c r="AF82" s="51" t="str">
        <f>+IF(GENERAL!AG83=GENERAL!$AI$2,GENERAL!$AI$2,CONCATENATE(OBSERVACIONES!AF82,"
ESTADO DE POSTVENTAS:  ",GENERAL!AG83))</f>
        <v>OK
ESTADO DE POSTVENTAS:  POSTVENTA CORREGIDA</v>
      </c>
      <c r="AG82" s="51" t="str">
        <f>+IF(GENERAL!AH83=GENERAL!$AI$2,GENERAL!$AI$2,CONCATENATE(OBSERVACIONES!AG82,"
ESTADO DE POSTVENTAS:  ",GENERAL!AH83))</f>
        <v>OK
ESTADO DE POSTVENTAS:  POSTVENTA CORREGIDA</v>
      </c>
      <c r="AH82" s="51" t="str">
        <f>+IF(GENERAL!AI83=GENERAL!$AI$2,GENERAL!$AI$2,CONCATENATE(OBSERVACIONES!AH82,"
ESTADO DE POSTVENTAS:  ",GENERAL!AI83))</f>
        <v>OK
ESTADO DE POSTVENTAS:  POSTVENTA CORREGIDA</v>
      </c>
      <c r="AI82" s="51" t="str">
        <f>+IF(GENERAL!AG83=GENERAL!$AI$2,GENERAL!$AI$2,CONCATENATE(OBSERVACIONES!AF82,"
ESTADO DE POSTVENTAS:  ",GENERAL!AG83))</f>
        <v>OK
ESTADO DE POSTVENTAS:  POSTVENTA CORREGIDA</v>
      </c>
      <c r="AJ82" s="51" t="str">
        <f>+IF(GENERAL!AI83=GENERAL!$AI$2,GENERAL!$AI$2,CONCATENATE(OBSERVACIONES!AH82,"
ESTADO DE POSTVENTAS:  ",GENERAL!AI83))</f>
        <v>OK
ESTADO DE POSTVENTAS:  POSTVENTA CORREGIDA</v>
      </c>
      <c r="AK82" s="51" t="str">
        <f>+IF(GENERAL!AJ83=GENERAL!$AI$2,GENERAL!$AI$2,CONCATENATE(OBSERVACIONES!AI82,"
ESTADO DE POSTVENTAS:  ",GENERAL!AJ83))</f>
        <v>OK
ESTADO DE POSTVENTAS:  POSTVENTA CORREGIDA</v>
      </c>
      <c r="AL82" s="51" t="str">
        <f>+IF(GENERAL!AK83=GENERAL!$AI$2,GENERAL!$AI$2,CONCATENATE(OBSERVACIONES!AJ82,"
ESTADO DE POSTVENTAS:  ",GENERAL!AK83))</f>
        <v>OK
ESTADO DE POSTVENTAS:  POSTVENTA CORREGIDA</v>
      </c>
      <c r="AM82" s="70" t="str">
        <f>+IF(GENERAL!AN83=GENERAL!$AI$2,GENERAL!$AI$2,CONCATENATE(OBSERVACIONES!AM82,"
ESTADO DE POSTVENTAS:  ",GENERAL!AN83))</f>
        <v>DETALLE CAMBIO
ESTADO DE POSTVENTAS:  TIENE POSTVENTA</v>
      </c>
      <c r="AN82" s="37">
        <v>3</v>
      </c>
      <c r="AO82" s="37">
        <v>8</v>
      </c>
      <c r="AP82" s="37">
        <v>3</v>
      </c>
      <c r="AQ82" s="37">
        <v>1</v>
      </c>
      <c r="AR82" s="43">
        <v>13</v>
      </c>
      <c r="AS82" s="40">
        <v>12</v>
      </c>
      <c r="AT82" s="37">
        <f>COUNTIFS($D$5:$AM$5,"&lt;&gt;"&amp;CODICIONALES!$A$1,$D$5:$AM$5,"&lt;&gt;"&amp;CODICIONALES!$A$2,$D$5:$AM$5,"&lt;&gt;"&amp;CODICIONALES!$B$2,$D$5:$AM$5,"&lt;&gt;"&amp;CODICIONALES!$C$2)</f>
        <v>6</v>
      </c>
      <c r="AU82" s="43">
        <f>COUNTIFS(D82:AM82,CODICIONALES!$A$2)</f>
        <v>29</v>
      </c>
      <c r="AV82" s="40">
        <f t="shared" si="1"/>
        <v>1</v>
      </c>
    </row>
    <row r="83" spans="1:48" ht="51" customHeight="1" x14ac:dyDescent="0.25">
      <c r="A83" s="110"/>
      <c r="B83" s="2">
        <v>79</v>
      </c>
      <c r="C83" s="21" t="s">
        <v>100</v>
      </c>
      <c r="D83" s="51" t="str">
        <f>+IF(GENERAL!E84=GENERAL!$AI$2,GENERAL!$AI$2,CONCATENATE(OBSERVACIONES!D83,"
ESTADO DE POSTVENTAS:  ",GENERAL!E84))</f>
        <v>NO ENTREGADO
ESTADO DE POSTVENTAS:  TIENE POSTVENTA</v>
      </c>
      <c r="E83" s="51" t="str">
        <f>+IF(GENERAL!F84=GENERAL!$AI$2,GENERAL!$AI$2,CONCATENATE(OBSERVACIONES!E83,"
ESTADO DE POSTVENTAS:  ",GENERAL!F84))</f>
        <v>OK
ESTADO DE POSTVENTAS:  POSTVENTA CORREGIDA</v>
      </c>
      <c r="F83" s="51" t="str">
        <f>+IF(GENERAL!G84=GENERAL!$AI$2,GENERAL!$AI$2,CONCATENATE(OBSERVACIONES!F83,"
ESTADO DE POSTVENTAS:  ",GENERAL!G84))</f>
        <v>OK
ESTADO DE POSTVENTAS:  POSTVENTA CORREGIDA</v>
      </c>
      <c r="G83" s="51" t="str">
        <f>+IF(GENERAL!H84=GENERAL!$AI$2,GENERAL!$AI$2,CONCATENATE(OBSERVACIONES!G83,"
ESTADO DE POSTVENTAS:  ",GENERAL!H84))</f>
        <v>NO ENTREGADO
ESTADO DE POSTVENTAS:  TIENE POSTVENTA</v>
      </c>
      <c r="H83" s="51" t="str">
        <f>+IF(GENERAL!I84=GENERAL!$AI$2,GENERAL!$AI$2,CONCATENATE(OBSERVACIONES!H83,"
ESTADO DE POSTVENTAS:  ",GENERAL!I84))</f>
        <v>OK
ESTADO DE POSTVENTAS:  POSTVENTA CORREGIDA</v>
      </c>
      <c r="I83" s="51" t="str">
        <f>+IF(GENERAL!J84=GENERAL!$AI$2,GENERAL!$AI$2,CONCATENATE(OBSERVACIONES!I83,"
ESTADO DE POSTVENTAS:  ",GENERAL!J84))</f>
        <v>OK
ESTADO DE POSTVENTAS:  POSTVENTA CORREGIDA</v>
      </c>
      <c r="J83" s="51" t="str">
        <f>+IF(GENERAL!K84=GENERAL!$AI$2,GENERAL!$AI$2,CONCATENATE(OBSERVACIONES!J83,"
ESTADO DE POSTVENTAS:  ",GENERAL!K84))</f>
        <v>OK
ESTADO DE POSTVENTAS:  POSTVENTA CORREGIDA</v>
      </c>
      <c r="K83" s="51" t="str">
        <f>+IF(GENERAL!L84=GENERAL!$AI$2,GENERAL!$AI$2,CONCATENATE(OBSERVACIONES!K83,"
ESTADO DE POSTVENTAS:  ",GENERAL!L84))</f>
        <v>OK
ESTADO DE POSTVENTAS:  POSTVENTA CORREGIDA</v>
      </c>
      <c r="L83" s="51" t="str">
        <f>+IF(GENERAL!M84=GENERAL!$AI$2,GENERAL!$AI$2,CONCATENATE(OBSERVACIONES!L83,"
ESTADO DE POSTVENTAS:  ",GENERAL!M84))</f>
        <v>OK
ESTADO DE POSTVENTAS:  POSTVENTA CORREGIDA</v>
      </c>
      <c r="M83" s="70" t="str">
        <f>+IF(GENERAL!N84=GENERAL!$AI$2,GENERAL!$AI$2,CONCATENATE(OBSERVACIONES!M83,"
ESTADO DE POSTVENTAS:  ",GENERAL!N84))</f>
        <v>OK
ESTADO DE POSTVENTAS:  POSTVENTA CORREGIDA</v>
      </c>
      <c r="N83" s="51" t="str">
        <f>+IF(GENERAL!O84=GENERAL!$AI$2,GENERAL!$AI$2,CONCATENATE(OBSERVACIONES!N83,"
ESTADO DE POSTVENTAS:  ",GENERAL!O84))</f>
        <v>OK
ESTADO DE POSTVENTAS:  POSTVENTA CORREGIDA</v>
      </c>
      <c r="O83" s="51" t="str">
        <f>+IF(GENERAL!P84=GENERAL!$AI$2,GENERAL!$AI$2,CONCATENATE(OBSERVACIONES!O83,"
ESTADO DE POSTVENTAS:  ",GENERAL!P84))</f>
        <v>OK
ESTADO DE POSTVENTAS:  POSTVENTA CORREGIDA</v>
      </c>
      <c r="P83" s="70" t="str">
        <f>+IF(GENERAL!Q84=GENERAL!$AI$2,GENERAL!$AI$2,CONCATENATE(OBSERVACIONES!P83,"
ESTADO DE POSTVENTAS:  ",GENERAL!Q84))</f>
        <v>OK
ESTADO DE POSTVENTAS:  POSTVENTA CORREGIDA</v>
      </c>
      <c r="Q83" s="70" t="str">
        <f>+IF(GENERAL!R84=GENERAL!$AI$2,GENERAL!$AI$2,CONCATENATE(OBSERVACIONES!Q83,"
ESTADO DE POSTVENTAS:  ",GENERAL!R84))</f>
        <v>OK
ESTADO DE POSTVENTAS:  POSTVENTA CORREGIDA</v>
      </c>
      <c r="R83" s="51" t="str">
        <f>+IF(GENERAL!S84=GENERAL!$AI$2,GENERAL!$AI$2,CONCATENATE(OBSERVACIONES!R83,"
ESTADO DE POSTVENTAS:  ",GENERAL!S84))</f>
        <v>OK
ESTADO DE POSTVENTAS:  POSTVENTA CORREGIDA</v>
      </c>
      <c r="S83" s="51" t="str">
        <f>+IF(GENERAL!T84=GENERAL!$AI$2,GENERAL!$AI$2,CONCATENATE(OBSERVACIONES!S83,"
ESTADO DE POSTVENTAS:  ",GENERAL!T84))</f>
        <v>OK
ESTADO DE POSTVENTAS:  POSTVENTA CORREGIDA</v>
      </c>
      <c r="T83" s="51" t="str">
        <f>+IF(GENERAL!U84=GENERAL!$AI$2,GENERAL!$AI$2,CONCATENATE(OBSERVACIONES!T83,"
ESTADO DE POSTVENTAS:  ",GENERAL!U84))</f>
        <v>OK
ESTADO DE POSTVENTAS:  POSTVENTA CORREGIDA</v>
      </c>
      <c r="U83" s="51" t="str">
        <f>+IF(GENERAL!V84=GENERAL!$AI$2,GENERAL!$AI$2,CONCATENATE(OBSERVACIONES!U83,"
ESTADO DE POSTVENTAS:  ",GENERAL!V84))</f>
        <v>OK
ESTADO DE POSTVENTAS:  POSTVENTA CORREGIDA</v>
      </c>
      <c r="V83" s="51" t="str">
        <f>+IF(GENERAL!W84=GENERAL!$AI$2,GENERAL!$AI$2,CONCATENATE(OBSERVACIONES!V83,"
ESTADO DE POSTVENTAS:  ",GENERAL!W84))</f>
        <v>OK
ESTADO DE POSTVENTAS:  POSTVENTA CORREGIDA</v>
      </c>
      <c r="W83" s="51" t="str">
        <f>+IF(GENERAL!V84=GENERAL!$AI$2,GENERAL!$AI$2,CONCATENATE(OBSERVACIONES!W83,"
ESTADO DE POSTVENTAS:  ",GENERAL!V84))</f>
        <v>OK
ESTADO DE POSTVENTAS:  POSTVENTA CORREGIDA</v>
      </c>
      <c r="X83" s="51" t="str">
        <f>+IF(GENERAL!W84=GENERAL!$AI$2,GENERAL!$AI$2,CONCATENATE(OBSERVACIONES!X83,"
ESTADO DE POSTVENTAS:  ",GENERAL!W84))</f>
        <v>OK
ESTADO DE POSTVENTAS:  POSTVENTA CORREGIDA</v>
      </c>
      <c r="Y83" s="51" t="str">
        <f>+IF(GENERAL!Z84=GENERAL!$AI$2,GENERAL!$AI$2,CONCATENATE(OBSERVACIONES!Y83,"
ESTADO DE POSTVENTAS:  ",GENERAL!Z84))</f>
        <v>OK
ESTADO DE POSTVENTAS:  POSTVENTA CORREGIDA</v>
      </c>
      <c r="Z83" s="51" t="str">
        <f>+IF(GENERAL!AA84=GENERAL!$AI$2,GENERAL!$AI$2,CONCATENATE(OBSERVACIONES!Z83,"
ESTADO DE POSTVENTAS:  ",GENERAL!AA84))</f>
        <v>OK
ESTADO DE POSTVENTAS:  POSTVENTA CORREGIDA</v>
      </c>
      <c r="AA83" s="51" t="str">
        <f>+IF(GENERAL!AB84=GENERAL!$AI$2,GENERAL!$AI$2,CONCATENATE(OBSERVACIONES!AA83,"
ESTADO DE POSTVENTAS:  ",GENERAL!AB84))</f>
        <v>OK
ESTADO DE POSTVENTAS:  POSTVENTA CORREGIDA</v>
      </c>
      <c r="AB83" s="51" t="str">
        <f>+IF(GENERAL!AC84=GENERAL!$AI$2,GENERAL!$AI$2,CONCATENATE(OBSERVACIONES!AB83,"
ESTADO DE POSTVENTAS:  ",GENERAL!AC84))</f>
        <v>OK
ESTADO DE POSTVENTAS:  POSTVENTA CORREGIDA</v>
      </c>
      <c r="AC83" s="51" t="str">
        <f>+IF(GENERAL!AD84=GENERAL!$AI$2,GENERAL!$AI$2,CONCATENATE(OBSERVACIONES!AC83,"
ESTADO DE POSTVENTAS:  ",GENERAL!AD84))</f>
        <v>OK
ESTADO DE POSTVENTAS:  POSTVENTA CORREGIDA</v>
      </c>
      <c r="AD83" s="51" t="str">
        <f>+IF(GENERAL!AE84=GENERAL!$AI$2,GENERAL!$AI$2,CONCATENATE(OBSERVACIONES!AD83,"
ESTADO DE POSTVENTAS:  ",GENERAL!AE84))</f>
        <v>OK
ESTADO DE POSTVENTAS:  POSTVENTA CORREGIDA</v>
      </c>
      <c r="AE83" s="51" t="str">
        <f>+IF(GENERAL!AF84=GENERAL!$AI$2,GENERAL!$AI$2,CONCATENATE(OBSERVACIONES!AE83,"
ESTADO DE POSTVENTAS:  ",GENERAL!AF84))</f>
        <v>OK
ESTADO DE POSTVENTAS:  POSTVENTA CORREGIDA</v>
      </c>
      <c r="AF83" s="51" t="str">
        <f>+IF(GENERAL!AG84=GENERAL!$AI$2,GENERAL!$AI$2,CONCATENATE(OBSERVACIONES!AF83,"
ESTADO DE POSTVENTAS:  ",GENERAL!AG84))</f>
        <v>OK
ESTADO DE POSTVENTAS:  POSTVENTA CORREGIDA</v>
      </c>
      <c r="AG83" s="51" t="str">
        <f>+IF(GENERAL!AH84=GENERAL!$AI$2,GENERAL!$AI$2,CONCATENATE(OBSERVACIONES!AG83,"
ESTADO DE POSTVENTAS:  ",GENERAL!AH84))</f>
        <v>OK
ESTADO DE POSTVENTAS:  POSTVENTA CORREGIDA</v>
      </c>
      <c r="AH83" s="51" t="str">
        <f>+IF(GENERAL!AI84=GENERAL!$AI$2,GENERAL!$AI$2,CONCATENATE(OBSERVACIONES!AH83,"
ESTADO DE POSTVENTAS:  ",GENERAL!AI84))</f>
        <v>OK
ESTADO DE POSTVENTAS:  POSTVENTA CORREGIDA</v>
      </c>
      <c r="AI83" s="51" t="str">
        <f>+IF(GENERAL!AG84=GENERAL!$AI$2,GENERAL!$AI$2,CONCATENATE(OBSERVACIONES!AF83,"
ESTADO DE POSTVENTAS:  ",GENERAL!AG84))</f>
        <v>OK
ESTADO DE POSTVENTAS:  POSTVENTA CORREGIDA</v>
      </c>
      <c r="AJ83" s="51" t="str">
        <f>+IF(GENERAL!AI84=GENERAL!$AI$2,GENERAL!$AI$2,CONCATENATE(OBSERVACIONES!AH83,"
ESTADO DE POSTVENTAS:  ",GENERAL!AI84))</f>
        <v>OK
ESTADO DE POSTVENTAS:  POSTVENTA CORREGIDA</v>
      </c>
      <c r="AK83" s="51" t="str">
        <f>+IF(GENERAL!AJ84=GENERAL!$AI$2,GENERAL!$AI$2,CONCATENATE(OBSERVACIONES!AI83,"
ESTADO DE POSTVENTAS:  ",GENERAL!AJ84))</f>
        <v>OK
ESTADO DE POSTVENTAS:  POSTVENTA CORREGIDA</v>
      </c>
      <c r="AL83" s="51" t="str">
        <f>+IF(GENERAL!AK84=GENERAL!$AI$2,GENERAL!$AI$2,CONCATENATE(OBSERVACIONES!AJ83,"
ESTADO DE POSTVENTAS:  ",GENERAL!AK84))</f>
        <v>OK
ESTADO DE POSTVENTAS:  POSTVENTA CORREGIDA</v>
      </c>
      <c r="AM83" s="51" t="str">
        <f>+IF(GENERAL!AN84=GENERAL!$AI$2,GENERAL!$AI$2,CONCATENATE(OBSERVACIONES!AM83,"
ESTADO DE POSTVENTAS:  ",GENERAL!AN84))</f>
        <v>OK
ESTADO DE POSTVENTAS:  POSTVENTA CORREGIDA</v>
      </c>
      <c r="AN83" s="37">
        <v>0</v>
      </c>
      <c r="AO83" s="37">
        <v>11</v>
      </c>
      <c r="AP83" s="37">
        <v>3</v>
      </c>
      <c r="AQ83" s="37">
        <v>0</v>
      </c>
      <c r="AR83" s="43">
        <v>14</v>
      </c>
      <c r="AS83" s="40">
        <v>12</v>
      </c>
      <c r="AT83" s="37">
        <f>COUNTIFS($D$5:$AM$5,"&lt;&gt;"&amp;CODICIONALES!$A$1,$D$5:$AM$5,"&lt;&gt;"&amp;CODICIONALES!$A$2,$D$5:$AM$5,"&lt;&gt;"&amp;CODICIONALES!$B$2,$D$5:$AM$5,"&lt;&gt;"&amp;CODICIONALES!$C$2)</f>
        <v>6</v>
      </c>
      <c r="AU83" s="43">
        <f>COUNTIFS(D83:AM83,CODICIONALES!$A$2)</f>
        <v>34</v>
      </c>
      <c r="AV83" s="40">
        <f t="shared" si="1"/>
        <v>-4</v>
      </c>
    </row>
    <row r="84" spans="1:48" ht="51" customHeight="1" x14ac:dyDescent="0.25">
      <c r="A84" s="110"/>
      <c r="B84" s="2">
        <v>80</v>
      </c>
      <c r="C84" s="20" t="s">
        <v>42</v>
      </c>
      <c r="D84" s="51" t="str">
        <f>+IF(GENERAL!E85=GENERAL!$AI$2,GENERAL!$AI$2,CONCATENATE(OBSERVACIONES!D84,"
ESTADO DE POSTVENTAS:  ",GENERAL!E85))</f>
        <v>NO ENTREGADO
ESTADO DE POSTVENTAS:  TIENE POSTVENTA</v>
      </c>
      <c r="E84" s="51" t="str">
        <f>+IF(GENERAL!F85=GENERAL!$AI$2,GENERAL!$AI$2,CONCATENATE(OBSERVACIONES!E84,"
ESTADO DE POSTVENTAS:  ",GENERAL!F85))</f>
        <v>OK
ESTADO DE POSTVENTAS:  POSTVENTA CORREGIDA</v>
      </c>
      <c r="F84" s="51" t="str">
        <f>+IF(GENERAL!G85=GENERAL!$AI$2,GENERAL!$AI$2,CONCATENATE(OBSERVACIONES!F84,"
ESTADO DE POSTVENTAS:  ",GENERAL!G85))</f>
        <v>OK
ESTADO DE POSTVENTAS:  POSTVENTA CORREGIDA</v>
      </c>
      <c r="G84" s="51" t="str">
        <f>+IF(GENERAL!H85=GENERAL!$AI$2,GENERAL!$AI$2,CONCATENATE(OBSERVACIONES!G84,"
ESTADO DE POSTVENTAS:  ",GENERAL!H85))</f>
        <v>NO ENTREGADO
ESTADO DE POSTVENTAS:  TIENE POSTVENTA</v>
      </c>
      <c r="H84" s="51" t="str">
        <f>+IF(GENERAL!I85=GENERAL!$AI$2,GENERAL!$AI$2,CONCATENATE(OBSERVACIONES!H84,"
ESTADO DE POSTVENTAS:  ",GENERAL!I85))</f>
        <v>OK
ESTADO DE POSTVENTAS:  POSTVENTA CORREGIDA</v>
      </c>
      <c r="I84" s="51" t="str">
        <f>+IF(GENERAL!J85=GENERAL!$AI$2,GENERAL!$AI$2,CONCATENATE(OBSERVACIONES!I84,"
ESTADO DE POSTVENTAS:  ",GENERAL!J85))</f>
        <v>OK
ESTADO DE POSTVENTAS:  POSTVENTA CORREGIDA</v>
      </c>
      <c r="J84" s="51" t="str">
        <f>+IF(GENERAL!K85=GENERAL!$AI$2,GENERAL!$AI$2,CONCATENATE(OBSERVACIONES!J84,"
ESTADO DE POSTVENTAS:  ",GENERAL!K85))</f>
        <v>OK
ESTADO DE POSTVENTAS:  POSTVENTA CORREGIDA</v>
      </c>
      <c r="K84" s="51" t="str">
        <f>+IF(GENERAL!L85=GENERAL!$AI$2,GENERAL!$AI$2,CONCATENATE(OBSERVACIONES!K84,"
ESTADO DE POSTVENTAS:  ",GENERAL!L85))</f>
        <v>OK
ESTADO DE POSTVENTAS:  POSTVENTA CORREGIDA</v>
      </c>
      <c r="L84" s="51" t="str">
        <f>+IF(GENERAL!M85=GENERAL!$AI$2,GENERAL!$AI$2,CONCATENATE(OBSERVACIONES!L84,"
ESTADO DE POSTVENTAS:  ",GENERAL!M85))</f>
        <v>OK
ESTADO DE POSTVENTAS:  POSTVENTA CORREGIDA</v>
      </c>
      <c r="M84" s="70" t="str">
        <f>+IF(GENERAL!N85=GENERAL!$AI$2,GENERAL!$AI$2,CONCATENATE(OBSERVACIONES!M84,"
ESTADO DE POSTVENTAS:  ",GENERAL!N85))</f>
        <v>OK
ESTADO DE POSTVENTAS:  POSTVENTA CORREGIDA</v>
      </c>
      <c r="N84" s="51" t="str">
        <f>+IF(GENERAL!O85=GENERAL!$AI$2,GENERAL!$AI$2,CONCATENATE(OBSERVACIONES!N84,"
ESTADO DE POSTVENTAS:  ",GENERAL!O85))</f>
        <v>OK
ESTADO DE POSTVENTAS:  POSTVENTA CORREGIDA</v>
      </c>
      <c r="O84" s="51" t="str">
        <f>+IF(GENERAL!P85=GENERAL!$AI$2,GENERAL!$AI$2,CONCATENATE(OBSERVACIONES!O84,"
ESTADO DE POSTVENTAS:  ",GENERAL!P85))</f>
        <v>OK
ESTADO DE POSTVENTAS:  POSTVENTA CORREGIDA</v>
      </c>
      <c r="P84" s="70" t="str">
        <f>+IF(GENERAL!Q85=GENERAL!$AI$2,GENERAL!$AI$2,CONCATENATE(OBSERVACIONES!P84,"
ESTADO DE POSTVENTAS:  ",GENERAL!Q85))</f>
        <v>OK
ESTADO DE POSTVENTAS:  POSTVENTA CORREGIDA</v>
      </c>
      <c r="Q84" s="70" t="str">
        <f>+IF(GENERAL!R85=GENERAL!$AI$2,GENERAL!$AI$2,CONCATENATE(OBSERVACIONES!Q84,"
ESTADO DE POSTVENTAS:  ",GENERAL!R85))</f>
        <v>OK
ESTADO DE POSTVENTAS:  POSTVENTA CORREGIDA</v>
      </c>
      <c r="R84" s="51" t="str">
        <f>+IF(GENERAL!S85=GENERAL!$AI$2,GENERAL!$AI$2,CONCATENATE(OBSERVACIONES!R84,"
ESTADO DE POSTVENTAS:  ",GENERAL!S85))</f>
        <v>OK
ESTADO DE POSTVENTAS:  POSTVENTA CORREGIDA</v>
      </c>
      <c r="S84" s="51" t="str">
        <f>+IF(GENERAL!T85=GENERAL!$AI$2,GENERAL!$AI$2,CONCATENATE(OBSERVACIONES!S84,"
ESTADO DE POSTVENTAS:  ",GENERAL!T85))</f>
        <v>OK
ESTADO DE POSTVENTAS:  POSTVENTA CORREGIDA</v>
      </c>
      <c r="T84" s="51" t="str">
        <f>+IF(GENERAL!U85=GENERAL!$AI$2,GENERAL!$AI$2,CONCATENATE(OBSERVACIONES!T84,"
ESTADO DE POSTVENTAS:  ",GENERAL!U85))</f>
        <v>OK
ESTADO DE POSTVENTAS:  POSTVENTA CORREGIDA</v>
      </c>
      <c r="U84" s="51" t="str">
        <f>+IF(GENERAL!V85=GENERAL!$AI$2,GENERAL!$AI$2,CONCATENATE(OBSERVACIONES!U84,"
ESTADO DE POSTVENTAS:  ",GENERAL!V85))</f>
        <v>OK
ESTADO DE POSTVENTAS:  POSTVENTA CORREGIDA</v>
      </c>
      <c r="V84" s="51" t="str">
        <f>+IF(GENERAL!W85=GENERAL!$AI$2,GENERAL!$AI$2,CONCATENATE(OBSERVACIONES!V84,"
ESTADO DE POSTVENTAS:  ",GENERAL!W85))</f>
        <v>OK
ESTADO DE POSTVENTAS:  POSTVENTA CORREGIDA</v>
      </c>
      <c r="W84" s="51" t="str">
        <f>+IF(GENERAL!V85=GENERAL!$AI$2,GENERAL!$AI$2,CONCATENATE(OBSERVACIONES!W84,"
ESTADO DE POSTVENTAS:  ",GENERAL!V85))</f>
        <v>OK
ESTADO DE POSTVENTAS:  POSTVENTA CORREGIDA</v>
      </c>
      <c r="X84" s="51" t="str">
        <f>+IF(GENERAL!W85=GENERAL!$AI$2,GENERAL!$AI$2,CONCATENATE(OBSERVACIONES!X84,"
ESTADO DE POSTVENTAS:  ",GENERAL!W85))</f>
        <v>OK
ESTADO DE POSTVENTAS:  POSTVENTA CORREGIDA</v>
      </c>
      <c r="Y84" s="51" t="str">
        <f>+IF(GENERAL!Z85=GENERAL!$AI$2,GENERAL!$AI$2,CONCATENATE(OBSERVACIONES!Y84,"
ESTADO DE POSTVENTAS:  ",GENERAL!Z85))</f>
        <v>OK
ESTADO DE POSTVENTAS:  POSTVENTA CORREGIDA</v>
      </c>
      <c r="Z84" s="51" t="str">
        <f>+IF(GENERAL!AA85=GENERAL!$AI$2,GENERAL!$AI$2,CONCATENATE(OBSERVACIONES!Z84,"
ESTADO DE POSTVENTAS:  ",GENERAL!AA85))</f>
        <v>OK
ESTADO DE POSTVENTAS:  POSTVENTA CORREGIDA</v>
      </c>
      <c r="AA84" s="51" t="str">
        <f>+IF(GENERAL!AB85=GENERAL!$AI$2,GENERAL!$AI$2,CONCATENATE(OBSERVACIONES!AA84,"
ESTADO DE POSTVENTAS:  ",GENERAL!AB85))</f>
        <v>OK
ESTADO DE POSTVENTAS:  POSTVENTA CORREGIDA</v>
      </c>
      <c r="AB84" s="51" t="str">
        <f>+IF(GENERAL!AC85=GENERAL!$AI$2,GENERAL!$AI$2,CONCATENATE(OBSERVACIONES!AB84,"
ESTADO DE POSTVENTAS:  ",GENERAL!AC85))</f>
        <v>OK
ESTADO DE POSTVENTAS:  POSTVENTA CORREGIDA</v>
      </c>
      <c r="AC84" s="51" t="str">
        <f>+IF(GENERAL!AD85=GENERAL!$AI$2,GENERAL!$AI$2,CONCATENATE(OBSERVACIONES!AC84,"
ESTADO DE POSTVENTAS:  ",GENERAL!AD85))</f>
        <v>OK
ESTADO DE POSTVENTAS:  POSTVENTA CORREGIDA</v>
      </c>
      <c r="AD84" s="51" t="str">
        <f>+IF(GENERAL!AE85=GENERAL!$AI$2,GENERAL!$AI$2,CONCATENATE(OBSERVACIONES!AD84,"
ESTADO DE POSTVENTAS:  ",GENERAL!AE85))</f>
        <v>OK
ESTADO DE POSTVENTAS:  POSTVENTA CORREGIDA</v>
      </c>
      <c r="AE84" s="51" t="str">
        <f>+IF(GENERAL!AF85=GENERAL!$AI$2,GENERAL!$AI$2,CONCATENATE(OBSERVACIONES!AE84,"
ESTADO DE POSTVENTAS:  ",GENERAL!AF85))</f>
        <v>OK
ESTADO DE POSTVENTAS:  POSTVENTA CORREGIDA</v>
      </c>
      <c r="AF84" s="51" t="str">
        <f>+IF(GENERAL!AG85=GENERAL!$AI$2,GENERAL!$AI$2,CONCATENATE(OBSERVACIONES!AF84,"
ESTADO DE POSTVENTAS:  ",GENERAL!AG85))</f>
        <v>OK
ESTADO DE POSTVENTAS:  POSTVENTA CORREGIDA</v>
      </c>
      <c r="AG84" s="51" t="str">
        <f>+IF(GENERAL!AH85=GENERAL!$AI$2,GENERAL!$AI$2,CONCATENATE(OBSERVACIONES!AG84,"
ESTADO DE POSTVENTAS:  ",GENERAL!AH85))</f>
        <v>OK
ESTADO DE POSTVENTAS:  POSTVENTA CORREGIDA</v>
      </c>
      <c r="AH84" s="51" t="str">
        <f>+IF(GENERAL!AI85=GENERAL!$AI$2,GENERAL!$AI$2,CONCATENATE(OBSERVACIONES!AH84,"
ESTADO DE POSTVENTAS:  ",GENERAL!AI85))</f>
        <v>OK
ESTADO DE POSTVENTAS:  POSTVENTA CORREGIDA</v>
      </c>
      <c r="AI84" s="51" t="str">
        <f>+IF(GENERAL!AG85=GENERAL!$AI$2,GENERAL!$AI$2,CONCATENATE(OBSERVACIONES!AF84,"
ESTADO DE POSTVENTAS:  ",GENERAL!AG85))</f>
        <v>OK
ESTADO DE POSTVENTAS:  POSTVENTA CORREGIDA</v>
      </c>
      <c r="AJ84" s="51" t="str">
        <f>+IF(GENERAL!AI85=GENERAL!$AI$2,GENERAL!$AI$2,CONCATENATE(OBSERVACIONES!AH84,"
ESTADO DE POSTVENTAS:  ",GENERAL!AI85))</f>
        <v>OK
ESTADO DE POSTVENTAS:  POSTVENTA CORREGIDA</v>
      </c>
      <c r="AK84" s="51" t="str">
        <f>+IF(GENERAL!AJ85=GENERAL!$AI$2,GENERAL!$AI$2,CONCATENATE(OBSERVACIONES!AI84,"
ESTADO DE POSTVENTAS:  ",GENERAL!AJ85))</f>
        <v>OK
ESTADO DE POSTVENTAS:  POSTVENTA CORREGIDA</v>
      </c>
      <c r="AL84" s="51" t="str">
        <f>+IF(GENERAL!AK85=GENERAL!$AI$2,GENERAL!$AI$2,CONCATENATE(OBSERVACIONES!AJ84,"
ESTADO DE POSTVENTAS:  ",GENERAL!AK85))</f>
        <v>OK
ESTADO DE POSTVENTAS:  POSTVENTA CORREGIDA</v>
      </c>
      <c r="AM84" s="51" t="str">
        <f>+IF(GENERAL!AN85=GENERAL!$AI$2,GENERAL!$AI$2,CONCATENATE(OBSERVACIONES!AM84,"
ESTADO DE POSTVENTAS:  ",GENERAL!AN85))</f>
        <v>OK
ESTADO DE POSTVENTAS:  POSTVENTA CORREGIDA</v>
      </c>
      <c r="AN84" s="37">
        <v>0</v>
      </c>
      <c r="AO84" s="37">
        <v>11</v>
      </c>
      <c r="AP84" s="37">
        <v>3</v>
      </c>
      <c r="AQ84" s="37">
        <v>0</v>
      </c>
      <c r="AR84" s="43">
        <v>14</v>
      </c>
      <c r="AS84" s="40">
        <v>12</v>
      </c>
      <c r="AT84" s="37">
        <f>COUNTIFS($D$5:$AM$5,"&lt;&gt;"&amp;CODICIONALES!$A$1,$D$5:$AM$5,"&lt;&gt;"&amp;CODICIONALES!$A$2,$D$5:$AM$5,"&lt;&gt;"&amp;CODICIONALES!$B$2,$D$5:$AM$5,"&lt;&gt;"&amp;CODICIONALES!$C$2)</f>
        <v>6</v>
      </c>
      <c r="AU84" s="43">
        <f>COUNTIFS(D84:AM84,CODICIONALES!$A$2)</f>
        <v>34</v>
      </c>
      <c r="AV84" s="40">
        <f t="shared" si="1"/>
        <v>-4</v>
      </c>
    </row>
    <row r="85" spans="1:48" ht="51" customHeight="1" x14ac:dyDescent="0.25">
      <c r="A85" s="110"/>
      <c r="B85" s="2">
        <v>81</v>
      </c>
      <c r="C85" s="21" t="s">
        <v>45</v>
      </c>
      <c r="D85" s="51" t="str">
        <f>+IF(GENERAL!E86=GENERAL!$AI$2,GENERAL!$AI$2,CONCATENATE(OBSERVACIONES!D85,"
ESTADO DE POSTVENTAS:  ",GENERAL!E86))</f>
        <v>NO ENTREGADO
ESTADO DE POSTVENTAS:  TIENE POSTVENTA</v>
      </c>
      <c r="E85" s="51" t="str">
        <f>+IF(GENERAL!F86=GENERAL!$AI$2,GENERAL!$AI$2,CONCATENATE(OBSERVACIONES!E85,"
ESTADO DE POSTVENTAS:  ",GENERAL!F86))</f>
        <v>OK
ESTADO DE POSTVENTAS:  POSTVENTA CORREGIDA</v>
      </c>
      <c r="F85" s="51" t="str">
        <f>+IF(GENERAL!G86=GENERAL!$AI$2,GENERAL!$AI$2,CONCATENATE(OBSERVACIONES!F85,"
ESTADO DE POSTVENTAS:  ",GENERAL!G86))</f>
        <v>OK
ESTADO DE POSTVENTAS:  POSTVENTA CORREGIDA</v>
      </c>
      <c r="G85" s="51" t="str">
        <f>+IF(GENERAL!H86=GENERAL!$AI$2,GENERAL!$AI$2,CONCATENATE(OBSERVACIONES!G85,"
ESTADO DE POSTVENTAS:  ",GENERAL!H86))</f>
        <v>NO ENTREGADO
ESTADO DE POSTVENTAS:  TIENE POSTVENTA</v>
      </c>
      <c r="H85" s="51" t="str">
        <f>+IF(GENERAL!I86=GENERAL!$AI$2,GENERAL!$AI$2,CONCATENATE(OBSERVACIONES!H85,"
ESTADO DE POSTVENTAS:  ",GENERAL!I86))</f>
        <v>OK
ESTADO DE POSTVENTAS:  POSTVENTA CORREGIDA</v>
      </c>
      <c r="I85" s="51" t="str">
        <f>+IF(GENERAL!J86=GENERAL!$AI$2,GENERAL!$AI$2,CONCATENATE(OBSERVACIONES!I85,"
ESTADO DE POSTVENTAS:  ",GENERAL!J86))</f>
        <v>OK
ESTADO DE POSTVENTAS:  POSTVENTA CORREGIDA</v>
      </c>
      <c r="J85" s="51" t="str">
        <f>+IF(GENERAL!K86=GENERAL!$AI$2,GENERAL!$AI$2,CONCATENATE(OBSERVACIONES!J85,"
ESTADO DE POSTVENTAS:  ",GENERAL!K86))</f>
        <v>OK
ESTADO DE POSTVENTAS:  POSTVENTA CORREGIDA</v>
      </c>
      <c r="K85" s="51" t="str">
        <f>+IF(GENERAL!L86=GENERAL!$AI$2,GENERAL!$AI$2,CONCATENATE(OBSERVACIONES!K85,"
ESTADO DE POSTVENTAS:  ",GENERAL!L86))</f>
        <v>OK
ESTADO DE POSTVENTAS:  POSTVENTA CORREGIDA</v>
      </c>
      <c r="L85" s="51" t="str">
        <f>+IF(GENERAL!M86=GENERAL!$AI$2,GENERAL!$AI$2,CONCATENATE(OBSERVACIONES!L85,"
ESTADO DE POSTVENTAS:  ",GENERAL!M86))</f>
        <v>OK
ESTADO DE POSTVENTAS:  POSTVENTA CORREGIDA</v>
      </c>
      <c r="M85" s="70" t="str">
        <f>+IF(GENERAL!N86=GENERAL!$AI$2,GENERAL!$AI$2,CONCATENATE(OBSERVACIONES!M85,"
ESTADO DE POSTVENTAS:  ",GENERAL!N86))</f>
        <v>OK
ESTADO DE POSTVENTAS:  POSTVENTA CORREGIDA</v>
      </c>
      <c r="N85" s="51" t="str">
        <f>+IF(GENERAL!O86=GENERAL!$AI$2,GENERAL!$AI$2,CONCATENATE(OBSERVACIONES!N85,"
ESTADO DE POSTVENTAS:  ",GENERAL!O86))</f>
        <v>OK
ESTADO DE POSTVENTAS:  POSTVENTA CORREGIDA</v>
      </c>
      <c r="O85" s="51" t="str">
        <f>+IF(GENERAL!P86=GENERAL!$AI$2,GENERAL!$AI$2,CONCATENATE(OBSERVACIONES!O85,"
ESTADO DE POSTVENTAS:  ",GENERAL!P86))</f>
        <v>OK
ESTADO DE POSTVENTAS:  POSTVENTA CORREGIDA</v>
      </c>
      <c r="P85" s="70" t="str">
        <f>+IF(GENERAL!Q86=GENERAL!$AI$2,GENERAL!$AI$2,CONCATENATE(OBSERVACIONES!P85,"
ESTADO DE POSTVENTAS:  ",GENERAL!Q86))</f>
        <v>OK
ESTADO DE POSTVENTAS:  POSTVENTA CORREGIDA</v>
      </c>
      <c r="Q85" s="70" t="str">
        <f>+IF(GENERAL!R86=GENERAL!$AI$2,GENERAL!$AI$2,CONCATENATE(OBSERVACIONES!Q85,"
ESTADO DE POSTVENTAS:  ",GENERAL!R86))</f>
        <v>OK
ESTADO DE POSTVENTAS:  POSTVENTA CORREGIDA</v>
      </c>
      <c r="R85" s="51" t="str">
        <f>+IF(GENERAL!S86=GENERAL!$AI$2,GENERAL!$AI$2,CONCATENATE(OBSERVACIONES!R85,"
ESTADO DE POSTVENTAS:  ",GENERAL!S86))</f>
        <v>OK
ESTADO DE POSTVENTAS:  POSTVENTA CORREGIDA</v>
      </c>
      <c r="S85" s="51" t="str">
        <f>+IF(GENERAL!T86=GENERAL!$AI$2,GENERAL!$AI$2,CONCATENATE(OBSERVACIONES!S85,"
ESTADO DE POSTVENTAS:  ",GENERAL!T86))</f>
        <v>OK
ESTADO DE POSTVENTAS:  POSTVENTA CORREGIDA</v>
      </c>
      <c r="T85" s="51" t="str">
        <f>+IF(GENERAL!U86=GENERAL!$AI$2,GENERAL!$AI$2,CONCATENATE(OBSERVACIONES!T85,"
ESTADO DE POSTVENTAS:  ",GENERAL!U86))</f>
        <v>OK
ESTADO DE POSTVENTAS:  POSTVENTA CORREGIDA</v>
      </c>
      <c r="U85" s="70" t="str">
        <f>+IF(GENERAL!V86=GENERAL!$AI$2,GENERAL!$AI$2,CONCATENATE(OBSERVACIONES!U85,"
ESTADO DE POSTVENTAS:  ",GENERAL!V86))</f>
        <v>DETALLE CAMBIO
ESTADO DE POSTVENTAS:  TIENE POSTVENTA</v>
      </c>
      <c r="V85" s="51" t="str">
        <f>+IF(GENERAL!W86=GENERAL!$AI$2,GENERAL!$AI$2,CONCATENATE(OBSERVACIONES!V85,"
ESTADO DE POSTVENTAS:  ",GENERAL!W86))</f>
        <v>OK
ESTADO DE POSTVENTAS:  POSTVENTA CORREGIDA</v>
      </c>
      <c r="W85" s="70" t="str">
        <f>+IF(GENERAL!V86=GENERAL!$AI$2,GENERAL!$AI$2,CONCATENATE(OBSERVACIONES!W85,"
ESTADO DE POSTVENTAS:  ",GENERAL!V86))</f>
        <v>OK
ESTADO DE POSTVENTAS:  TIENE POSTVENTA</v>
      </c>
      <c r="X85" s="51" t="str">
        <f>+IF(GENERAL!W86=GENERAL!$AI$2,GENERAL!$AI$2,CONCATENATE(OBSERVACIONES!X85,"
ESTADO DE POSTVENTAS:  ",GENERAL!W86))</f>
        <v>OK
ESTADO DE POSTVENTAS:  POSTVENTA CORREGIDA</v>
      </c>
      <c r="Y85" s="51" t="str">
        <f>+IF(GENERAL!Z86=GENERAL!$AI$2,GENERAL!$AI$2,CONCATENATE(OBSERVACIONES!Y85,"
ESTADO DE POSTVENTAS:  ",GENERAL!Z86))</f>
        <v>OK
ESTADO DE POSTVENTAS:  POSTVENTA CORREGIDA</v>
      </c>
      <c r="Z85" s="70" t="str">
        <f>+IF(GENERAL!AA86=GENERAL!$AI$2,GENERAL!$AI$2,CONCATENATE(OBSERVACIONES!Z85,"
ESTADO DE POSTVENTAS:  ",GENERAL!AA86))</f>
        <v>DETALLE CAMBIO
ESTADO DE POSTVENTAS:  TIENE POSTVENTA</v>
      </c>
      <c r="AA85" s="51" t="str">
        <f>+IF(GENERAL!AB86=GENERAL!$AI$2,GENERAL!$AI$2,CONCATENATE(OBSERVACIONES!AA85,"
ESTADO DE POSTVENTAS:  ",GENERAL!AB86))</f>
        <v>OK
ESTADO DE POSTVENTAS:  POSTVENTA CORREGIDA</v>
      </c>
      <c r="AB85" s="51" t="str">
        <f>+IF(GENERAL!AC86=GENERAL!$AI$2,GENERAL!$AI$2,CONCATENATE(OBSERVACIONES!AB85,"
ESTADO DE POSTVENTAS:  ",GENERAL!AC86))</f>
        <v>OK
ESTADO DE POSTVENTAS:  POSTVENTA CORREGIDA</v>
      </c>
      <c r="AC85" s="51" t="str">
        <f>+IF(GENERAL!AD86=GENERAL!$AI$2,GENERAL!$AI$2,CONCATENATE(OBSERVACIONES!AC85,"
ESTADO DE POSTVENTAS:  ",GENERAL!AD86))</f>
        <v>OK
ESTADO DE POSTVENTAS:  POSTVENTA CORREGIDA</v>
      </c>
      <c r="AD85" s="51" t="str">
        <f>+IF(GENERAL!AE86=GENERAL!$AI$2,GENERAL!$AI$2,CONCATENATE(OBSERVACIONES!AD85,"
ESTADO DE POSTVENTAS:  ",GENERAL!AE86))</f>
        <v>OK
ESTADO DE POSTVENTAS:  POSTVENTA CORREGIDA</v>
      </c>
      <c r="AE85" s="51" t="str">
        <f>+IF(GENERAL!AF86=GENERAL!$AI$2,GENERAL!$AI$2,CONCATENATE(OBSERVACIONES!AE85,"
ESTADO DE POSTVENTAS:  ",GENERAL!AF86))</f>
        <v>OK
ESTADO DE POSTVENTAS:  POSTVENTA CORREGIDA</v>
      </c>
      <c r="AF85" s="51" t="str">
        <f>+IF(GENERAL!AG86=GENERAL!$AI$2,GENERAL!$AI$2,CONCATENATE(OBSERVACIONES!AF85,"
ESTADO DE POSTVENTAS:  ",GENERAL!AG86))</f>
        <v>OK
ESTADO DE POSTVENTAS:  POSTVENTA CORREGIDA</v>
      </c>
      <c r="AG85" s="51" t="str">
        <f>+IF(GENERAL!AH86=GENERAL!$AI$2,GENERAL!$AI$2,CONCATENATE(OBSERVACIONES!AG85,"
ESTADO DE POSTVENTAS:  ",GENERAL!AH86))</f>
        <v>DETALLES LUCES
ESTADO DE POSTVENTAS:  TIENE POSTVENTA</v>
      </c>
      <c r="AH85" s="51" t="str">
        <f>+IF(GENERAL!AI86=GENERAL!$AI$2,GENERAL!$AI$2,CONCATENATE(OBSERVACIONES!AH85,"
ESTADO DE POSTVENTAS:  ",GENERAL!AI86))</f>
        <v>OK
ESTADO DE POSTVENTAS:  POSTVENTA CORREGIDA</v>
      </c>
      <c r="AI85" s="51" t="str">
        <f>+IF(GENERAL!AG86=GENERAL!$AI$2,GENERAL!$AI$2,CONCATENATE(OBSERVACIONES!AF85,"
ESTADO DE POSTVENTAS:  ",GENERAL!AG86))</f>
        <v>OK
ESTADO DE POSTVENTAS:  POSTVENTA CORREGIDA</v>
      </c>
      <c r="AJ85" s="51" t="str">
        <f>+IF(GENERAL!AI86=GENERAL!$AI$2,GENERAL!$AI$2,CONCATENATE(OBSERVACIONES!AH85,"
ESTADO DE POSTVENTAS:  ",GENERAL!AI86))</f>
        <v>OK
ESTADO DE POSTVENTAS:  POSTVENTA CORREGIDA</v>
      </c>
      <c r="AK85" s="51" t="str">
        <f>+IF(GENERAL!AJ86=GENERAL!$AI$2,GENERAL!$AI$2,CONCATENATE(OBSERVACIONES!AI85,"
ESTADO DE POSTVENTAS:  ",GENERAL!AJ86))</f>
        <v>OK
ESTADO DE POSTVENTAS:  POSTVENTA CORREGIDA</v>
      </c>
      <c r="AL85" s="51" t="str">
        <f>+IF(GENERAL!AK86=GENERAL!$AI$2,GENERAL!$AI$2,CONCATENATE(OBSERVACIONES!AJ85,"
ESTADO DE POSTVENTAS:  ",GENERAL!AK86))</f>
        <v>OK
ESTADO DE POSTVENTAS:  POSTVENTA CORREGIDA</v>
      </c>
      <c r="AM85" s="51" t="str">
        <f>+IF(GENERAL!AN86=GENERAL!$AI$2,GENERAL!$AI$2,CONCATENATE(OBSERVACIONES!AM85,"
ESTADO DE POSTVENTAS:  ",GENERAL!AN86))</f>
        <v>OK
ESTADO DE POSTVENTAS:  POSTVENTA CORREGIDA</v>
      </c>
      <c r="AN85" s="37">
        <v>1</v>
      </c>
      <c r="AO85" s="37">
        <v>10</v>
      </c>
      <c r="AP85" s="37">
        <v>3</v>
      </c>
      <c r="AQ85" s="37">
        <v>0</v>
      </c>
      <c r="AR85" s="43">
        <v>14</v>
      </c>
      <c r="AS85" s="40">
        <v>12</v>
      </c>
      <c r="AT85" s="37">
        <f>COUNTIFS($D$5:$AM$5,"&lt;&gt;"&amp;CODICIONALES!$A$1,$D$5:$AM$5,"&lt;&gt;"&amp;CODICIONALES!$A$2,$D$5:$AM$5,"&lt;&gt;"&amp;CODICIONALES!$B$2,$D$5:$AM$5,"&lt;&gt;"&amp;CODICIONALES!$C$2)</f>
        <v>6</v>
      </c>
      <c r="AU85" s="43">
        <f>COUNTIFS(D85:AM85,CODICIONALES!$A$2)</f>
        <v>30</v>
      </c>
      <c r="AV85" s="40">
        <f t="shared" si="1"/>
        <v>0</v>
      </c>
    </row>
    <row r="86" spans="1:48" ht="51" customHeight="1" x14ac:dyDescent="0.25">
      <c r="A86" s="110"/>
      <c r="B86" s="2">
        <v>82</v>
      </c>
      <c r="C86" s="21" t="s">
        <v>46</v>
      </c>
      <c r="D86" s="51" t="str">
        <f>+IF(GENERAL!E87=GENERAL!$AI$2,GENERAL!$AI$2,CONCATENATE(OBSERVACIONES!D86,"
ESTADO DE POSTVENTAS:  ",GENERAL!E87))</f>
        <v>NO ENTREGADO
ESTADO DE POSTVENTAS:  TIENE POSTVENTA</v>
      </c>
      <c r="E86" s="70" t="str">
        <f>+IF(GENERAL!F87=GENERAL!$AI$2,GENERAL!$AI$2,CONCATENATE(OBSERVACIONES!E86,"
ESTADO DE POSTVENTAS:  ",GENERAL!F87))</f>
        <v>OK
ESTADO DE POSTVENTAS:  POSTVENTA CORREGIDA</v>
      </c>
      <c r="F86" s="51" t="str">
        <f>+IF(GENERAL!G87=GENERAL!$AI$2,GENERAL!$AI$2,CONCATENATE(OBSERVACIONES!F86,"
ESTADO DE POSTVENTAS:  ",GENERAL!G87))</f>
        <v>OK
ESTADO DE POSTVENTAS:  POSTVENTA CORREGIDA</v>
      </c>
      <c r="G86" s="51" t="str">
        <f>+IF(GENERAL!H87=GENERAL!$AI$2,GENERAL!$AI$2,CONCATENATE(OBSERVACIONES!G86,"
ESTADO DE POSTVENTAS:  ",GENERAL!H87))</f>
        <v>NO ENTREGADO
ESTADO DE POSTVENTAS:  TIENE POSTVENTA</v>
      </c>
      <c r="H86" s="51" t="str">
        <f>+IF(GENERAL!I87=GENERAL!$AI$2,GENERAL!$AI$2,CONCATENATE(OBSERVACIONES!H86,"
ESTADO DE POSTVENTAS:  ",GENERAL!I87))</f>
        <v>OK
ESTADO DE POSTVENTAS:  POSTVENTA CORREGIDA</v>
      </c>
      <c r="I86" s="51" t="str">
        <f>+IF(GENERAL!J87=GENERAL!$AI$2,GENERAL!$AI$2,CONCATENATE(OBSERVACIONES!I86,"
ESTADO DE POSTVENTAS:  ",GENERAL!J87))</f>
        <v>OK
ESTADO DE POSTVENTAS:  POSTVENTA CORREGIDA</v>
      </c>
      <c r="J86" s="51" t="str">
        <f>+IF(GENERAL!K87=GENERAL!$AI$2,GENERAL!$AI$2,CONCATENATE(OBSERVACIONES!J86,"
ESTADO DE POSTVENTAS:  ",GENERAL!K87))</f>
        <v>OK
ESTADO DE POSTVENTAS:  POSTVENTA CORREGIDA</v>
      </c>
      <c r="K86" s="51" t="str">
        <f>+IF(GENERAL!L87=GENERAL!$AI$2,GENERAL!$AI$2,CONCATENATE(OBSERVACIONES!K86,"
ESTADO DE POSTVENTAS:  ",GENERAL!L87))</f>
        <v>OK
ESTADO DE POSTVENTAS:  POSTVENTA CORREGIDA</v>
      </c>
      <c r="L86" s="51" t="str">
        <f>+IF(GENERAL!M87=GENERAL!$AI$2,GENERAL!$AI$2,CONCATENATE(OBSERVACIONES!L86,"
ESTADO DE POSTVENTAS:  ",GENERAL!M87))</f>
        <v>OK
ESTADO DE POSTVENTAS:  POSTVENTA CORREGIDA</v>
      </c>
      <c r="M86" s="70" t="str">
        <f>+IF(GENERAL!N87=GENERAL!$AI$2,GENERAL!$AI$2,CONCATENATE(OBSERVACIONES!M86,"
ESTADO DE POSTVENTAS:  ",GENERAL!N87))</f>
        <v>DDETALLE ACABADO
ESTADO DE POSTVENTAS:  TIENE POSTVENTA</v>
      </c>
      <c r="N86" s="51" t="str">
        <f>+IF(GENERAL!O87=GENERAL!$AI$2,GENERAL!$AI$2,CONCATENATE(OBSERVACIONES!N86,"
ESTADO DE POSTVENTAS:  ",GENERAL!O87))</f>
        <v>OK
ESTADO DE POSTVENTAS:  POSTVENTA CORREGIDA</v>
      </c>
      <c r="O86" s="51" t="str">
        <f>+IF(GENERAL!P87=GENERAL!$AI$2,GENERAL!$AI$2,CONCATENATE(OBSERVACIONES!O86,"
ESTADO DE POSTVENTAS:  ",GENERAL!P87))</f>
        <v>OK
ESTADO DE POSTVENTAS:  POSTVENTA CORREGIDA</v>
      </c>
      <c r="P86" s="70" t="str">
        <f>+IF(GENERAL!Q87=GENERAL!$AI$2,GENERAL!$AI$2,CONCATENATE(OBSERVACIONES!P86,"
ESTADO DE POSTVENTAS:  ",GENERAL!Q87))</f>
        <v>OK
ESTADO DE POSTVENTAS:  POSTVENTA CORREGIDA</v>
      </c>
      <c r="Q86" s="70" t="str">
        <f>+IF(GENERAL!R87=GENERAL!$AI$2,GENERAL!$AI$2,CONCATENATE(OBSERVACIONES!Q86,"
ESTADO DE POSTVENTAS:  ",GENERAL!R87))</f>
        <v>OK
ESTADO DE POSTVENTAS:  POSTVENTA CORREGIDA</v>
      </c>
      <c r="R86" s="51" t="str">
        <f>+IF(GENERAL!S87=GENERAL!$AI$2,GENERAL!$AI$2,CONCATENATE(OBSERVACIONES!R86,"
ESTADO DE POSTVENTAS:  ",GENERAL!S87))</f>
        <v>OK
ESTADO DE POSTVENTAS:  POSTVENTA CORREGIDA</v>
      </c>
      <c r="S86" s="51" t="str">
        <f>+IF(GENERAL!T87=GENERAL!$AI$2,GENERAL!$AI$2,CONCATENATE(OBSERVACIONES!S86,"
ESTADO DE POSTVENTAS:  ",GENERAL!T87))</f>
        <v>OK
ESTADO DE POSTVENTAS:  POSTVENTA CORREGIDA</v>
      </c>
      <c r="T86" s="51" t="str">
        <f>+IF(GENERAL!U87=GENERAL!$AI$2,GENERAL!$AI$2,CONCATENATE(OBSERVACIONES!T86,"
ESTADO DE POSTVENTAS:  ",GENERAL!U87))</f>
        <v>OK
ESTADO DE POSTVENTAS:  POSTVENTA CORREGIDA</v>
      </c>
      <c r="U86" s="51" t="str">
        <f>+IF(GENERAL!V87=GENERAL!$AI$2,GENERAL!$AI$2,CONCATENATE(OBSERVACIONES!U86,"
ESTADO DE POSTVENTAS:  ",GENERAL!V87))</f>
        <v>OK
ESTADO DE POSTVENTAS:  POSTVENTA CORREGIDA</v>
      </c>
      <c r="V86" s="51" t="str">
        <f>+IF(GENERAL!W87=GENERAL!$AI$2,GENERAL!$AI$2,CONCATENATE(OBSERVACIONES!V86,"
ESTADO DE POSTVENTAS:  ",GENERAL!W87))</f>
        <v>OK
ESTADO DE POSTVENTAS:  POSTVENTA CORREGIDA</v>
      </c>
      <c r="W86" s="51" t="str">
        <f>+IF(GENERAL!V87=GENERAL!$AI$2,GENERAL!$AI$2,CONCATENATE(OBSERVACIONES!W86,"
ESTADO DE POSTVENTAS:  ",GENERAL!V87))</f>
        <v>OK
ESTADO DE POSTVENTAS:  POSTVENTA CORREGIDA</v>
      </c>
      <c r="X86" s="51" t="str">
        <f>+IF(GENERAL!W87=GENERAL!$AI$2,GENERAL!$AI$2,CONCATENATE(OBSERVACIONES!X86,"
ESTADO DE POSTVENTAS:  ",GENERAL!W87))</f>
        <v>OK
ESTADO DE POSTVENTAS:  POSTVENTA CORREGIDA</v>
      </c>
      <c r="Y86" s="51" t="str">
        <f>+IF(GENERAL!Z87=GENERAL!$AI$2,GENERAL!$AI$2,CONCATENATE(OBSERVACIONES!Y86,"
ESTADO DE POSTVENTAS:  ",GENERAL!Z87))</f>
        <v>OK
ESTADO DE POSTVENTAS:  POSTVENTA CORREGIDA</v>
      </c>
      <c r="Z86" s="51" t="str">
        <f>+IF(GENERAL!AA87=GENERAL!$AI$2,GENERAL!$AI$2,CONCATENATE(OBSERVACIONES!Z86,"
ESTADO DE POSTVENTAS:  ",GENERAL!AA87))</f>
        <v>OK
ESTADO DE POSTVENTAS:  POSTVENTA CORREGIDA</v>
      </c>
      <c r="AA86" s="51" t="str">
        <f>+IF(GENERAL!AB87=GENERAL!$AI$2,GENERAL!$AI$2,CONCATENATE(OBSERVACIONES!AA86,"
ESTADO DE POSTVENTAS:  ",GENERAL!AB87))</f>
        <v>OK
ESTADO DE POSTVENTAS:  POSTVENTA CORREGIDA</v>
      </c>
      <c r="AB86" s="51" t="str">
        <f>+IF(GENERAL!AC87=GENERAL!$AI$2,GENERAL!$AI$2,CONCATENATE(OBSERVACIONES!AB86,"
ESTADO DE POSTVENTAS:  ",GENERAL!AC87))</f>
        <v>OK
ESTADO DE POSTVENTAS:  POSTVENTA CORREGIDA</v>
      </c>
      <c r="AC86" s="51" t="str">
        <f>+IF(GENERAL!AD87=GENERAL!$AI$2,GENERAL!$AI$2,CONCATENATE(OBSERVACIONES!AC86,"
ESTADO DE POSTVENTAS:  ",GENERAL!AD87))</f>
        <v>OK
ESTADO DE POSTVENTAS:  POSTVENTA CORREGIDA</v>
      </c>
      <c r="AD86" s="51" t="str">
        <f>+IF(GENERAL!AE87=GENERAL!$AI$2,GENERAL!$AI$2,CONCATENATE(OBSERVACIONES!AD86,"
ESTADO DE POSTVENTAS:  ",GENERAL!AE87))</f>
        <v>OK
ESTADO DE POSTVENTAS:  POSTVENTA CORREGIDA</v>
      </c>
      <c r="AE86" s="51" t="str">
        <f>+IF(GENERAL!AF87=GENERAL!$AI$2,GENERAL!$AI$2,CONCATENATE(OBSERVACIONES!AE86,"
ESTADO DE POSTVENTAS:  ",GENERAL!AF87))</f>
        <v>OK
ESTADO DE POSTVENTAS:  POSTVENTA CORREGIDA</v>
      </c>
      <c r="AF86" s="51" t="str">
        <f>+IF(GENERAL!AG87=GENERAL!$AI$2,GENERAL!$AI$2,CONCATENATE(OBSERVACIONES!AF86,"
ESTADO DE POSTVENTAS:  ",GENERAL!AG87))</f>
        <v>OK
ESTADO DE POSTVENTAS:  POSTVENTA CORREGIDA</v>
      </c>
      <c r="AG86" s="51" t="str">
        <f>+IF(GENERAL!AH87=GENERAL!$AI$2,GENERAL!$AI$2,CONCATENATE(OBSERVACIONES!AG86,"
ESTADO DE POSTVENTAS:  ",GENERAL!AH87))</f>
        <v>OK
ESTADO DE POSTVENTAS:  POSTVENTA CORREGIDA</v>
      </c>
      <c r="AH86" s="51" t="str">
        <f>+IF(GENERAL!AI87=GENERAL!$AI$2,GENERAL!$AI$2,CONCATENATE(OBSERVACIONES!AH86,"
ESTADO DE POSTVENTAS:  ",GENERAL!AI87))</f>
        <v>OK
ESTADO DE POSTVENTAS:  POSTVENTA CORREGIDA</v>
      </c>
      <c r="AI86" s="51" t="str">
        <f>+IF(GENERAL!AG87=GENERAL!$AI$2,GENERAL!$AI$2,CONCATENATE(OBSERVACIONES!AF86,"
ESTADO DE POSTVENTAS:  ",GENERAL!AG87))</f>
        <v>OK
ESTADO DE POSTVENTAS:  POSTVENTA CORREGIDA</v>
      </c>
      <c r="AJ86" s="51" t="str">
        <f>+IF(GENERAL!AI87=GENERAL!$AI$2,GENERAL!$AI$2,CONCATENATE(OBSERVACIONES!AH86,"
ESTADO DE POSTVENTAS:  ",GENERAL!AI87))</f>
        <v>OK
ESTADO DE POSTVENTAS:  POSTVENTA CORREGIDA</v>
      </c>
      <c r="AK86" s="51" t="str">
        <f>+IF(GENERAL!AJ87=GENERAL!$AI$2,GENERAL!$AI$2,CONCATENATE(OBSERVACIONES!AI86,"
ESTADO DE POSTVENTAS:  ",GENERAL!AJ87))</f>
        <v>OK
ESTADO DE POSTVENTAS:  POSTVENTA CORREGIDA</v>
      </c>
      <c r="AL86" s="51" t="str">
        <f>+IF(GENERAL!AK87=GENERAL!$AI$2,GENERAL!$AI$2,CONCATENATE(OBSERVACIONES!AJ86,"
ESTADO DE POSTVENTAS:  ",GENERAL!AK87))</f>
        <v>OK
ESTADO DE POSTVENTAS:  POSTVENTA CORREGIDA</v>
      </c>
      <c r="AM86" s="51" t="str">
        <f>+IF(GENERAL!AN87=GENERAL!$AI$2,GENERAL!$AI$2,CONCATENATE(OBSERVACIONES!AM86,"
ESTADO DE POSTVENTAS:  ",GENERAL!AN87))</f>
        <v>OK
ESTADO DE POSTVENTAS:  POSTVENTA CORREGIDA</v>
      </c>
      <c r="AN86" s="37">
        <v>3</v>
      </c>
      <c r="AO86" s="37">
        <v>8</v>
      </c>
      <c r="AP86" s="37">
        <v>3</v>
      </c>
      <c r="AQ86" s="37">
        <v>1</v>
      </c>
      <c r="AR86" s="43">
        <v>14</v>
      </c>
      <c r="AS86" s="40">
        <v>11</v>
      </c>
      <c r="AT86" s="37">
        <f>COUNTIFS($D$5:$AM$5,"&lt;&gt;"&amp;CODICIONALES!$A$1,$D$5:$AM$5,"&lt;&gt;"&amp;CODICIONALES!$A$2,$D$5:$AM$5,"&lt;&gt;"&amp;CODICIONALES!$B$2,$D$5:$AM$5,"&lt;&gt;"&amp;CODICIONALES!$C$2)</f>
        <v>6</v>
      </c>
      <c r="AU86" s="43">
        <f>COUNTIFS(D86:AM86,CODICIONALES!$A$2)</f>
        <v>33</v>
      </c>
      <c r="AV86" s="40">
        <f t="shared" si="1"/>
        <v>-3</v>
      </c>
    </row>
    <row r="87" spans="1:48" ht="51" customHeight="1" x14ac:dyDescent="0.25">
      <c r="A87" s="110"/>
      <c r="B87" s="2">
        <v>83</v>
      </c>
      <c r="C87" s="21" t="s">
        <v>47</v>
      </c>
      <c r="D87" s="51" t="str">
        <f>+IF(GENERAL!E88=GENERAL!$AI$2,GENERAL!$AI$2,CONCATENATE(OBSERVACIONES!D87,"
ESTADO DE POSTVENTAS:  ",GENERAL!E88))</f>
        <v>NO ENTREGADO
ESTADO DE POSTVENTAS:  TIENE POSTVENTA</v>
      </c>
      <c r="E87" s="51" t="str">
        <f>+IF(GENERAL!F88=GENERAL!$AI$2,GENERAL!$AI$2,CONCATENATE(OBSERVACIONES!E87,"
ESTADO DE POSTVENTAS:  ",GENERAL!F88))</f>
        <v>OK
ESTADO DE POSTVENTAS:  POSTVENTA CORREGIDA</v>
      </c>
      <c r="F87" s="51" t="str">
        <f>+IF(GENERAL!G88=GENERAL!$AI$2,GENERAL!$AI$2,CONCATENATE(OBSERVACIONES!F87,"
ESTADO DE POSTVENTAS:  ",GENERAL!G88))</f>
        <v>OK
ESTADO DE POSTVENTAS:  POSTVENTA CORREGIDA</v>
      </c>
      <c r="G87" s="51" t="str">
        <f>+IF(GENERAL!H88=GENERAL!$AI$2,GENERAL!$AI$2,CONCATENATE(OBSERVACIONES!G87,"
ESTADO DE POSTVENTAS:  ",GENERAL!H88))</f>
        <v>NO ENTREGADO
ESTADO DE POSTVENTAS:  TIENE POSTVENTA</v>
      </c>
      <c r="H87" s="51" t="str">
        <f>+IF(GENERAL!I88=GENERAL!$AI$2,GENERAL!$AI$2,CONCATENATE(OBSERVACIONES!H87,"
ESTADO DE POSTVENTAS:  ",GENERAL!I88))</f>
        <v>OK
ESTADO DE POSTVENTAS:  POSTVENTA CORREGIDA</v>
      </c>
      <c r="I87" s="51" t="str">
        <f>+IF(GENERAL!J88=GENERAL!$AI$2,GENERAL!$AI$2,CONCATENATE(OBSERVACIONES!I87,"
ESTADO DE POSTVENTAS:  ",GENERAL!J88))</f>
        <v>OK
ESTADO DE POSTVENTAS:  POSTVENTA CORREGIDA</v>
      </c>
      <c r="J87" s="51" t="str">
        <f>+IF(GENERAL!K88=GENERAL!$AI$2,GENERAL!$AI$2,CONCATENATE(OBSERVACIONES!J87,"
ESTADO DE POSTVENTAS:  ",GENERAL!K88))</f>
        <v>OK
ESTADO DE POSTVENTAS:  POSTVENTA CORREGIDA</v>
      </c>
      <c r="K87" s="51" t="str">
        <f>+IF(GENERAL!L88=GENERAL!$AI$2,GENERAL!$AI$2,CONCATENATE(OBSERVACIONES!K87,"
ESTADO DE POSTVENTAS:  ",GENERAL!L88))</f>
        <v>OK
ESTADO DE POSTVENTAS:  POSTVENTA CORREGIDA</v>
      </c>
      <c r="L87" s="51" t="str">
        <f>+IF(GENERAL!M88=GENERAL!$AI$2,GENERAL!$AI$2,CONCATENATE(OBSERVACIONES!L87,"
ESTADO DE POSTVENTAS:  ",GENERAL!M88))</f>
        <v>OK
ESTADO DE POSTVENTAS:  POSTVENTA CORREGIDA</v>
      </c>
      <c r="M87" s="70" t="str">
        <f>+IF(GENERAL!N88=GENERAL!$AI$2,GENERAL!$AI$2,CONCATENATE(OBSERVACIONES!M87,"
ESTADO DE POSTVENTAS:  ",GENERAL!N88))</f>
        <v>OK
ESTADO DE POSTVENTAS:  POSTVENTA CORREGIDA</v>
      </c>
      <c r="N87" s="51" t="str">
        <f>+IF(GENERAL!O88=GENERAL!$AI$2,GENERAL!$AI$2,CONCATENATE(OBSERVACIONES!N87,"
ESTADO DE POSTVENTAS:  ",GENERAL!O88))</f>
        <v>OK
ESTADO DE POSTVENTAS:  POSTVENTA CORREGIDA</v>
      </c>
      <c r="O87" s="51" t="str">
        <f>+IF(GENERAL!P88=GENERAL!$AI$2,GENERAL!$AI$2,CONCATENATE(OBSERVACIONES!O87,"
ESTADO DE POSTVENTAS:  ",GENERAL!P88))</f>
        <v>OK
ESTADO DE POSTVENTAS:  POSTVENTA CORREGIDA</v>
      </c>
      <c r="P87" s="70" t="str">
        <f>+IF(GENERAL!Q88=GENERAL!$AI$2,GENERAL!$AI$2,CONCATENATE(OBSERVACIONES!P87,"
ESTADO DE POSTVENTAS:  ",GENERAL!Q88))</f>
        <v>OK
ESTADO DE POSTVENTAS:  POSTVENTA CORREGIDA</v>
      </c>
      <c r="Q87" s="70" t="str">
        <f>+IF(GENERAL!R88=GENERAL!$AI$2,GENERAL!$AI$2,CONCATENATE(OBSERVACIONES!Q87,"
ESTADO DE POSTVENTAS:  ",GENERAL!R88))</f>
        <v>OK
ESTADO DE POSTVENTAS:  POSTVENTA CORREGIDA</v>
      </c>
      <c r="R87" s="51" t="str">
        <f>+IF(GENERAL!S88=GENERAL!$AI$2,GENERAL!$AI$2,CONCATENATE(OBSERVACIONES!R87,"
ESTADO DE POSTVENTAS:  ",GENERAL!S88))</f>
        <v>OK
ESTADO DE POSTVENTAS:  POSTVENTA CORREGIDA</v>
      </c>
      <c r="S87" s="51" t="str">
        <f>+IF(GENERAL!T88=GENERAL!$AI$2,GENERAL!$AI$2,CONCATENATE(OBSERVACIONES!S87,"
ESTADO DE POSTVENTAS:  ",GENERAL!T88))</f>
        <v>OK
ESTADO DE POSTVENTAS:  POSTVENTA CORREGIDA</v>
      </c>
      <c r="T87" s="51" t="str">
        <f>+IF(GENERAL!U88=GENERAL!$AI$2,GENERAL!$AI$2,CONCATENATE(OBSERVACIONES!T87,"
ESTADO DE POSTVENTAS:  ",GENERAL!U88))</f>
        <v>OK
ESTADO DE POSTVENTAS:  POSTVENTA CORREGIDA</v>
      </c>
      <c r="U87" s="51" t="str">
        <f>+IF(GENERAL!V88=GENERAL!$AI$2,GENERAL!$AI$2,CONCATENATE(OBSERVACIONES!U87,"
ESTADO DE POSTVENTAS:  ",GENERAL!V88))</f>
        <v>OK
ESTADO DE POSTVENTAS:  POSTVENTA CORREGIDA</v>
      </c>
      <c r="V87" s="51" t="str">
        <f>+IF(GENERAL!W88=GENERAL!$AI$2,GENERAL!$AI$2,CONCATENATE(OBSERVACIONES!V87,"
ESTADO DE POSTVENTAS:  ",GENERAL!W88))</f>
        <v>OK
ESTADO DE POSTVENTAS:  POSTVENTA CORREGIDA</v>
      </c>
      <c r="W87" s="51" t="str">
        <f>+IF(GENERAL!V88=GENERAL!$AI$2,GENERAL!$AI$2,CONCATENATE(OBSERVACIONES!W87,"
ESTADO DE POSTVENTAS:  ",GENERAL!V88))</f>
        <v>OK
ESTADO DE POSTVENTAS:  POSTVENTA CORREGIDA</v>
      </c>
      <c r="X87" s="51" t="str">
        <f>+IF(GENERAL!W88=GENERAL!$AI$2,GENERAL!$AI$2,CONCATENATE(OBSERVACIONES!X87,"
ESTADO DE POSTVENTAS:  ",GENERAL!W88))</f>
        <v>OK
ESTADO DE POSTVENTAS:  POSTVENTA CORREGIDA</v>
      </c>
      <c r="Y87" s="51" t="str">
        <f>+IF(GENERAL!Z88=GENERAL!$AI$2,GENERAL!$AI$2,CONCATENATE(OBSERVACIONES!Y87,"
ESTADO DE POSTVENTAS:  ",GENERAL!Z88))</f>
        <v>OK
ESTADO DE POSTVENTAS:  POSTVENTA CORREGIDA</v>
      </c>
      <c r="Z87" s="51" t="str">
        <f>+IF(GENERAL!AA88=GENERAL!$AI$2,GENERAL!$AI$2,CONCATENATE(OBSERVACIONES!Z87,"
ESTADO DE POSTVENTAS:  ",GENERAL!AA88))</f>
        <v>OK
ESTADO DE POSTVENTAS:  POSTVENTA CORREGIDA</v>
      </c>
      <c r="AA87" s="51" t="str">
        <f>+IF(GENERAL!AB88=GENERAL!$AI$2,GENERAL!$AI$2,CONCATENATE(OBSERVACIONES!AA87,"
ESTADO DE POSTVENTAS:  ",GENERAL!AB88))</f>
        <v>OK
ESTADO DE POSTVENTAS:  POSTVENTA CORREGIDA</v>
      </c>
      <c r="AB87" s="51" t="str">
        <f>+IF(GENERAL!AC88=GENERAL!$AI$2,GENERAL!$AI$2,CONCATENATE(OBSERVACIONES!AB87,"
ESTADO DE POSTVENTAS:  ",GENERAL!AC88))</f>
        <v>OK
ESTADO DE POSTVENTAS:  POSTVENTA CORREGIDA</v>
      </c>
      <c r="AC87" s="51" t="str">
        <f>+IF(GENERAL!AD88=GENERAL!$AI$2,GENERAL!$AI$2,CONCATENATE(OBSERVACIONES!AC87,"
ESTADO DE POSTVENTAS:  ",GENERAL!AD88))</f>
        <v>OK
ESTADO DE POSTVENTAS:  POSTVENTA CORREGIDA</v>
      </c>
      <c r="AD87" s="51" t="str">
        <f>+IF(GENERAL!AE88=GENERAL!$AI$2,GENERAL!$AI$2,CONCATENATE(OBSERVACIONES!AD87,"
ESTADO DE POSTVENTAS:  ",GENERAL!AE88))</f>
        <v>OK
ESTADO DE POSTVENTAS:  POSTVENTA CORREGIDA</v>
      </c>
      <c r="AE87" s="51" t="str">
        <f>+IF(GENERAL!AF88=GENERAL!$AI$2,GENERAL!$AI$2,CONCATENATE(OBSERVACIONES!AE87,"
ESTADO DE POSTVENTAS:  ",GENERAL!AF88))</f>
        <v>OK
ESTADO DE POSTVENTAS:  POSTVENTA CORREGIDA</v>
      </c>
      <c r="AF87" s="51" t="str">
        <f>+IF(GENERAL!AG88=GENERAL!$AI$2,GENERAL!$AI$2,CONCATENATE(OBSERVACIONES!AF87,"
ESTADO DE POSTVENTAS:  ",GENERAL!AG88))</f>
        <v>OK
ESTADO DE POSTVENTAS:  POSTVENTA CORREGIDA</v>
      </c>
      <c r="AG87" s="51" t="str">
        <f>+IF(GENERAL!AH88=GENERAL!$AI$2,GENERAL!$AI$2,CONCATENATE(OBSERVACIONES!AG87,"
ESTADO DE POSTVENTAS:  ",GENERAL!AH88))</f>
        <v>OK
ESTADO DE POSTVENTAS:  POSTVENTA CORREGIDA</v>
      </c>
      <c r="AH87" s="51" t="str">
        <f>+IF(GENERAL!AI88=GENERAL!$AI$2,GENERAL!$AI$2,CONCATENATE(OBSERVACIONES!AH87,"
ESTADO DE POSTVENTAS:  ",GENERAL!AI88))</f>
        <v>OK
ESTADO DE POSTVENTAS:  POSTVENTA CORREGIDA</v>
      </c>
      <c r="AI87" s="51" t="str">
        <f>+IF(GENERAL!AG88=GENERAL!$AI$2,GENERAL!$AI$2,CONCATENATE(OBSERVACIONES!AF87,"
ESTADO DE POSTVENTAS:  ",GENERAL!AG88))</f>
        <v>OK
ESTADO DE POSTVENTAS:  POSTVENTA CORREGIDA</v>
      </c>
      <c r="AJ87" s="51" t="str">
        <f>+IF(GENERAL!AI88=GENERAL!$AI$2,GENERAL!$AI$2,CONCATENATE(OBSERVACIONES!AH87,"
ESTADO DE POSTVENTAS:  ",GENERAL!AI88))</f>
        <v>OK
ESTADO DE POSTVENTAS:  POSTVENTA CORREGIDA</v>
      </c>
      <c r="AK87" s="51" t="str">
        <f>+IF(GENERAL!AJ88=GENERAL!$AI$2,GENERAL!$AI$2,CONCATENATE(OBSERVACIONES!AI87,"
ESTADO DE POSTVENTAS:  ",GENERAL!AJ88))</f>
        <v>OK
ESTADO DE POSTVENTAS:  POSTVENTA CORREGIDA</v>
      </c>
      <c r="AL87" s="51" t="str">
        <f>+IF(GENERAL!AK88=GENERAL!$AI$2,GENERAL!$AI$2,CONCATENATE(OBSERVACIONES!AJ87,"
ESTADO DE POSTVENTAS:  ",GENERAL!AK88))</f>
        <v>OK
ESTADO DE POSTVENTAS:  POSTVENTA CORREGIDA</v>
      </c>
      <c r="AM87" s="51" t="str">
        <f>+IF(GENERAL!AN88=GENERAL!$AI$2,GENERAL!$AI$2,CONCATENATE(OBSERVACIONES!AM87,"
ESTADO DE POSTVENTAS:  ",GENERAL!AN88))</f>
        <v>OK
ESTADO DE POSTVENTAS:  POSTVENTA CORREGIDA</v>
      </c>
      <c r="AN87" s="37">
        <v>1</v>
      </c>
      <c r="AO87" s="37">
        <v>10</v>
      </c>
      <c r="AP87" s="37">
        <v>3</v>
      </c>
      <c r="AQ87" s="37">
        <v>0</v>
      </c>
      <c r="AR87" s="43">
        <v>14</v>
      </c>
      <c r="AS87" s="40">
        <v>12</v>
      </c>
      <c r="AT87" s="37">
        <f>COUNTIFS($D$5:$AM$5,"&lt;&gt;"&amp;CODICIONALES!$A$1,$D$5:$AM$5,"&lt;&gt;"&amp;CODICIONALES!$A$2,$D$5:$AM$5,"&lt;&gt;"&amp;CODICIONALES!$B$2,$D$5:$AM$5,"&lt;&gt;"&amp;CODICIONALES!$C$2)</f>
        <v>6</v>
      </c>
      <c r="AU87" s="43">
        <f>COUNTIFS(D87:AM87,CODICIONALES!$A$2)</f>
        <v>34</v>
      </c>
      <c r="AV87" s="40">
        <f t="shared" si="1"/>
        <v>-4</v>
      </c>
    </row>
    <row r="88" spans="1:48" ht="51" customHeight="1" x14ac:dyDescent="0.25">
      <c r="A88" s="110"/>
      <c r="B88" s="2">
        <v>84</v>
      </c>
      <c r="C88" s="21" t="s">
        <v>49</v>
      </c>
      <c r="D88" s="51" t="str">
        <f>+IF(GENERAL!E89=GENERAL!$AI$2,GENERAL!$AI$2,CONCATENATE(OBSERVACIONES!D88,"
ESTADO DE POSTVENTAS:  ",GENERAL!E89))</f>
        <v>NO ENTREGADO
ESTADO DE POSTVENTAS:  TIENE POSTVENTA</v>
      </c>
      <c r="E88" s="51" t="str">
        <f>+IF(GENERAL!F89=GENERAL!$AI$2,GENERAL!$AI$2,CONCATENATE(OBSERVACIONES!E88,"
ESTADO DE POSTVENTAS:  ",GENERAL!F89))</f>
        <v>OK
ESTADO DE POSTVENTAS:  POSTVENTA CORREGIDA</v>
      </c>
      <c r="F88" s="51" t="str">
        <f>+IF(GENERAL!G89=GENERAL!$AI$2,GENERAL!$AI$2,CONCATENATE(OBSERVACIONES!F88,"
ESTADO DE POSTVENTAS:  ",GENERAL!G89))</f>
        <v>OK
ESTADO DE POSTVENTAS:  POSTVENTA CORREGIDA</v>
      </c>
      <c r="G88" s="51" t="str">
        <f>+IF(GENERAL!H89=GENERAL!$AI$2,GENERAL!$AI$2,CONCATENATE(OBSERVACIONES!G88,"
ESTADO DE POSTVENTAS:  ",GENERAL!H89))</f>
        <v>NO ENTREGADO
ESTADO DE POSTVENTAS:  TIENE POSTVENTA</v>
      </c>
      <c r="H88" s="51" t="str">
        <f>+IF(GENERAL!I89=GENERAL!$AI$2,GENERAL!$AI$2,CONCATENATE(OBSERVACIONES!H88,"
ESTADO DE POSTVENTAS:  ",GENERAL!I89))</f>
        <v>OK
ESTADO DE POSTVENTAS:  POSTVENTA CORREGIDA</v>
      </c>
      <c r="I88" s="51" t="str">
        <f>+IF(GENERAL!J89=GENERAL!$AI$2,GENERAL!$AI$2,CONCATENATE(OBSERVACIONES!I88,"
ESTADO DE POSTVENTAS:  ",GENERAL!J89))</f>
        <v>OK
ESTADO DE POSTVENTAS:  POSTVENTA CORREGIDA</v>
      </c>
      <c r="J88" s="51" t="str">
        <f>+IF(GENERAL!K89=GENERAL!$AI$2,GENERAL!$AI$2,CONCATENATE(OBSERVACIONES!J88,"
ESTADO DE POSTVENTAS:  ",GENERAL!K89))</f>
        <v>OK
ESTADO DE POSTVENTAS:  POSTVENTA CORREGIDA</v>
      </c>
      <c r="K88" s="51" t="str">
        <f>+IF(GENERAL!L89=GENERAL!$AI$2,GENERAL!$AI$2,CONCATENATE(OBSERVACIONES!K88,"
ESTADO DE POSTVENTAS:  ",GENERAL!L89))</f>
        <v>OK
ESTADO DE POSTVENTAS:  POSTVENTA CORREGIDA</v>
      </c>
      <c r="L88" s="51" t="str">
        <f>+IF(GENERAL!M89=GENERAL!$AI$2,GENERAL!$AI$2,CONCATENATE(OBSERVACIONES!L88,"
ESTADO DE POSTVENTAS:  ",GENERAL!M89))</f>
        <v>OK
ESTADO DE POSTVENTAS:  POSTVENTA CORREGIDA</v>
      </c>
      <c r="M88" s="70" t="str">
        <f>+IF(GENERAL!N89=GENERAL!$AI$2,GENERAL!$AI$2,CONCATENATE(OBSERVACIONES!M88,"
ESTADO DE POSTVENTAS:  ",GENERAL!N89))</f>
        <v>OK
ESTADO DE POSTVENTAS:  POSTVENTA CORREGIDA</v>
      </c>
      <c r="N88" s="51" t="str">
        <f>+IF(GENERAL!O89=GENERAL!$AI$2,GENERAL!$AI$2,CONCATENATE(OBSERVACIONES!N88,"
ESTADO DE POSTVENTAS:  ",GENERAL!O89))</f>
        <v>OK
ESTADO DE POSTVENTAS:  POSTVENTA CORREGIDA</v>
      </c>
      <c r="O88" s="51" t="str">
        <f>+IF(GENERAL!P89=GENERAL!$AI$2,GENERAL!$AI$2,CONCATENATE(OBSERVACIONES!O88,"
ESTADO DE POSTVENTAS:  ",GENERAL!P89))</f>
        <v>OK
ESTADO DE POSTVENTAS:  POSTVENTA CORREGIDA</v>
      </c>
      <c r="P88" s="70" t="str">
        <f>+IF(GENERAL!Q89=GENERAL!$AI$2,GENERAL!$AI$2,CONCATENATE(OBSERVACIONES!P88,"
ESTADO DE POSTVENTAS:  ",GENERAL!Q89))</f>
        <v>OK
ESTADO DE POSTVENTAS:  POSTVENTA CORREGIDA</v>
      </c>
      <c r="Q88" s="70" t="str">
        <f>+IF(GENERAL!R89=GENERAL!$AI$2,GENERAL!$AI$2,CONCATENATE(OBSERVACIONES!Q88,"
ESTADO DE POSTVENTAS:  ",GENERAL!R89))</f>
        <v>OK
ESTADO DE POSTVENTAS:  POSTVENTA CORREGIDA</v>
      </c>
      <c r="R88" s="51" t="str">
        <f>+IF(GENERAL!S89=GENERAL!$AI$2,GENERAL!$AI$2,CONCATENATE(OBSERVACIONES!R88,"
ESTADO DE POSTVENTAS:  ",GENERAL!S89))</f>
        <v>OK
ESTADO DE POSTVENTAS:  POSTVENTA CORREGIDA</v>
      </c>
      <c r="S88" s="51" t="str">
        <f>+IF(GENERAL!T89=GENERAL!$AI$2,GENERAL!$AI$2,CONCATENATE(OBSERVACIONES!S88,"
ESTADO DE POSTVENTAS:  ",GENERAL!T89))</f>
        <v>OK
ESTADO DE POSTVENTAS:  POSTVENTA CORREGIDA</v>
      </c>
      <c r="T88" s="51" t="str">
        <f>+IF(GENERAL!U89=GENERAL!$AI$2,GENERAL!$AI$2,CONCATENATE(OBSERVACIONES!T88,"
ESTADO DE POSTVENTAS:  ",GENERAL!U89))</f>
        <v>OK
ESTADO DE POSTVENTAS:  POSTVENTA CORREGIDA</v>
      </c>
      <c r="U88" s="51" t="str">
        <f>+IF(GENERAL!V89=GENERAL!$AI$2,GENERAL!$AI$2,CONCATENATE(OBSERVACIONES!U88,"
ESTADO DE POSTVENTAS:  ",GENERAL!V89))</f>
        <v>OK
ESTADO DE POSTVENTAS:  POSTVENTA CORREGIDA</v>
      </c>
      <c r="V88" s="51" t="str">
        <f>+IF(GENERAL!W89=GENERAL!$AI$2,GENERAL!$AI$2,CONCATENATE(OBSERVACIONES!V88,"
ESTADO DE POSTVENTAS:  ",GENERAL!W89))</f>
        <v>OK
ESTADO DE POSTVENTAS:  POSTVENTA CORREGIDA</v>
      </c>
      <c r="W88" s="51" t="str">
        <f>+IF(GENERAL!V89=GENERAL!$AI$2,GENERAL!$AI$2,CONCATENATE(OBSERVACIONES!W88,"
ESTADO DE POSTVENTAS:  ",GENERAL!V89))</f>
        <v>OK
ESTADO DE POSTVENTAS:  POSTVENTA CORREGIDA</v>
      </c>
      <c r="X88" s="51" t="str">
        <f>+IF(GENERAL!W89=GENERAL!$AI$2,GENERAL!$AI$2,CONCATENATE(OBSERVACIONES!X88,"
ESTADO DE POSTVENTAS:  ",GENERAL!W89))</f>
        <v>OK
ESTADO DE POSTVENTAS:  POSTVENTA CORREGIDA</v>
      </c>
      <c r="Y88" s="51" t="str">
        <f>+IF(GENERAL!Z89=GENERAL!$AI$2,GENERAL!$AI$2,CONCATENATE(OBSERVACIONES!Y88,"
ESTADO DE POSTVENTAS:  ",GENERAL!Z89))</f>
        <v>OK
ESTADO DE POSTVENTAS:  POSTVENTA CORREGIDA</v>
      </c>
      <c r="Z88" s="51" t="str">
        <f>+IF(GENERAL!AA89=GENERAL!$AI$2,GENERAL!$AI$2,CONCATENATE(OBSERVACIONES!Z88,"
ESTADO DE POSTVENTAS:  ",GENERAL!AA89))</f>
        <v>OK
ESTADO DE POSTVENTAS:  POSTVENTA CORREGIDA</v>
      </c>
      <c r="AA88" s="51" t="str">
        <f>+IF(GENERAL!AB89=GENERAL!$AI$2,GENERAL!$AI$2,CONCATENATE(OBSERVACIONES!AA88,"
ESTADO DE POSTVENTAS:  ",GENERAL!AB89))</f>
        <v>OK
ESTADO DE POSTVENTAS:  POSTVENTA CORREGIDA</v>
      </c>
      <c r="AB88" s="51" t="str">
        <f>+IF(GENERAL!AC89=GENERAL!$AI$2,GENERAL!$AI$2,CONCATENATE(OBSERVACIONES!AB88,"
ESTADO DE POSTVENTAS:  ",GENERAL!AC89))</f>
        <v>OK
ESTADO DE POSTVENTAS:  POSTVENTA CORREGIDA</v>
      </c>
      <c r="AC88" s="51" t="str">
        <f>+IF(GENERAL!AD89=GENERAL!$AI$2,GENERAL!$AI$2,CONCATENATE(OBSERVACIONES!AC88,"
ESTADO DE POSTVENTAS:  ",GENERAL!AD89))</f>
        <v>OK
ESTADO DE POSTVENTAS:  POSTVENTA CORREGIDA</v>
      </c>
      <c r="AD88" s="51" t="str">
        <f>+IF(GENERAL!AE89=GENERAL!$AI$2,GENERAL!$AI$2,CONCATENATE(OBSERVACIONES!AD88,"
ESTADO DE POSTVENTAS:  ",GENERAL!AE89))</f>
        <v>OK
ESTADO DE POSTVENTAS:  POSTVENTA CORREGIDA</v>
      </c>
      <c r="AE88" s="51" t="str">
        <f>+IF(GENERAL!AF89=GENERAL!$AI$2,GENERAL!$AI$2,CONCATENATE(OBSERVACIONES!AE88,"
ESTADO DE POSTVENTAS:  ",GENERAL!AF89))</f>
        <v>OK
ESTADO DE POSTVENTAS:  POSTVENTA CORREGIDA</v>
      </c>
      <c r="AF88" s="51" t="str">
        <f>+IF(GENERAL!AG89=GENERAL!$AI$2,GENERAL!$AI$2,CONCATENATE(OBSERVACIONES!AF88,"
ESTADO DE POSTVENTAS:  ",GENERAL!AG89))</f>
        <v>OK
ESTADO DE POSTVENTAS:  POSTVENTA CORREGIDA</v>
      </c>
      <c r="AG88" s="51" t="str">
        <f>+IF(GENERAL!AH89=GENERAL!$AI$2,GENERAL!$AI$2,CONCATENATE(OBSERVACIONES!AG88,"
ESTADO DE POSTVENTAS:  ",GENERAL!AH89))</f>
        <v>OK
ESTADO DE POSTVENTAS:  POSTVENTA CORREGIDA</v>
      </c>
      <c r="AH88" s="51" t="str">
        <f>+IF(GENERAL!AI89=GENERAL!$AI$2,GENERAL!$AI$2,CONCATENATE(OBSERVACIONES!AH88,"
ESTADO DE POSTVENTAS:  ",GENERAL!AI89))</f>
        <v>OK
ESTADO DE POSTVENTAS:  POSTVENTA CORREGIDA</v>
      </c>
      <c r="AI88" s="51" t="str">
        <f>+IF(GENERAL!AG89=GENERAL!$AI$2,GENERAL!$AI$2,CONCATENATE(OBSERVACIONES!AF88,"
ESTADO DE POSTVENTAS:  ",GENERAL!AG89))</f>
        <v>OK
ESTADO DE POSTVENTAS:  POSTVENTA CORREGIDA</v>
      </c>
      <c r="AJ88" s="51" t="str">
        <f>+IF(GENERAL!AI89=GENERAL!$AI$2,GENERAL!$AI$2,CONCATENATE(OBSERVACIONES!AH88,"
ESTADO DE POSTVENTAS:  ",GENERAL!AI89))</f>
        <v>OK
ESTADO DE POSTVENTAS:  POSTVENTA CORREGIDA</v>
      </c>
      <c r="AK88" s="51" t="str">
        <f>+IF(GENERAL!AJ89=GENERAL!$AI$2,GENERAL!$AI$2,CONCATENATE(OBSERVACIONES!AI88,"
ESTADO DE POSTVENTAS:  ",GENERAL!AJ89))</f>
        <v>OK
ESTADO DE POSTVENTAS:  POSTVENTA CORREGIDA</v>
      </c>
      <c r="AL88" s="51" t="str">
        <f>+IF(GENERAL!AK89=GENERAL!$AI$2,GENERAL!$AI$2,CONCATENATE(OBSERVACIONES!AJ88,"
ESTADO DE POSTVENTAS:  ",GENERAL!AK89))</f>
        <v>OK
ESTADO DE POSTVENTAS:  POSTVENTA CORREGIDA</v>
      </c>
      <c r="AM88" s="51" t="str">
        <f>+IF(GENERAL!AN89=GENERAL!$AI$2,GENERAL!$AI$2,CONCATENATE(OBSERVACIONES!AM88,"
ESTADO DE POSTVENTAS:  ",GENERAL!AN89))</f>
        <v>OK
ESTADO DE POSTVENTAS:  POSTVENTA CORREGIDA</v>
      </c>
      <c r="AN88" s="37">
        <v>1</v>
      </c>
      <c r="AO88" s="37">
        <v>10</v>
      </c>
      <c r="AP88" s="37">
        <v>3</v>
      </c>
      <c r="AQ88" s="37">
        <v>0</v>
      </c>
      <c r="AR88" s="43">
        <v>14</v>
      </c>
      <c r="AS88" s="40">
        <v>12</v>
      </c>
      <c r="AT88" s="37">
        <f>COUNTIFS($D$5:$AM$5,"&lt;&gt;"&amp;CODICIONALES!$A$1,$D$5:$AM$5,"&lt;&gt;"&amp;CODICIONALES!$A$2,$D$5:$AM$5,"&lt;&gt;"&amp;CODICIONALES!$B$2,$D$5:$AM$5,"&lt;&gt;"&amp;CODICIONALES!$C$2)</f>
        <v>6</v>
      </c>
      <c r="AU88" s="43">
        <f>COUNTIFS(D88:AM88,CODICIONALES!$A$2)</f>
        <v>34</v>
      </c>
      <c r="AV88" s="40">
        <f t="shared" si="1"/>
        <v>-4</v>
      </c>
    </row>
    <row r="89" spans="1:48" ht="51" customHeight="1" x14ac:dyDescent="0.25">
      <c r="A89" s="110"/>
      <c r="B89" s="2">
        <v>85</v>
      </c>
      <c r="C89" s="21" t="s">
        <v>52</v>
      </c>
      <c r="D89" s="51" t="str">
        <f>+IF(GENERAL!E90=GENERAL!$AI$2,GENERAL!$AI$2,CONCATENATE(OBSERVACIONES!D89,"
ESTADO DE POSTVENTAS:  ",GENERAL!E90))</f>
        <v>NO ENTREGADO
ESTADO DE POSTVENTAS:  TIENE POSTVENTA</v>
      </c>
      <c r="E89" s="51" t="str">
        <f>+IF(GENERAL!F90=GENERAL!$AI$2,GENERAL!$AI$2,CONCATENATE(OBSERVACIONES!E89,"
ESTADO DE POSTVENTAS:  ",GENERAL!F90))</f>
        <v>OK
ESTADO DE POSTVENTAS:  POSTVENTA CORREGIDA</v>
      </c>
      <c r="F89" s="51" t="str">
        <f>+IF(GENERAL!G90=GENERAL!$AI$2,GENERAL!$AI$2,CONCATENATE(OBSERVACIONES!F89,"
ESTADO DE POSTVENTAS:  ",GENERAL!G90))</f>
        <v>OK
ESTADO DE POSTVENTAS:  POSTVENTA CORREGIDA</v>
      </c>
      <c r="G89" s="51" t="str">
        <f>+IF(GENERAL!H90=GENERAL!$AI$2,GENERAL!$AI$2,CONCATENATE(OBSERVACIONES!G89,"
ESTADO DE POSTVENTAS:  ",GENERAL!H90))</f>
        <v>NO ENTREGADO
ESTADO DE POSTVENTAS:  TIENE POSTVENTA</v>
      </c>
      <c r="H89" s="51" t="str">
        <f>+IF(GENERAL!I90=GENERAL!$AI$2,GENERAL!$AI$2,CONCATENATE(OBSERVACIONES!H89,"
ESTADO DE POSTVENTAS:  ",GENERAL!I90))</f>
        <v>OK
ESTADO DE POSTVENTAS:  POSTVENTA CORREGIDA</v>
      </c>
      <c r="I89" s="51" t="str">
        <f>+IF(GENERAL!J90=GENERAL!$AI$2,GENERAL!$AI$2,CONCATENATE(OBSERVACIONES!I89,"
ESTADO DE POSTVENTAS:  ",GENERAL!J90))</f>
        <v>OK
ESTADO DE POSTVENTAS:  POSTVENTA CORREGIDA</v>
      </c>
      <c r="J89" s="51" t="str">
        <f>+IF(GENERAL!K90=GENERAL!$AI$2,GENERAL!$AI$2,CONCATENATE(OBSERVACIONES!J89,"
ESTADO DE POSTVENTAS:  ",GENERAL!K90))</f>
        <v>OK
ESTADO DE POSTVENTAS:  POSTVENTA CORREGIDA</v>
      </c>
      <c r="K89" s="51" t="str">
        <f>+IF(GENERAL!L90=GENERAL!$AI$2,GENERAL!$AI$2,CONCATENATE(OBSERVACIONES!K89,"
ESTADO DE POSTVENTAS:  ",GENERAL!L90))</f>
        <v>OK
ESTADO DE POSTVENTAS:  POSTVENTA CORREGIDA</v>
      </c>
      <c r="L89" s="51" t="str">
        <f>+IF(GENERAL!M90=GENERAL!$AI$2,GENERAL!$AI$2,CONCATENATE(OBSERVACIONES!L89,"
ESTADO DE POSTVENTAS:  ",GENERAL!M90))</f>
        <v>OK
ESTADO DE POSTVENTAS:  POSTVENTA CORREGIDA</v>
      </c>
      <c r="M89" s="70" t="str">
        <f>+IF(GENERAL!N90=GENERAL!$AI$2,GENERAL!$AI$2,CONCATENATE(OBSERVACIONES!M89,"
ESTADO DE POSTVENTAS:  ",GENERAL!N90))</f>
        <v>OK
ESTADO DE POSTVENTAS:  POSTVENTA CORREGIDA</v>
      </c>
      <c r="N89" s="51" t="str">
        <f>+IF(GENERAL!O90=GENERAL!$AI$2,GENERAL!$AI$2,CONCATENATE(OBSERVACIONES!N89,"
ESTADO DE POSTVENTAS:  ",GENERAL!O90))</f>
        <v>OK
ESTADO DE POSTVENTAS:  POSTVENTA CORREGIDA</v>
      </c>
      <c r="O89" s="51" t="str">
        <f>+IF(GENERAL!P90=GENERAL!$AI$2,GENERAL!$AI$2,CONCATENATE(OBSERVACIONES!O89,"
ESTADO DE POSTVENTAS:  ",GENERAL!P90))</f>
        <v>OK
ESTADO DE POSTVENTAS:  POSTVENTA CORREGIDA</v>
      </c>
      <c r="P89" s="70" t="str">
        <f>+IF(GENERAL!Q90=GENERAL!$AI$2,GENERAL!$AI$2,CONCATENATE(OBSERVACIONES!P89,"
ESTADO DE POSTVENTAS:  ",GENERAL!Q90))</f>
        <v>OK
ESTADO DE POSTVENTAS:  POSTVENTA CORREGIDA</v>
      </c>
      <c r="Q89" s="70" t="str">
        <f>+IF(GENERAL!R90=GENERAL!$AI$2,GENERAL!$AI$2,CONCATENATE(OBSERVACIONES!Q89,"
ESTADO DE POSTVENTAS:  ",GENERAL!R90))</f>
        <v>OK
ESTADO DE POSTVENTAS:  POSTVENTA CORREGIDA</v>
      </c>
      <c r="R89" s="51" t="str">
        <f>+IF(GENERAL!S90=GENERAL!$AI$2,GENERAL!$AI$2,CONCATENATE(OBSERVACIONES!R89,"
ESTADO DE POSTVENTAS:  ",GENERAL!S90))</f>
        <v>OK
ESTADO DE POSTVENTAS:  POSTVENTA CORREGIDA</v>
      </c>
      <c r="S89" s="51" t="str">
        <f>+IF(GENERAL!T90=GENERAL!$AI$2,GENERAL!$AI$2,CONCATENATE(OBSERVACIONES!S89,"
ESTADO DE POSTVENTAS:  ",GENERAL!T90))</f>
        <v>OK
ESTADO DE POSTVENTAS:  POSTVENTA CORREGIDA</v>
      </c>
      <c r="T89" s="70" t="str">
        <f>+IF(GENERAL!U90=GENERAL!$AI$2,GENERAL!$AI$2,CONCATENATE(OBSERVACIONES!T89,"
ESTADO DE POSTVENTAS:  ",GENERAL!U90))</f>
        <v>OK
ESTADO DE POSTVENTAS:  POSTVENTA CORREGIDA</v>
      </c>
      <c r="U89" s="51" t="str">
        <f>+IF(GENERAL!V90=GENERAL!$AI$2,GENERAL!$AI$2,CONCATENATE(OBSERVACIONES!U89,"
ESTADO DE POSTVENTAS:  ",GENERAL!V90))</f>
        <v>OK
ESTADO DE POSTVENTAS:  POSTVENTA CORREGIDA</v>
      </c>
      <c r="V89" s="70" t="str">
        <f>+IF(GENERAL!W90=GENERAL!$AI$2,GENERAL!$AI$2,CONCATENATE(OBSERVACIONES!V89,"
ESTADO DE POSTVENTAS:  ",GENERAL!W90))</f>
        <v>DETALLE FIJADO
ESTADO DE POSTVENTAS:  TIENE POSTVENTA</v>
      </c>
      <c r="W89" s="51" t="str">
        <f>+IF(GENERAL!V90=GENERAL!$AI$2,GENERAL!$AI$2,CONCATENATE(OBSERVACIONES!W89,"
ESTADO DE POSTVENTAS:  ",GENERAL!V90))</f>
        <v>OK
ESTADO DE POSTVENTAS:  POSTVENTA CORREGIDA</v>
      </c>
      <c r="X89" s="51" t="str">
        <f>+IF(GENERAL!W90=GENERAL!$AI$2,GENERAL!$AI$2,CONCATENATE(OBSERVACIONES!X89,"
ESTADO DE POSTVENTAS:  ",GENERAL!W90))</f>
        <v>OK
ESTADO DE POSTVENTAS:  TIENE POSTVENTA</v>
      </c>
      <c r="Y89" s="51" t="str">
        <f>+IF(GENERAL!Z90=GENERAL!$AI$2,GENERAL!$AI$2,CONCATENATE(OBSERVACIONES!Y89,"
ESTADO DE POSTVENTAS:  ",GENERAL!Z90))</f>
        <v>OK
ESTADO DE POSTVENTAS:  POSTVENTA CORREGIDA</v>
      </c>
      <c r="Z89" s="51" t="str">
        <f>+IF(GENERAL!AA90=GENERAL!$AI$2,GENERAL!$AI$2,CONCATENATE(OBSERVACIONES!Z89,"
ESTADO DE POSTVENTAS:  ",GENERAL!AA90))</f>
        <v>OK
ESTADO DE POSTVENTAS:  POSTVENTA CORREGIDA</v>
      </c>
      <c r="AA89" s="51" t="str">
        <f>+IF(GENERAL!AB90=GENERAL!$AI$2,GENERAL!$AI$2,CONCATENATE(OBSERVACIONES!AA89,"
ESTADO DE POSTVENTAS:  ",GENERAL!AB90))</f>
        <v>OK
ESTADO DE POSTVENTAS:  POSTVENTA CORREGIDA</v>
      </c>
      <c r="AB89" s="51" t="str">
        <f>+IF(GENERAL!AC90=GENERAL!$AI$2,GENERAL!$AI$2,CONCATENATE(OBSERVACIONES!AB89,"
ESTADO DE POSTVENTAS:  ",GENERAL!AC90))</f>
        <v>OK
ESTADO DE POSTVENTAS:  POSTVENTA CORREGIDA</v>
      </c>
      <c r="AC89" s="51" t="str">
        <f>+IF(GENERAL!AD90=GENERAL!$AI$2,GENERAL!$AI$2,CONCATENATE(OBSERVACIONES!AC89,"
ESTADO DE POSTVENTAS:  ",GENERAL!AD90))</f>
        <v>OK
ESTADO DE POSTVENTAS:  POSTVENTA CORREGIDA</v>
      </c>
      <c r="AD89" s="51" t="str">
        <f>+IF(GENERAL!AE90=GENERAL!$AI$2,GENERAL!$AI$2,CONCATENATE(OBSERVACIONES!AD89,"
ESTADO DE POSTVENTAS:  ",GENERAL!AE90))</f>
        <v>OK
ESTADO DE POSTVENTAS:  POSTVENTA CORREGIDA</v>
      </c>
      <c r="AE89" s="51" t="str">
        <f>+IF(GENERAL!AF90=GENERAL!$AI$2,GENERAL!$AI$2,CONCATENATE(OBSERVACIONES!AE89,"
ESTADO DE POSTVENTAS:  ",GENERAL!AF90))</f>
        <v>OK
ESTADO DE POSTVENTAS:  POSTVENTA CORREGIDA</v>
      </c>
      <c r="AF89" s="51" t="str">
        <f>+IF(GENERAL!AG90=GENERAL!$AI$2,GENERAL!$AI$2,CONCATENATE(OBSERVACIONES!AF89,"
ESTADO DE POSTVENTAS:  ",GENERAL!AG90))</f>
        <v>OK
ESTADO DE POSTVENTAS:  POSTVENTA CORREGIDA</v>
      </c>
      <c r="AG89" s="51" t="str">
        <f>+IF(GENERAL!AH90=GENERAL!$AI$2,GENERAL!$AI$2,CONCATENATE(OBSERVACIONES!AG89,"
ESTADO DE POSTVENTAS:  ",GENERAL!AH90))</f>
        <v>OK
ESTADO DE POSTVENTAS:  POSTVENTA CORREGIDA</v>
      </c>
      <c r="AH89" s="51" t="str">
        <f>+IF(GENERAL!AI90=GENERAL!$AI$2,GENERAL!$AI$2,CONCATENATE(OBSERVACIONES!AH89,"
ESTADO DE POSTVENTAS:  ",GENERAL!AI90))</f>
        <v>OK
ESTADO DE POSTVENTAS:  POSTVENTA CORREGIDA</v>
      </c>
      <c r="AI89" s="51" t="str">
        <f>+IF(GENERAL!AG90=GENERAL!$AI$2,GENERAL!$AI$2,CONCATENATE(OBSERVACIONES!AF89,"
ESTADO DE POSTVENTAS:  ",GENERAL!AG90))</f>
        <v>OK
ESTADO DE POSTVENTAS:  POSTVENTA CORREGIDA</v>
      </c>
      <c r="AJ89" s="51" t="str">
        <f>+IF(GENERAL!AI90=GENERAL!$AI$2,GENERAL!$AI$2,CONCATENATE(OBSERVACIONES!AH89,"
ESTADO DE POSTVENTAS:  ",GENERAL!AI90))</f>
        <v>OK
ESTADO DE POSTVENTAS:  POSTVENTA CORREGIDA</v>
      </c>
      <c r="AK89" s="51" t="str">
        <f>+IF(GENERAL!AJ90=GENERAL!$AI$2,GENERAL!$AI$2,CONCATENATE(OBSERVACIONES!AI89,"
ESTADO DE POSTVENTAS:  ",GENERAL!AJ90))</f>
        <v>OK
ESTADO DE POSTVENTAS:  POSTVENTA CORREGIDA</v>
      </c>
      <c r="AL89" s="51" t="str">
        <f>+IF(GENERAL!AK90=GENERAL!$AI$2,GENERAL!$AI$2,CONCATENATE(OBSERVACIONES!AJ89,"
ESTADO DE POSTVENTAS:  ",GENERAL!AK90))</f>
        <v>OK
ESTADO DE POSTVENTAS:  POSTVENTA CORREGIDA</v>
      </c>
      <c r="AM89" s="70" t="str">
        <f>+IF(GENERAL!AN90=GENERAL!$AI$2,GENERAL!$AI$2,CONCATENATE(OBSERVACIONES!AM89,"
ESTADO DE POSTVENTAS:  ",GENERAL!AN90))</f>
        <v>DETALLE FIJADO
ESTADO DE POSTVENTAS:  TIENE POSTVENTA</v>
      </c>
      <c r="AN89" s="37">
        <v>2</v>
      </c>
      <c r="AO89" s="37">
        <v>9</v>
      </c>
      <c r="AP89" s="37">
        <v>3</v>
      </c>
      <c r="AQ89" s="37">
        <v>2</v>
      </c>
      <c r="AR89" s="43">
        <v>12</v>
      </c>
      <c r="AS89" s="40">
        <v>12</v>
      </c>
      <c r="AT89" s="37">
        <f>COUNTIFS($D$5:$AM$5,"&lt;&gt;"&amp;CODICIONALES!$A$1,$D$5:$AM$5,"&lt;&gt;"&amp;CODICIONALES!$A$2,$D$5:$AM$5,"&lt;&gt;"&amp;CODICIONALES!$B$2,$D$5:$AM$5,"&lt;&gt;"&amp;CODICIONALES!$C$2)</f>
        <v>6</v>
      </c>
      <c r="AU89" s="43">
        <f>COUNTIFS(D89:AM89,CODICIONALES!$A$2)</f>
        <v>31</v>
      </c>
      <c r="AV89" s="40">
        <f t="shared" si="1"/>
        <v>-1</v>
      </c>
    </row>
    <row r="90" spans="1:48" ht="51" customHeight="1" x14ac:dyDescent="0.25">
      <c r="A90" s="110"/>
      <c r="B90" s="2">
        <v>86</v>
      </c>
      <c r="C90" s="21" t="s">
        <v>54</v>
      </c>
      <c r="D90" s="51" t="str">
        <f>+IF(GENERAL!E91=GENERAL!$AI$2,GENERAL!$AI$2,CONCATENATE(OBSERVACIONES!D90,"
ESTADO DE POSTVENTAS:  ",GENERAL!E91))</f>
        <v>NO ENTREGADO
ESTADO DE POSTVENTAS:  TIENE POSTVENTA</v>
      </c>
      <c r="E90" s="51" t="str">
        <f>+IF(GENERAL!F91=GENERAL!$AI$2,GENERAL!$AI$2,CONCATENATE(OBSERVACIONES!E90,"
ESTADO DE POSTVENTAS:  ",GENERAL!F91))</f>
        <v>OK
ESTADO DE POSTVENTAS:  POSTVENTA CORREGIDA</v>
      </c>
      <c r="F90" s="51" t="str">
        <f>+IF(GENERAL!G91=GENERAL!$AI$2,GENERAL!$AI$2,CONCATENATE(OBSERVACIONES!F90,"
ESTADO DE POSTVENTAS:  ",GENERAL!G91))</f>
        <v>OK
ESTADO DE POSTVENTAS:  POSTVENTA CORREGIDA</v>
      </c>
      <c r="G90" s="51" t="str">
        <f>+IF(GENERAL!H91=GENERAL!$AI$2,GENERAL!$AI$2,CONCATENATE(OBSERVACIONES!G90,"
ESTADO DE POSTVENTAS:  ",GENERAL!H91))</f>
        <v>NO ENTREGADO
ESTADO DE POSTVENTAS:  TIENE POSTVENTA</v>
      </c>
      <c r="H90" s="51" t="str">
        <f>+IF(GENERAL!I91=GENERAL!$AI$2,GENERAL!$AI$2,CONCATENATE(OBSERVACIONES!H90,"
ESTADO DE POSTVENTAS:  ",GENERAL!I91))</f>
        <v>OK
ESTADO DE POSTVENTAS:  POSTVENTA CORREGIDA</v>
      </c>
      <c r="I90" s="51" t="str">
        <f>+IF(GENERAL!J91=GENERAL!$AI$2,GENERAL!$AI$2,CONCATENATE(OBSERVACIONES!I90,"
ESTADO DE POSTVENTAS:  ",GENERAL!J91))</f>
        <v>OK
ESTADO DE POSTVENTAS:  POSTVENTA CORREGIDA</v>
      </c>
      <c r="J90" s="51" t="str">
        <f>+IF(GENERAL!K91=GENERAL!$AI$2,GENERAL!$AI$2,CONCATENATE(OBSERVACIONES!J90,"
ESTADO DE POSTVENTAS:  ",GENERAL!K91))</f>
        <v>OK
ESTADO DE POSTVENTAS:  POSTVENTA CORREGIDA</v>
      </c>
      <c r="K90" s="51" t="str">
        <f>+IF(GENERAL!L91=GENERAL!$AI$2,GENERAL!$AI$2,CONCATENATE(OBSERVACIONES!K90,"
ESTADO DE POSTVENTAS:  ",GENERAL!L91))</f>
        <v>OK
ESTADO DE POSTVENTAS:  POSTVENTA CORREGIDA</v>
      </c>
      <c r="L90" s="51" t="str">
        <f>+IF(GENERAL!M91=GENERAL!$AI$2,GENERAL!$AI$2,CONCATENATE(OBSERVACIONES!L90,"
ESTADO DE POSTVENTAS:  ",GENERAL!M91))</f>
        <v>OK
ESTADO DE POSTVENTAS:  POSTVENTA CORREGIDA</v>
      </c>
      <c r="M90" s="70" t="str">
        <f>+IF(GENERAL!N91=GENERAL!$AI$2,GENERAL!$AI$2,CONCATENATE(OBSERVACIONES!M90,"
ESTADO DE POSTVENTAS:  ",GENERAL!N91))</f>
        <v>OK
ESTADO DE POSTVENTAS:  POSTVENTA CORREGIDA</v>
      </c>
      <c r="N90" s="51" t="str">
        <f>+IF(GENERAL!O91=GENERAL!$AI$2,GENERAL!$AI$2,CONCATENATE(OBSERVACIONES!N90,"
ESTADO DE POSTVENTAS:  ",GENERAL!O91))</f>
        <v>OK
ESTADO DE POSTVENTAS:  POSTVENTA CORREGIDA</v>
      </c>
      <c r="O90" s="51" t="str">
        <f>+IF(GENERAL!P91=GENERAL!$AI$2,GENERAL!$AI$2,CONCATENATE(OBSERVACIONES!O90,"
ESTADO DE POSTVENTAS:  ",GENERAL!P91))</f>
        <v>OK
ESTADO DE POSTVENTAS:  POSTVENTA CORREGIDA</v>
      </c>
      <c r="P90" s="70" t="str">
        <f>+IF(GENERAL!Q91=GENERAL!$AI$2,GENERAL!$AI$2,CONCATENATE(OBSERVACIONES!P90,"
ESTADO DE POSTVENTAS:  ",GENERAL!Q91))</f>
        <v>OK
ESTADO DE POSTVENTAS:  POSTVENTA CORREGIDA</v>
      </c>
      <c r="Q90" s="70" t="str">
        <f>+IF(GENERAL!R91=GENERAL!$AI$2,GENERAL!$AI$2,CONCATENATE(OBSERVACIONES!Q90,"
ESTADO DE POSTVENTAS:  ",GENERAL!R91))</f>
        <v>DETALLE CAMBIO
ESTADO DE POSTVENTAS:  TIENE POSTVENTA</v>
      </c>
      <c r="R90" s="51" t="str">
        <f>+IF(GENERAL!S91=GENERAL!$AI$2,GENERAL!$AI$2,CONCATENATE(OBSERVACIONES!R90,"
ESTADO DE POSTVENTAS:  ",GENERAL!S91))</f>
        <v>OK
ESTADO DE POSTVENTAS:  POSTVENTA CORREGIDA</v>
      </c>
      <c r="S90" s="51" t="str">
        <f>+IF(GENERAL!T91=GENERAL!$AI$2,GENERAL!$AI$2,CONCATENATE(OBSERVACIONES!S90,"
ESTADO DE POSTVENTAS:  ",GENERAL!T91))</f>
        <v>OK
ESTADO DE POSTVENTAS:  POSTVENTA CORREGIDA</v>
      </c>
      <c r="T90" s="51" t="str">
        <f>+IF(GENERAL!U91=GENERAL!$AI$2,GENERAL!$AI$2,CONCATENATE(OBSERVACIONES!T90,"
ESTADO DE POSTVENTAS:  ",GENERAL!U91))</f>
        <v>OK
ESTADO DE POSTVENTAS:  POSTVENTA CORREGIDA</v>
      </c>
      <c r="U90" s="51" t="str">
        <f>+IF(GENERAL!V91=GENERAL!$AI$2,GENERAL!$AI$2,CONCATENATE(OBSERVACIONES!U90,"
ESTADO DE POSTVENTAS:  ",GENERAL!V91))</f>
        <v>OK
ESTADO DE POSTVENTAS:  POSTVENTA CORREGIDA</v>
      </c>
      <c r="V90" s="51" t="str">
        <f>+IF(GENERAL!W91=GENERAL!$AI$2,GENERAL!$AI$2,CONCATENATE(OBSERVACIONES!V90,"
ESTADO DE POSTVENTAS:  ",GENERAL!W91))</f>
        <v>OK
ESTADO DE POSTVENTAS:  POSTVENTA CORREGIDA</v>
      </c>
      <c r="W90" s="51" t="str">
        <f>+IF(GENERAL!V91=GENERAL!$AI$2,GENERAL!$AI$2,CONCATENATE(OBSERVACIONES!W90,"
ESTADO DE POSTVENTAS:  ",GENERAL!V91))</f>
        <v>OK
ESTADO DE POSTVENTAS:  POSTVENTA CORREGIDA</v>
      </c>
      <c r="X90" s="51" t="str">
        <f>+IF(GENERAL!W91=GENERAL!$AI$2,GENERAL!$AI$2,CONCATENATE(OBSERVACIONES!X90,"
ESTADO DE POSTVENTAS:  ",GENERAL!W91))</f>
        <v>OK
ESTADO DE POSTVENTAS:  POSTVENTA CORREGIDA</v>
      </c>
      <c r="Y90" s="51" t="str">
        <f>+IF(GENERAL!Z91=GENERAL!$AI$2,GENERAL!$AI$2,CONCATENATE(OBSERVACIONES!Y90,"
ESTADO DE POSTVENTAS:  ",GENERAL!Z91))</f>
        <v>OK
ESTADO DE POSTVENTAS:  POSTVENTA CORREGIDA</v>
      </c>
      <c r="Z90" s="51" t="str">
        <f>+IF(GENERAL!AA91=GENERAL!$AI$2,GENERAL!$AI$2,CONCATENATE(OBSERVACIONES!Z90,"
ESTADO DE POSTVENTAS:  ",GENERAL!AA91))</f>
        <v>OK
ESTADO DE POSTVENTAS:  POSTVENTA CORREGIDA</v>
      </c>
      <c r="AA90" s="51" t="str">
        <f>+IF(GENERAL!AB91=GENERAL!$AI$2,GENERAL!$AI$2,CONCATENATE(OBSERVACIONES!AA90,"
ESTADO DE POSTVENTAS:  ",GENERAL!AB91))</f>
        <v>OK
ESTADO DE POSTVENTAS:  POSTVENTA CORREGIDA</v>
      </c>
      <c r="AB90" s="51" t="str">
        <f>+IF(GENERAL!AC91=GENERAL!$AI$2,GENERAL!$AI$2,CONCATENATE(OBSERVACIONES!AB90,"
ESTADO DE POSTVENTAS:  ",GENERAL!AC91))</f>
        <v>OK
ESTADO DE POSTVENTAS:  POSTVENTA CORREGIDA</v>
      </c>
      <c r="AC90" s="51" t="str">
        <f>+IF(GENERAL!AD91=GENERAL!$AI$2,GENERAL!$AI$2,CONCATENATE(OBSERVACIONES!AC90,"
ESTADO DE POSTVENTAS:  ",GENERAL!AD91))</f>
        <v>OK
ESTADO DE POSTVENTAS:  POSTVENTA CORREGIDA</v>
      </c>
      <c r="AD90" s="51" t="str">
        <f>+IF(GENERAL!AE91=GENERAL!$AI$2,GENERAL!$AI$2,CONCATENATE(OBSERVACIONES!AD90,"
ESTADO DE POSTVENTAS:  ",GENERAL!AE91))</f>
        <v>OK
ESTADO DE POSTVENTAS:  POSTVENTA CORREGIDA</v>
      </c>
      <c r="AE90" s="51" t="str">
        <f>+IF(GENERAL!AF91=GENERAL!$AI$2,GENERAL!$AI$2,CONCATENATE(OBSERVACIONES!AE90,"
ESTADO DE POSTVENTAS:  ",GENERAL!AF91))</f>
        <v>OK
ESTADO DE POSTVENTAS:  POSTVENTA CORREGIDA</v>
      </c>
      <c r="AF90" s="51" t="str">
        <f>+IF(GENERAL!AG91=GENERAL!$AI$2,GENERAL!$AI$2,CONCATENATE(OBSERVACIONES!AF90,"
ESTADO DE POSTVENTAS:  ",GENERAL!AG91))</f>
        <v>OK
ESTADO DE POSTVENTAS:  POSTVENTA CORREGIDA</v>
      </c>
      <c r="AG90" s="51" t="str">
        <f>+IF(GENERAL!AH91=GENERAL!$AI$2,GENERAL!$AI$2,CONCATENATE(OBSERVACIONES!AG90,"
ESTADO DE POSTVENTAS:  ",GENERAL!AH91))</f>
        <v>OK
ESTADO DE POSTVENTAS:  POSTVENTA CORREGIDA</v>
      </c>
      <c r="AH90" s="51" t="str">
        <f>+IF(GENERAL!AI91=GENERAL!$AI$2,GENERAL!$AI$2,CONCATENATE(OBSERVACIONES!AH90,"
ESTADO DE POSTVENTAS:  ",GENERAL!AI91))</f>
        <v>OK
ESTADO DE POSTVENTAS:  POSTVENTA CORREGIDA</v>
      </c>
      <c r="AI90" s="51" t="str">
        <f>+IF(GENERAL!AG91=GENERAL!$AI$2,GENERAL!$AI$2,CONCATENATE(OBSERVACIONES!AF90,"
ESTADO DE POSTVENTAS:  ",GENERAL!AG91))</f>
        <v>OK
ESTADO DE POSTVENTAS:  POSTVENTA CORREGIDA</v>
      </c>
      <c r="AJ90" s="51" t="str">
        <f>+IF(GENERAL!AI91=GENERAL!$AI$2,GENERAL!$AI$2,CONCATENATE(OBSERVACIONES!AH90,"
ESTADO DE POSTVENTAS:  ",GENERAL!AI91))</f>
        <v>OK
ESTADO DE POSTVENTAS:  POSTVENTA CORREGIDA</v>
      </c>
      <c r="AK90" s="51" t="str">
        <f>+IF(GENERAL!AJ91=GENERAL!$AI$2,GENERAL!$AI$2,CONCATENATE(OBSERVACIONES!AI90,"
ESTADO DE POSTVENTAS:  ",GENERAL!AJ91))</f>
        <v>OK
ESTADO DE POSTVENTAS:  POSTVENTA CORREGIDA</v>
      </c>
      <c r="AL90" s="51" t="str">
        <f>+IF(GENERAL!AK91=GENERAL!$AI$2,GENERAL!$AI$2,CONCATENATE(OBSERVACIONES!AJ90,"
ESTADO DE POSTVENTAS:  ",GENERAL!AK91))</f>
        <v>OK
ESTADO DE POSTVENTAS:  POSTVENTA CORREGIDA</v>
      </c>
      <c r="AM90" s="51" t="str">
        <f>+IF(GENERAL!AN91=GENERAL!$AI$2,GENERAL!$AI$2,CONCATENATE(OBSERVACIONES!AM90,"
ESTADO DE POSTVENTAS:  ",GENERAL!AN91))</f>
        <v>OK
ESTADO DE POSTVENTAS:  POSTVENTA CORREGIDA</v>
      </c>
      <c r="AN90" s="37">
        <v>0</v>
      </c>
      <c r="AO90" s="37">
        <v>11</v>
      </c>
      <c r="AP90" s="37">
        <v>3</v>
      </c>
      <c r="AQ90" s="37">
        <v>0</v>
      </c>
      <c r="AR90" s="43">
        <v>14</v>
      </c>
      <c r="AS90" s="40">
        <v>12</v>
      </c>
      <c r="AT90" s="37">
        <f>COUNTIFS($D$5:$AM$5,"&lt;&gt;"&amp;CODICIONALES!$A$1,$D$5:$AM$5,"&lt;&gt;"&amp;CODICIONALES!$A$2,$D$5:$AM$5,"&lt;&gt;"&amp;CODICIONALES!$B$2,$D$5:$AM$5,"&lt;&gt;"&amp;CODICIONALES!$C$2)</f>
        <v>6</v>
      </c>
      <c r="AU90" s="43">
        <f>COUNTIFS(D90:AM90,CODICIONALES!$A$2)</f>
        <v>33</v>
      </c>
      <c r="AV90" s="40">
        <f t="shared" si="1"/>
        <v>-3</v>
      </c>
    </row>
    <row r="91" spans="1:48" ht="51" customHeight="1" x14ac:dyDescent="0.25">
      <c r="A91" s="110"/>
      <c r="B91" s="2">
        <v>87</v>
      </c>
      <c r="C91" s="21" t="s">
        <v>55</v>
      </c>
      <c r="D91" s="51" t="str">
        <f>+IF(GENERAL!E92=GENERAL!$AI$2,GENERAL!$AI$2,CONCATENATE(OBSERVACIONES!D91,"
ESTADO DE POSTVENTAS:  ",GENERAL!E92))</f>
        <v>NO ENTREGADO
ESTADO DE POSTVENTAS:  TIENE POSTVENTA</v>
      </c>
      <c r="E91" s="70" t="str">
        <f>+IF(GENERAL!F92=GENERAL!$AI$2,GENERAL!$AI$2,CONCATENATE(OBSERVACIONES!E91,"
ESTADO DE POSTVENTAS:  ",GENERAL!F92))</f>
        <v>OK
ESTADO DE POSTVENTAS:  POSTVENTA CORREGIDA</v>
      </c>
      <c r="F91" s="51" t="str">
        <f>+IF(GENERAL!G92=GENERAL!$AI$2,GENERAL!$AI$2,CONCATENATE(OBSERVACIONES!F91,"
ESTADO DE POSTVENTAS:  ",GENERAL!G92))</f>
        <v>OK
ESTADO DE POSTVENTAS:  POSTVENTA CORREGIDA</v>
      </c>
      <c r="G91" s="51" t="str">
        <f>+IF(GENERAL!H92=GENERAL!$AI$2,GENERAL!$AI$2,CONCATENATE(OBSERVACIONES!G91,"
ESTADO DE POSTVENTAS:  ",GENERAL!H92))</f>
        <v>NO ENTREGADO
ESTADO DE POSTVENTAS:  TIENE POSTVENTA</v>
      </c>
      <c r="H91" s="51" t="str">
        <f>+IF(GENERAL!I92=GENERAL!$AI$2,GENERAL!$AI$2,CONCATENATE(OBSERVACIONES!H91,"
ESTADO DE POSTVENTAS:  ",GENERAL!I92))</f>
        <v>OK
ESTADO DE POSTVENTAS:  POSTVENTA CORREGIDA</v>
      </c>
      <c r="I91" s="51" t="str">
        <f>+IF(GENERAL!J92=GENERAL!$AI$2,GENERAL!$AI$2,CONCATENATE(OBSERVACIONES!I91,"
ESTADO DE POSTVENTAS:  ",GENERAL!J92))</f>
        <v>OK
ESTADO DE POSTVENTAS:  POSTVENTA CORREGIDA</v>
      </c>
      <c r="J91" s="51" t="str">
        <f>+IF(GENERAL!K92=GENERAL!$AI$2,GENERAL!$AI$2,CONCATENATE(OBSERVACIONES!J91,"
ESTADO DE POSTVENTAS:  ",GENERAL!K92))</f>
        <v>OK
ESTADO DE POSTVENTAS:  POSTVENTA CORREGIDA</v>
      </c>
      <c r="K91" s="51" t="str">
        <f>+IF(GENERAL!L92=GENERAL!$AI$2,GENERAL!$AI$2,CONCATENATE(OBSERVACIONES!K91,"
ESTADO DE POSTVENTAS:  ",GENERAL!L92))</f>
        <v>OK
ESTADO DE POSTVENTAS:  POSTVENTA CORREGIDA</v>
      </c>
      <c r="L91" s="51" t="str">
        <f>+IF(GENERAL!M92=GENERAL!$AI$2,GENERAL!$AI$2,CONCATENATE(OBSERVACIONES!L91,"
ESTADO DE POSTVENTAS:  ",GENERAL!M92))</f>
        <v>OK
ESTADO DE POSTVENTAS:  POSTVENTA CORREGIDA</v>
      </c>
      <c r="M91" s="70" t="str">
        <f>+IF(GENERAL!N92=GENERAL!$AI$2,GENERAL!$AI$2,CONCATENATE(OBSERVACIONES!M91,"
ESTADO DE POSTVENTAS:  ",GENERAL!N92))</f>
        <v>OK
ESTADO DE POSTVENTAS:  POSTVENTA CORREGIDA</v>
      </c>
      <c r="N91" s="51" t="str">
        <f>+IF(GENERAL!O92=GENERAL!$AI$2,GENERAL!$AI$2,CONCATENATE(OBSERVACIONES!N91,"
ESTADO DE POSTVENTAS:  ",GENERAL!O92))</f>
        <v>OK
ESTADO DE POSTVENTAS:  POSTVENTA CORREGIDA</v>
      </c>
      <c r="O91" s="51" t="str">
        <f>+IF(GENERAL!P92=GENERAL!$AI$2,GENERAL!$AI$2,CONCATENATE(OBSERVACIONES!O91,"
ESTADO DE POSTVENTAS:  ",GENERAL!P92))</f>
        <v>OK
ESTADO DE POSTVENTAS:  POSTVENTA CORREGIDA</v>
      </c>
      <c r="P91" s="70" t="str">
        <f>+IF(GENERAL!Q92=GENERAL!$AI$2,GENERAL!$AI$2,CONCATENATE(OBSERVACIONES!P91,"
ESTADO DE POSTVENTAS:  ",GENERAL!Q92))</f>
        <v>OK
ESTADO DE POSTVENTAS:  POSTVENTA CORREGIDA</v>
      </c>
      <c r="Q91" s="70" t="str">
        <f>+IF(GENERAL!R92=GENERAL!$AI$2,GENERAL!$AI$2,CONCATENATE(OBSERVACIONES!Q91,"
ESTADO DE POSTVENTAS:  ",GENERAL!R92))</f>
        <v>OK
ESTADO DE POSTVENTAS:  POSTVENTA CORREGIDA</v>
      </c>
      <c r="R91" s="51" t="str">
        <f>+IF(GENERAL!S92=GENERAL!$AI$2,GENERAL!$AI$2,CONCATENATE(OBSERVACIONES!R91,"
ESTADO DE POSTVENTAS:  ",GENERAL!S92))</f>
        <v>OK
ESTADO DE POSTVENTAS:  POSTVENTA CORREGIDA</v>
      </c>
      <c r="S91" s="51" t="str">
        <f>+IF(GENERAL!T92=GENERAL!$AI$2,GENERAL!$AI$2,CONCATENATE(OBSERVACIONES!S91,"
ESTADO DE POSTVENTAS:  ",GENERAL!T92))</f>
        <v>OK
ESTADO DE POSTVENTAS:  POSTVENTA CORREGIDA</v>
      </c>
      <c r="T91" s="51" t="str">
        <f>+IF(GENERAL!U92=GENERAL!$AI$2,GENERAL!$AI$2,CONCATENATE(OBSERVACIONES!T91,"
ESTADO DE POSTVENTAS:  ",GENERAL!U92))</f>
        <v>OK
ESTADO DE POSTVENTAS:  POSTVENTA CORREGIDA</v>
      </c>
      <c r="U91" s="51" t="str">
        <f>+IF(GENERAL!V92=GENERAL!$AI$2,GENERAL!$AI$2,CONCATENATE(OBSERVACIONES!U91,"
ESTADO DE POSTVENTAS:  ",GENERAL!V92))</f>
        <v>OK
ESTADO DE POSTVENTAS:  POSTVENTA CORREGIDA</v>
      </c>
      <c r="V91" s="51" t="str">
        <f>+IF(GENERAL!W92=GENERAL!$AI$2,GENERAL!$AI$2,CONCATENATE(OBSERVACIONES!V91,"
ESTADO DE POSTVENTAS:  ",GENERAL!W92))</f>
        <v>OK
ESTADO DE POSTVENTAS:  POSTVENTA CORREGIDA</v>
      </c>
      <c r="W91" s="51" t="str">
        <f>+IF(GENERAL!V92=GENERAL!$AI$2,GENERAL!$AI$2,CONCATENATE(OBSERVACIONES!W91,"
ESTADO DE POSTVENTAS:  ",GENERAL!V92))</f>
        <v>OK
ESTADO DE POSTVENTAS:  POSTVENTA CORREGIDA</v>
      </c>
      <c r="X91" s="51" t="str">
        <f>+IF(GENERAL!W92=GENERAL!$AI$2,GENERAL!$AI$2,CONCATENATE(OBSERVACIONES!X91,"
ESTADO DE POSTVENTAS:  ",GENERAL!W92))</f>
        <v>OK
ESTADO DE POSTVENTAS:  POSTVENTA CORREGIDA</v>
      </c>
      <c r="Y91" s="51" t="str">
        <f>+IF(GENERAL!Z92=GENERAL!$AI$2,GENERAL!$AI$2,CONCATENATE(OBSERVACIONES!Y91,"
ESTADO DE POSTVENTAS:  ",GENERAL!Z92))</f>
        <v>OK
ESTADO DE POSTVENTAS:  POSTVENTA CORREGIDA</v>
      </c>
      <c r="Z91" s="51" t="str">
        <f>+IF(GENERAL!AA92=GENERAL!$AI$2,GENERAL!$AI$2,CONCATENATE(OBSERVACIONES!Z91,"
ESTADO DE POSTVENTAS:  ",GENERAL!AA92))</f>
        <v>OK
ESTADO DE POSTVENTAS:  POSTVENTA CORREGIDA</v>
      </c>
      <c r="AA91" s="51" t="str">
        <f>+IF(GENERAL!AB92=GENERAL!$AI$2,GENERAL!$AI$2,CONCATENATE(OBSERVACIONES!AA91,"
ESTADO DE POSTVENTAS:  ",GENERAL!AB92))</f>
        <v>OK
ESTADO DE POSTVENTAS:  POSTVENTA CORREGIDA</v>
      </c>
      <c r="AB91" s="51" t="str">
        <f>+IF(GENERAL!AC92=GENERAL!$AI$2,GENERAL!$AI$2,CONCATENATE(OBSERVACIONES!AB91,"
ESTADO DE POSTVENTAS:  ",GENERAL!AC92))</f>
        <v>OK
ESTADO DE POSTVENTAS:  POSTVENTA CORREGIDA</v>
      </c>
      <c r="AC91" s="51" t="str">
        <f>+IF(GENERAL!AD92=GENERAL!$AI$2,GENERAL!$AI$2,CONCATENATE(OBSERVACIONES!AC91,"
ESTADO DE POSTVENTAS:  ",GENERAL!AD92))</f>
        <v>OK
ESTADO DE POSTVENTAS:  POSTVENTA CORREGIDA</v>
      </c>
      <c r="AD91" s="51" t="str">
        <f>+IF(GENERAL!AE92=GENERAL!$AI$2,GENERAL!$AI$2,CONCATENATE(OBSERVACIONES!AD91,"
ESTADO DE POSTVENTAS:  ",GENERAL!AE92))</f>
        <v>OK
ESTADO DE POSTVENTAS:  POSTVENTA CORREGIDA</v>
      </c>
      <c r="AE91" s="51" t="str">
        <f>+IF(GENERAL!AF92=GENERAL!$AI$2,GENERAL!$AI$2,CONCATENATE(OBSERVACIONES!AE91,"
ESTADO DE POSTVENTAS:  ",GENERAL!AF92))</f>
        <v>OK
ESTADO DE POSTVENTAS:  POSTVENTA CORREGIDA</v>
      </c>
      <c r="AF91" s="51" t="str">
        <f>+IF(GENERAL!AG92=GENERAL!$AI$2,GENERAL!$AI$2,CONCATENATE(OBSERVACIONES!AF91,"
ESTADO DE POSTVENTAS:  ",GENERAL!AG92))</f>
        <v>OK
ESTADO DE POSTVENTAS:  POSTVENTA CORREGIDA</v>
      </c>
      <c r="AG91" s="51" t="str">
        <f>+IF(GENERAL!AH92=GENERAL!$AI$2,GENERAL!$AI$2,CONCATENATE(OBSERVACIONES!AG91,"
ESTADO DE POSTVENTAS:  ",GENERAL!AH92))</f>
        <v>OK
ESTADO DE POSTVENTAS:  POSTVENTA CORREGIDA</v>
      </c>
      <c r="AH91" s="51" t="str">
        <f>+IF(GENERAL!AI92=GENERAL!$AI$2,GENERAL!$AI$2,CONCATENATE(OBSERVACIONES!AH91,"
ESTADO DE POSTVENTAS:  ",GENERAL!AI92))</f>
        <v>OK
ESTADO DE POSTVENTAS:  POSTVENTA CORREGIDA</v>
      </c>
      <c r="AI91" s="51" t="str">
        <f>+IF(GENERAL!AG92=GENERAL!$AI$2,GENERAL!$AI$2,CONCATENATE(OBSERVACIONES!AF91,"
ESTADO DE POSTVENTAS:  ",GENERAL!AG92))</f>
        <v>OK
ESTADO DE POSTVENTAS:  POSTVENTA CORREGIDA</v>
      </c>
      <c r="AJ91" s="51" t="str">
        <f>+IF(GENERAL!AI92=GENERAL!$AI$2,GENERAL!$AI$2,CONCATENATE(OBSERVACIONES!AH91,"
ESTADO DE POSTVENTAS:  ",GENERAL!AI92))</f>
        <v>OK
ESTADO DE POSTVENTAS:  POSTVENTA CORREGIDA</v>
      </c>
      <c r="AK91" s="51" t="str">
        <f>+IF(GENERAL!AJ92=GENERAL!$AI$2,GENERAL!$AI$2,CONCATENATE(OBSERVACIONES!AI91,"
ESTADO DE POSTVENTAS:  ",GENERAL!AJ92))</f>
        <v>OK
ESTADO DE POSTVENTAS:  POSTVENTA CORREGIDA</v>
      </c>
      <c r="AL91" s="51" t="str">
        <f>+IF(GENERAL!AK92=GENERAL!$AI$2,GENERAL!$AI$2,CONCATENATE(OBSERVACIONES!AJ91,"
ESTADO DE POSTVENTAS:  ",GENERAL!AK92))</f>
        <v>OK
ESTADO DE POSTVENTAS:  POSTVENTA CORREGIDA</v>
      </c>
      <c r="AM91" s="51" t="str">
        <f>+IF(GENERAL!AN92=GENERAL!$AI$2,GENERAL!$AI$2,CONCATENATE(OBSERVACIONES!AM91,"
ESTADO DE POSTVENTAS:  ",GENERAL!AN92))</f>
        <v>OK
ESTADO DE POSTVENTAS:  POSTVENTA CORREGIDA</v>
      </c>
      <c r="AN91" s="37">
        <v>0</v>
      </c>
      <c r="AO91" s="37">
        <v>11</v>
      </c>
      <c r="AP91" s="37">
        <v>3</v>
      </c>
      <c r="AQ91" s="37">
        <v>1</v>
      </c>
      <c r="AR91" s="43">
        <v>14</v>
      </c>
      <c r="AS91" s="40">
        <v>11</v>
      </c>
      <c r="AT91" s="37">
        <f>COUNTIFS($D$5:$AM$5,"&lt;&gt;"&amp;CODICIONALES!$A$1,$D$5:$AM$5,"&lt;&gt;"&amp;CODICIONALES!$A$2,$D$5:$AM$5,"&lt;&gt;"&amp;CODICIONALES!$B$2,$D$5:$AM$5,"&lt;&gt;"&amp;CODICIONALES!$C$2)</f>
        <v>6</v>
      </c>
      <c r="AU91" s="43">
        <f>COUNTIFS(D91:AM91,CODICIONALES!$A$2)</f>
        <v>34</v>
      </c>
      <c r="AV91" s="40">
        <f t="shared" si="1"/>
        <v>-4</v>
      </c>
    </row>
    <row r="92" spans="1:48" ht="51" customHeight="1" x14ac:dyDescent="0.25">
      <c r="A92" s="110"/>
      <c r="B92" s="2">
        <v>88</v>
      </c>
      <c r="C92" s="21" t="s">
        <v>57</v>
      </c>
      <c r="D92" s="51" t="str">
        <f>+IF(GENERAL!E93=GENERAL!$AI$2,GENERAL!$AI$2,CONCATENATE(OBSERVACIONES!D92,"
ESTADO DE POSTVENTAS:  ",GENERAL!E93))</f>
        <v>NO ENTREGADO
ESTADO DE POSTVENTAS:  TIENE POSTVENTA</v>
      </c>
      <c r="E92" s="70" t="str">
        <f>+IF(GENERAL!F93=GENERAL!$AI$2,GENERAL!$AI$2,CONCATENATE(OBSERVACIONES!E92,"
ESTADO DE POSTVENTAS:  ",GENERAL!F93))</f>
        <v>OK
ESTADO DE POSTVENTAS:  POSTVENTA CORREGIDA</v>
      </c>
      <c r="F92" s="51" t="str">
        <f>+IF(GENERAL!G93=GENERAL!$AI$2,GENERAL!$AI$2,CONCATENATE(OBSERVACIONES!F92,"
ESTADO DE POSTVENTAS:  ",GENERAL!G93))</f>
        <v>OK
ESTADO DE POSTVENTAS:  POSTVENTA CORREGIDA</v>
      </c>
      <c r="G92" s="51" t="str">
        <f>+IF(GENERAL!H93=GENERAL!$AI$2,GENERAL!$AI$2,CONCATENATE(OBSERVACIONES!G92,"
ESTADO DE POSTVENTAS:  ",GENERAL!H93))</f>
        <v>NO ENTREGADO
ESTADO DE POSTVENTAS:  TIENE POSTVENTA</v>
      </c>
      <c r="H92" s="51" t="str">
        <f>+IF(GENERAL!I93=GENERAL!$AI$2,GENERAL!$AI$2,CONCATENATE(OBSERVACIONES!H92,"
ESTADO DE POSTVENTAS:  ",GENERAL!I93))</f>
        <v>OK
ESTADO DE POSTVENTAS:  POSTVENTA CORREGIDA</v>
      </c>
      <c r="I92" s="51" t="str">
        <f>+IF(GENERAL!J93=GENERAL!$AI$2,GENERAL!$AI$2,CONCATENATE(OBSERVACIONES!I92,"
ESTADO DE POSTVENTAS:  ",GENERAL!J93))</f>
        <v>OK
ESTADO DE POSTVENTAS:  POSTVENTA CORREGIDA</v>
      </c>
      <c r="J92" s="51" t="str">
        <f>+IF(GENERAL!K93=GENERAL!$AI$2,GENERAL!$AI$2,CONCATENATE(OBSERVACIONES!J92,"
ESTADO DE POSTVENTAS:  ",GENERAL!K93))</f>
        <v>OK
ESTADO DE POSTVENTAS:  POSTVENTA CORREGIDA</v>
      </c>
      <c r="K92" s="51" t="str">
        <f>+IF(GENERAL!L93=GENERAL!$AI$2,GENERAL!$AI$2,CONCATENATE(OBSERVACIONES!K92,"
ESTADO DE POSTVENTAS:  ",GENERAL!L93))</f>
        <v>OK
ESTADO DE POSTVENTAS:  POSTVENTA CORREGIDA</v>
      </c>
      <c r="L92" s="51" t="str">
        <f>+IF(GENERAL!M93=GENERAL!$AI$2,GENERAL!$AI$2,CONCATENATE(OBSERVACIONES!L92,"
ESTADO DE POSTVENTAS:  ",GENERAL!M93))</f>
        <v>OK
ESTADO DE POSTVENTAS:  POSTVENTA CORREGIDA</v>
      </c>
      <c r="M92" s="70" t="str">
        <f>+IF(GENERAL!N93=GENERAL!$AI$2,GENERAL!$AI$2,CONCATENATE(OBSERVACIONES!M92,"
ESTADO DE POSTVENTAS:  ",GENERAL!N93))</f>
        <v>OK
ESTADO DE POSTVENTAS:  POSTVENTA CORREGIDA</v>
      </c>
      <c r="N92" s="51" t="str">
        <f>+IF(GENERAL!O93=GENERAL!$AI$2,GENERAL!$AI$2,CONCATENATE(OBSERVACIONES!N92,"
ESTADO DE POSTVENTAS:  ",GENERAL!O93))</f>
        <v>OK
ESTADO DE POSTVENTAS:  POSTVENTA CORREGIDA</v>
      </c>
      <c r="O92" s="51" t="str">
        <f>+IF(GENERAL!P93=GENERAL!$AI$2,GENERAL!$AI$2,CONCATENATE(OBSERVACIONES!O92,"
ESTADO DE POSTVENTAS:  ",GENERAL!P93))</f>
        <v>OK
ESTADO DE POSTVENTAS:  POSTVENTA CORREGIDA</v>
      </c>
      <c r="P92" s="70" t="str">
        <f>+IF(GENERAL!Q93=GENERAL!$AI$2,GENERAL!$AI$2,CONCATENATE(OBSERVACIONES!P92,"
ESTADO DE POSTVENTAS:  ",GENERAL!Q93))</f>
        <v>OK
ESTADO DE POSTVENTAS:  POSTVENTA CORREGIDA</v>
      </c>
      <c r="Q92" s="70" t="str">
        <f>+IF(GENERAL!R93=GENERAL!$AI$2,GENERAL!$AI$2,CONCATENATE(OBSERVACIONES!Q92,"
ESTADO DE POSTVENTAS:  ",GENERAL!R93))</f>
        <v>OK
ESTADO DE POSTVENTAS:  POSTVENTA CORREGIDA</v>
      </c>
      <c r="R92" s="51" t="str">
        <f>+IF(GENERAL!S93=GENERAL!$AI$2,GENERAL!$AI$2,CONCATENATE(OBSERVACIONES!R92,"
ESTADO DE POSTVENTAS:  ",GENERAL!S93))</f>
        <v>OK
ESTADO DE POSTVENTAS:  POSTVENTA CORREGIDA</v>
      </c>
      <c r="S92" s="51" t="str">
        <f>+IF(GENERAL!T93=GENERAL!$AI$2,GENERAL!$AI$2,CONCATENATE(OBSERVACIONES!S92,"
ESTADO DE POSTVENTAS:  ",GENERAL!T93))</f>
        <v>OK
ESTADO DE POSTVENTAS:  POSTVENTA CORREGIDA</v>
      </c>
      <c r="T92" s="51" t="str">
        <f>+IF(GENERAL!U93=GENERAL!$AI$2,GENERAL!$AI$2,CONCATENATE(OBSERVACIONES!T92,"
ESTADO DE POSTVENTAS:  ",GENERAL!U93))</f>
        <v>OK
ESTADO DE POSTVENTAS:  POSTVENTA CORREGIDA</v>
      </c>
      <c r="U92" s="51" t="str">
        <f>+IF(GENERAL!V93=GENERAL!$AI$2,GENERAL!$AI$2,CONCATENATE(OBSERVACIONES!U92,"
ESTADO DE POSTVENTAS:  ",GENERAL!V93))</f>
        <v>OK
ESTADO DE POSTVENTAS:  POSTVENTA CORREGIDA</v>
      </c>
      <c r="V92" s="51" t="str">
        <f>+IF(GENERAL!W93=GENERAL!$AI$2,GENERAL!$AI$2,CONCATENATE(OBSERVACIONES!V92,"
ESTADO DE POSTVENTAS:  ",GENERAL!W93))</f>
        <v>OK
ESTADO DE POSTVENTAS:  POSTVENTA CORREGIDA</v>
      </c>
      <c r="W92" s="51" t="str">
        <f>+IF(GENERAL!V93=GENERAL!$AI$2,GENERAL!$AI$2,CONCATENATE(OBSERVACIONES!W92,"
ESTADO DE POSTVENTAS:  ",GENERAL!V93))</f>
        <v>OK
ESTADO DE POSTVENTAS:  POSTVENTA CORREGIDA</v>
      </c>
      <c r="X92" s="51" t="str">
        <f>+IF(GENERAL!W93=GENERAL!$AI$2,GENERAL!$AI$2,CONCATENATE(OBSERVACIONES!X92,"
ESTADO DE POSTVENTAS:  ",GENERAL!W93))</f>
        <v>OK
ESTADO DE POSTVENTAS:  POSTVENTA CORREGIDA</v>
      </c>
      <c r="Y92" s="51" t="str">
        <f>+IF(GENERAL!Z93=GENERAL!$AI$2,GENERAL!$AI$2,CONCATENATE(OBSERVACIONES!Y92,"
ESTADO DE POSTVENTAS:  ",GENERAL!Z93))</f>
        <v>OK
ESTADO DE POSTVENTAS:  POSTVENTA CORREGIDA</v>
      </c>
      <c r="Z92" s="51" t="str">
        <f>+IF(GENERAL!AA93=GENERAL!$AI$2,GENERAL!$AI$2,CONCATENATE(OBSERVACIONES!Z92,"
ESTADO DE POSTVENTAS:  ",GENERAL!AA93))</f>
        <v>OK
ESTADO DE POSTVENTAS:  POSTVENTA CORREGIDA</v>
      </c>
      <c r="AA92" s="51" t="str">
        <f>+IF(GENERAL!AB93=GENERAL!$AI$2,GENERAL!$AI$2,CONCATENATE(OBSERVACIONES!AA92,"
ESTADO DE POSTVENTAS:  ",GENERAL!AB93))</f>
        <v>OK
ESTADO DE POSTVENTAS:  POSTVENTA CORREGIDA</v>
      </c>
      <c r="AB92" s="51" t="str">
        <f>+IF(GENERAL!AC93=GENERAL!$AI$2,GENERAL!$AI$2,CONCATENATE(OBSERVACIONES!AB92,"
ESTADO DE POSTVENTAS:  ",GENERAL!AC93))</f>
        <v>OK
ESTADO DE POSTVENTAS:  POSTVENTA CORREGIDA</v>
      </c>
      <c r="AC92" s="51" t="str">
        <f>+IF(GENERAL!AD93=GENERAL!$AI$2,GENERAL!$AI$2,CONCATENATE(OBSERVACIONES!AC92,"
ESTADO DE POSTVENTAS:  ",GENERAL!AD93))</f>
        <v>OK
ESTADO DE POSTVENTAS:  POSTVENTA CORREGIDA</v>
      </c>
      <c r="AD92" s="51" t="str">
        <f>+IF(GENERAL!AE93=GENERAL!$AI$2,GENERAL!$AI$2,CONCATENATE(OBSERVACIONES!AD92,"
ESTADO DE POSTVENTAS:  ",GENERAL!AE93))</f>
        <v>OK
ESTADO DE POSTVENTAS:  POSTVENTA CORREGIDA</v>
      </c>
      <c r="AE92" s="51" t="str">
        <f>+IF(GENERAL!AF93=GENERAL!$AI$2,GENERAL!$AI$2,CONCATENATE(OBSERVACIONES!AE92,"
ESTADO DE POSTVENTAS:  ",GENERAL!AF93))</f>
        <v>OK
ESTADO DE POSTVENTAS:  POSTVENTA CORREGIDA</v>
      </c>
      <c r="AF92" s="51" t="str">
        <f>+IF(GENERAL!AG93=GENERAL!$AI$2,GENERAL!$AI$2,CONCATENATE(OBSERVACIONES!AF92,"
ESTADO DE POSTVENTAS:  ",GENERAL!AG93))</f>
        <v>OK
ESTADO DE POSTVENTAS:  POSTVENTA CORREGIDA</v>
      </c>
      <c r="AG92" s="51" t="str">
        <f>+IF(GENERAL!AH93=GENERAL!$AI$2,GENERAL!$AI$2,CONCATENATE(OBSERVACIONES!AG92,"
ESTADO DE POSTVENTAS:  ",GENERAL!AH93))</f>
        <v>OK
ESTADO DE POSTVENTAS:  POSTVENTA CORREGIDA</v>
      </c>
      <c r="AH92" s="51" t="str">
        <f>+IF(GENERAL!AI93=GENERAL!$AI$2,GENERAL!$AI$2,CONCATENATE(OBSERVACIONES!AH92,"
ESTADO DE POSTVENTAS:  ",GENERAL!AI93))</f>
        <v>OK
ESTADO DE POSTVENTAS:  POSTVENTA CORREGIDA</v>
      </c>
      <c r="AI92" s="51" t="str">
        <f>+IF(GENERAL!AG93=GENERAL!$AI$2,GENERAL!$AI$2,CONCATENATE(OBSERVACIONES!AF92,"
ESTADO DE POSTVENTAS:  ",GENERAL!AG93))</f>
        <v>OK
ESTADO DE POSTVENTAS:  POSTVENTA CORREGIDA</v>
      </c>
      <c r="AJ92" s="51" t="str">
        <f>+IF(GENERAL!AI93=GENERAL!$AI$2,GENERAL!$AI$2,CONCATENATE(OBSERVACIONES!AH92,"
ESTADO DE POSTVENTAS:  ",GENERAL!AI93))</f>
        <v>OK
ESTADO DE POSTVENTAS:  POSTVENTA CORREGIDA</v>
      </c>
      <c r="AK92" s="51" t="str">
        <f>+IF(GENERAL!AJ93=GENERAL!$AI$2,GENERAL!$AI$2,CONCATENATE(OBSERVACIONES!AI92,"
ESTADO DE POSTVENTAS:  ",GENERAL!AJ93))</f>
        <v>OK
ESTADO DE POSTVENTAS:  POSTVENTA CORREGIDA</v>
      </c>
      <c r="AL92" s="51" t="str">
        <f>+IF(GENERAL!AK93=GENERAL!$AI$2,GENERAL!$AI$2,CONCATENATE(OBSERVACIONES!AJ92,"
ESTADO DE POSTVENTAS:  ",GENERAL!AK93))</f>
        <v>OK
ESTADO DE POSTVENTAS:  POSTVENTA CORREGIDA</v>
      </c>
      <c r="AM92" s="51" t="str">
        <f>+IF(GENERAL!AN93=GENERAL!$AI$2,GENERAL!$AI$2,CONCATENATE(OBSERVACIONES!AM92,"
ESTADO DE POSTVENTAS:  ",GENERAL!AN93))</f>
        <v>OK
ESTADO DE POSTVENTAS:  POSTVENTA CORREGIDA</v>
      </c>
      <c r="AN92" s="37">
        <v>0</v>
      </c>
      <c r="AO92" s="37">
        <v>11</v>
      </c>
      <c r="AP92" s="37">
        <v>3</v>
      </c>
      <c r="AQ92" s="37">
        <v>1</v>
      </c>
      <c r="AR92" s="43">
        <v>14</v>
      </c>
      <c r="AS92" s="40">
        <v>11</v>
      </c>
      <c r="AT92" s="37">
        <f>COUNTIFS($D$5:$AM$5,"&lt;&gt;"&amp;CODICIONALES!$A$1,$D$5:$AM$5,"&lt;&gt;"&amp;CODICIONALES!$A$2,$D$5:$AM$5,"&lt;&gt;"&amp;CODICIONALES!$B$2,$D$5:$AM$5,"&lt;&gt;"&amp;CODICIONALES!$C$2)</f>
        <v>6</v>
      </c>
      <c r="AU92" s="43">
        <f>COUNTIFS(D92:AM92,CODICIONALES!$A$2)</f>
        <v>34</v>
      </c>
      <c r="AV92" s="40">
        <f t="shared" si="1"/>
        <v>-4</v>
      </c>
    </row>
    <row r="93" spans="1:48" ht="51" customHeight="1" x14ac:dyDescent="0.25">
      <c r="A93" s="110"/>
      <c r="B93" s="2">
        <v>89</v>
      </c>
      <c r="C93" s="21" t="s">
        <v>59</v>
      </c>
      <c r="D93" s="51" t="str">
        <f>+IF(GENERAL!E94=GENERAL!$AI$2,GENERAL!$AI$2,CONCATENATE(OBSERVACIONES!D93,"
ESTADO DE POSTVENTAS:  ",GENERAL!E94))</f>
        <v>NO ENTREGADO
ESTADO DE POSTVENTAS:  TIENE POSTVENTA</v>
      </c>
      <c r="E93" s="51" t="str">
        <f>+IF(GENERAL!F94=GENERAL!$AI$2,GENERAL!$AI$2,CONCATENATE(OBSERVACIONES!E93,"
ESTADO DE POSTVENTAS:  ",GENERAL!F94))</f>
        <v>OK
ESTADO DE POSTVENTAS:  POSTVENTA CORREGIDA</v>
      </c>
      <c r="F93" s="51" t="str">
        <f>+IF(GENERAL!G94=GENERAL!$AI$2,GENERAL!$AI$2,CONCATENATE(OBSERVACIONES!F93,"
ESTADO DE POSTVENTAS:  ",GENERAL!G94))</f>
        <v>OK
ESTADO DE POSTVENTAS:  POSTVENTA CORREGIDA</v>
      </c>
      <c r="G93" s="51" t="str">
        <f>+IF(GENERAL!H94=GENERAL!$AI$2,GENERAL!$AI$2,CONCATENATE(OBSERVACIONES!G93,"
ESTADO DE POSTVENTAS:  ",GENERAL!H94))</f>
        <v>NO ENTREGADO
ESTADO DE POSTVENTAS:  TIENE POSTVENTA</v>
      </c>
      <c r="H93" s="51" t="str">
        <f>+IF(GENERAL!I94=GENERAL!$AI$2,GENERAL!$AI$2,CONCATENATE(OBSERVACIONES!H93,"
ESTADO DE POSTVENTAS:  ",GENERAL!I94))</f>
        <v>OK
ESTADO DE POSTVENTAS:  POSTVENTA CORREGIDA</v>
      </c>
      <c r="I93" s="51" t="str">
        <f>+IF(GENERAL!J94=GENERAL!$AI$2,GENERAL!$AI$2,CONCATENATE(OBSERVACIONES!I93,"
ESTADO DE POSTVENTAS:  ",GENERAL!J94))</f>
        <v>OK
ESTADO DE POSTVENTAS:  POSTVENTA CORREGIDA</v>
      </c>
      <c r="J93" s="51" t="str">
        <f>+IF(GENERAL!K94=GENERAL!$AI$2,GENERAL!$AI$2,CONCATENATE(OBSERVACIONES!J93,"
ESTADO DE POSTVENTAS:  ",GENERAL!K94))</f>
        <v>OK
ESTADO DE POSTVENTAS:  POSTVENTA CORREGIDA</v>
      </c>
      <c r="K93" s="51" t="str">
        <f>+IF(GENERAL!L94=GENERAL!$AI$2,GENERAL!$AI$2,CONCATENATE(OBSERVACIONES!K93,"
ESTADO DE POSTVENTAS:  ",GENERAL!L94))</f>
        <v>DETALLE BALDOSA
ESTADO DE POSTVENTAS:  TIENE POSTVENTA</v>
      </c>
      <c r="L93" s="51" t="str">
        <f>+IF(GENERAL!M94=GENERAL!$AI$2,GENERAL!$AI$2,CONCATENATE(OBSERVACIONES!L93,"
ESTADO DE POSTVENTAS:  ",GENERAL!M94))</f>
        <v>OK
ESTADO DE POSTVENTAS:  POSTVENTA CORREGIDA</v>
      </c>
      <c r="M93" s="70" t="str">
        <f>+IF(GENERAL!N94=GENERAL!$AI$2,GENERAL!$AI$2,CONCATENATE(OBSERVACIONES!M93,"
ESTADO DE POSTVENTAS:  ",GENERAL!N94))</f>
        <v>OK
ESTADO DE POSTVENTAS:  POSTVENTA CORREGIDA</v>
      </c>
      <c r="N93" s="70" t="str">
        <f>+IF(GENERAL!O94=GENERAL!$AI$2,GENERAL!$AI$2,CONCATENATE(OBSERVACIONES!N93,"
ESTADO DE POSTVENTAS:  ",GENERAL!O94))</f>
        <v>DETALLE BALDOSAS
ESTADO DE POSTVENTAS:  TIENE POSTVENTA</v>
      </c>
      <c r="O93" s="51" t="str">
        <f>+IF(GENERAL!P94=GENERAL!$AI$2,GENERAL!$AI$2,CONCATENATE(OBSERVACIONES!O93,"
ESTADO DE POSTVENTAS:  ",GENERAL!P94))</f>
        <v>OK
ESTADO DE POSTVENTAS:  POSTVENTA CORREGIDA</v>
      </c>
      <c r="P93" s="70" t="str">
        <f>+IF(GENERAL!Q94=GENERAL!$AI$2,GENERAL!$AI$2,CONCATENATE(OBSERVACIONES!P93,"
ESTADO DE POSTVENTAS:  ",GENERAL!Q94))</f>
        <v>OK
ESTADO DE POSTVENTAS:  POSTVENTA CORREGIDA</v>
      </c>
      <c r="Q93" s="70" t="str">
        <f>+IF(GENERAL!R94=GENERAL!$AI$2,GENERAL!$AI$2,CONCATENATE(OBSERVACIONES!Q93,"
ESTADO DE POSTVENTAS:  ",GENERAL!R94))</f>
        <v>OK
ESTADO DE POSTVENTAS:  POSTVENTA CORREGIDA</v>
      </c>
      <c r="R93" s="51" t="str">
        <f>+IF(GENERAL!S94=GENERAL!$AI$2,GENERAL!$AI$2,CONCATENATE(OBSERVACIONES!R93,"
ESTADO DE POSTVENTAS:  ",GENERAL!S94))</f>
        <v>OK
ESTADO DE POSTVENTAS:  POSTVENTA CORREGIDA</v>
      </c>
      <c r="S93" s="51" t="str">
        <f>+IF(GENERAL!T94=GENERAL!$AI$2,GENERAL!$AI$2,CONCATENATE(OBSERVACIONES!S93,"
ESTADO DE POSTVENTAS:  ",GENERAL!T94))</f>
        <v>OK
ESTADO DE POSTVENTAS:  POSTVENTA CORREGIDA</v>
      </c>
      <c r="T93" s="51" t="str">
        <f>+IF(GENERAL!U94=GENERAL!$AI$2,GENERAL!$AI$2,CONCATENATE(OBSERVACIONES!T93,"
ESTADO DE POSTVENTAS:  ",GENERAL!U94))</f>
        <v>OK
ESTADO DE POSTVENTAS:  POSTVENTA CORREGIDA</v>
      </c>
      <c r="U93" s="51" t="str">
        <f>+IF(GENERAL!V94=GENERAL!$AI$2,GENERAL!$AI$2,CONCATENATE(OBSERVACIONES!U93,"
ESTADO DE POSTVENTAS:  ",GENERAL!V94))</f>
        <v>OK
ESTADO DE POSTVENTAS:  POSTVENTA CORREGIDA</v>
      </c>
      <c r="V93" s="51" t="str">
        <f>+IF(GENERAL!W94=GENERAL!$AI$2,GENERAL!$AI$2,CONCATENATE(OBSERVACIONES!V93,"
ESTADO DE POSTVENTAS:  ",GENERAL!W94))</f>
        <v>OK
ESTADO DE POSTVENTAS:  POSTVENTA CORREGIDA</v>
      </c>
      <c r="W93" s="51" t="str">
        <f>+IF(GENERAL!V94=GENERAL!$AI$2,GENERAL!$AI$2,CONCATENATE(OBSERVACIONES!W93,"
ESTADO DE POSTVENTAS:  ",GENERAL!V94))</f>
        <v>OK
ESTADO DE POSTVENTAS:  POSTVENTA CORREGIDA</v>
      </c>
      <c r="X93" s="51" t="str">
        <f>+IF(GENERAL!W94=GENERAL!$AI$2,GENERAL!$AI$2,CONCATENATE(OBSERVACIONES!X93,"
ESTADO DE POSTVENTAS:  ",GENERAL!W94))</f>
        <v>OK
ESTADO DE POSTVENTAS:  POSTVENTA CORREGIDA</v>
      </c>
      <c r="Y93" s="51" t="str">
        <f>+IF(GENERAL!Z94=GENERAL!$AI$2,GENERAL!$AI$2,CONCATENATE(OBSERVACIONES!Y93,"
ESTADO DE POSTVENTAS:  ",GENERAL!Z94))</f>
        <v>OK
ESTADO DE POSTVENTAS:  POSTVENTA CORREGIDA</v>
      </c>
      <c r="Z93" s="51" t="str">
        <f>+IF(GENERAL!AA94=GENERAL!$AI$2,GENERAL!$AI$2,CONCATENATE(OBSERVACIONES!Z93,"
ESTADO DE POSTVENTAS:  ",GENERAL!AA94))</f>
        <v>OK
ESTADO DE POSTVENTAS:  POSTVENTA CORREGIDA</v>
      </c>
      <c r="AA93" s="51" t="str">
        <f>+IF(GENERAL!AB94=GENERAL!$AI$2,GENERAL!$AI$2,CONCATENATE(OBSERVACIONES!AA93,"
ESTADO DE POSTVENTAS:  ",GENERAL!AB94))</f>
        <v>OK
ESTADO DE POSTVENTAS:  POSTVENTA CORREGIDA</v>
      </c>
      <c r="AB93" s="51" t="str">
        <f>+IF(GENERAL!AC94=GENERAL!$AI$2,GENERAL!$AI$2,CONCATENATE(OBSERVACIONES!AB93,"
ESTADO DE POSTVENTAS:  ",GENERAL!AC94))</f>
        <v>OK
ESTADO DE POSTVENTAS:  POSTVENTA CORREGIDA</v>
      </c>
      <c r="AC93" s="51" t="str">
        <f>+IF(GENERAL!AD94=GENERAL!$AI$2,GENERAL!$AI$2,CONCATENATE(OBSERVACIONES!AC93,"
ESTADO DE POSTVENTAS:  ",GENERAL!AD94))</f>
        <v>OK
ESTADO DE POSTVENTAS:  POSTVENTA CORREGIDA</v>
      </c>
      <c r="AD93" s="51" t="str">
        <f>+IF(GENERAL!AE94=GENERAL!$AI$2,GENERAL!$AI$2,CONCATENATE(OBSERVACIONES!AD93,"
ESTADO DE POSTVENTAS:  ",GENERAL!AE94))</f>
        <v>OK
ESTADO DE POSTVENTAS:  POSTVENTA CORREGIDA</v>
      </c>
      <c r="AE93" s="51" t="str">
        <f>+IF(GENERAL!AF94=GENERAL!$AI$2,GENERAL!$AI$2,CONCATENATE(OBSERVACIONES!AE93,"
ESTADO DE POSTVENTAS:  ",GENERAL!AF94))</f>
        <v>OK
ESTADO DE POSTVENTAS:  POSTVENTA CORREGIDA</v>
      </c>
      <c r="AF93" s="51" t="str">
        <f>+IF(GENERAL!AG94=GENERAL!$AI$2,GENERAL!$AI$2,CONCATENATE(OBSERVACIONES!AF93,"
ESTADO DE POSTVENTAS:  ",GENERAL!AG94))</f>
        <v>OK
ESTADO DE POSTVENTAS:  POSTVENTA CORREGIDA</v>
      </c>
      <c r="AG93" s="51" t="str">
        <f>+IF(GENERAL!AH94=GENERAL!$AI$2,GENERAL!$AI$2,CONCATENATE(OBSERVACIONES!AG93,"
ESTADO DE POSTVENTAS:  ",GENERAL!AH94))</f>
        <v>DETALLES JUNTAS
ESTADO DE POSTVENTAS:  TIENE POSTVENTA</v>
      </c>
      <c r="AH93" s="51" t="str">
        <f>+IF(GENERAL!AI94=GENERAL!$AI$2,GENERAL!$AI$2,CONCATENATE(OBSERVACIONES!AH93,"
ESTADO DE POSTVENTAS:  ",GENERAL!AI94))</f>
        <v>OK
ESTADO DE POSTVENTAS:  POSTVENTA CORREGIDA</v>
      </c>
      <c r="AI93" s="51" t="str">
        <f>+IF(GENERAL!AG94=GENERAL!$AI$2,GENERAL!$AI$2,CONCATENATE(OBSERVACIONES!AF93,"
ESTADO DE POSTVENTAS:  ",GENERAL!AG94))</f>
        <v>OK
ESTADO DE POSTVENTAS:  POSTVENTA CORREGIDA</v>
      </c>
      <c r="AJ93" s="51" t="str">
        <f>+IF(GENERAL!AI94=GENERAL!$AI$2,GENERAL!$AI$2,CONCATENATE(OBSERVACIONES!AH93,"
ESTADO DE POSTVENTAS:  ",GENERAL!AI94))</f>
        <v>OK
ESTADO DE POSTVENTAS:  POSTVENTA CORREGIDA</v>
      </c>
      <c r="AK93" s="70" t="str">
        <f>+IF(GENERAL!AJ94=GENERAL!$AI$2,GENERAL!$AI$2,CONCATENATE(OBSERVACIONES!AI93,"
ESTADO DE POSTVENTAS:  ",GENERAL!AJ94))</f>
        <v>DETALLE BALDOSAS
ESTADO DE POSTVENTAS:  TIENE POSTVENTA</v>
      </c>
      <c r="AL93" s="70" t="str">
        <f>+IF(GENERAL!AK94=GENERAL!$AI$2,GENERAL!$AI$2,CONCATENATE(OBSERVACIONES!AJ93,"
ESTADO DE POSTVENTAS:  ",GENERAL!AK94))</f>
        <v>DETALLE BALDOSAS
ESTADO DE POSTVENTAS:  TIENE POSTVENTA</v>
      </c>
      <c r="AM93" s="51" t="str">
        <f>+IF(GENERAL!AN94=GENERAL!$AI$2,GENERAL!$AI$2,CONCATENATE(OBSERVACIONES!AM93,"
ESTADO DE POSTVENTAS:  ",GENERAL!AN94))</f>
        <v>OK
ESTADO DE POSTVENTAS:  POSTVENTA CORREGIDA</v>
      </c>
      <c r="AN93" s="37">
        <v>2</v>
      </c>
      <c r="AO93" s="37">
        <v>9</v>
      </c>
      <c r="AP93" s="37">
        <v>3</v>
      </c>
      <c r="AQ93" s="37">
        <v>0</v>
      </c>
      <c r="AR93" s="43">
        <v>14</v>
      </c>
      <c r="AS93" s="40">
        <v>12</v>
      </c>
      <c r="AT93" s="37">
        <f>COUNTIFS($D$5:$AM$5,"&lt;&gt;"&amp;CODICIONALES!$A$1,$D$5:$AM$5,"&lt;&gt;"&amp;CODICIONALES!$A$2,$D$5:$AM$5,"&lt;&gt;"&amp;CODICIONALES!$B$2,$D$5:$AM$5,"&lt;&gt;"&amp;CODICIONALES!$C$2)</f>
        <v>6</v>
      </c>
      <c r="AU93" s="43">
        <f>COUNTIFS(D93:AM93,CODICIONALES!$A$2)</f>
        <v>29</v>
      </c>
      <c r="AV93" s="40">
        <f t="shared" si="1"/>
        <v>1</v>
      </c>
    </row>
    <row r="94" spans="1:48" ht="51" customHeight="1" x14ac:dyDescent="0.25">
      <c r="A94" s="110"/>
      <c r="B94" s="2">
        <v>90</v>
      </c>
      <c r="C94" s="21" t="s">
        <v>61</v>
      </c>
      <c r="D94" s="51" t="str">
        <f>+IF(GENERAL!E95=GENERAL!$AI$2,GENERAL!$AI$2,CONCATENATE(OBSERVACIONES!D94,"
ESTADO DE POSTVENTAS:  ",GENERAL!E95))</f>
        <v>NO ENTREGADO
ESTADO DE POSTVENTAS:  TIENE POSTVENTA</v>
      </c>
      <c r="E94" s="51" t="str">
        <f>+IF(GENERAL!F95=GENERAL!$AI$2,GENERAL!$AI$2,CONCATENATE(OBSERVACIONES!E94,"
ESTADO DE POSTVENTAS:  ",GENERAL!F95))</f>
        <v>OK
ESTADO DE POSTVENTAS:  POSTVENTA CORREGIDA</v>
      </c>
      <c r="F94" s="51" t="str">
        <f>+IF(GENERAL!G95=GENERAL!$AI$2,GENERAL!$AI$2,CONCATENATE(OBSERVACIONES!F94,"
ESTADO DE POSTVENTAS:  ",GENERAL!G95))</f>
        <v>OK
ESTADO DE POSTVENTAS:  POSTVENTA CORREGIDA</v>
      </c>
      <c r="G94" s="51" t="str">
        <f>+IF(GENERAL!H95=GENERAL!$AI$2,GENERAL!$AI$2,CONCATENATE(OBSERVACIONES!G94,"
ESTADO DE POSTVENTAS:  ",GENERAL!H95))</f>
        <v>NO ENTREGADO
ESTADO DE POSTVENTAS:  TIENE POSTVENTA</v>
      </c>
      <c r="H94" s="51" t="str">
        <f>+IF(GENERAL!I95=GENERAL!$AI$2,GENERAL!$AI$2,CONCATENATE(OBSERVACIONES!H94,"
ESTADO DE POSTVENTAS:  ",GENERAL!I95))</f>
        <v>OK
ESTADO DE POSTVENTAS:  POSTVENTA CORREGIDA</v>
      </c>
      <c r="I94" s="51" t="str">
        <f>+IF(GENERAL!J95=GENERAL!$AI$2,GENERAL!$AI$2,CONCATENATE(OBSERVACIONES!I94,"
ESTADO DE POSTVENTAS:  ",GENERAL!J95))</f>
        <v>OK
ESTADO DE POSTVENTAS:  POSTVENTA CORREGIDA</v>
      </c>
      <c r="J94" s="51" t="str">
        <f>+IF(GENERAL!K95=GENERAL!$AI$2,GENERAL!$AI$2,CONCATENATE(OBSERVACIONES!J94,"
ESTADO DE POSTVENTAS:  ",GENERAL!K95))</f>
        <v>OK
ESTADO DE POSTVENTAS:  POSTVENTA CORREGIDA</v>
      </c>
      <c r="K94" s="51" t="str">
        <f>+IF(GENERAL!L95=GENERAL!$AI$2,GENERAL!$AI$2,CONCATENATE(OBSERVACIONES!K94,"
ESTADO DE POSTVENTAS:  ",GENERAL!L95))</f>
        <v>OK
ESTADO DE POSTVENTAS:  POSTVENTA CORREGIDA</v>
      </c>
      <c r="L94" s="51" t="str">
        <f>+IF(GENERAL!M95=GENERAL!$AI$2,GENERAL!$AI$2,CONCATENATE(OBSERVACIONES!L94,"
ESTADO DE POSTVENTAS:  ",GENERAL!M95))</f>
        <v>OK
ESTADO DE POSTVENTAS:  POSTVENTA CORREGIDA</v>
      </c>
      <c r="M94" s="70" t="str">
        <f>+IF(GENERAL!N95=GENERAL!$AI$2,GENERAL!$AI$2,CONCATENATE(OBSERVACIONES!M94,"
ESTADO DE POSTVENTAS:  ",GENERAL!N95))</f>
        <v>OK
ESTADO DE POSTVENTAS:  POSTVENTA CORREGIDA</v>
      </c>
      <c r="N94" s="51" t="str">
        <f>+IF(GENERAL!O95=GENERAL!$AI$2,GENERAL!$AI$2,CONCATENATE(OBSERVACIONES!N94,"
ESTADO DE POSTVENTAS:  ",GENERAL!O95))</f>
        <v>OK
ESTADO DE POSTVENTAS:  POSTVENTA CORREGIDA</v>
      </c>
      <c r="O94" s="51" t="str">
        <f>+IF(GENERAL!P95=GENERAL!$AI$2,GENERAL!$AI$2,CONCATENATE(OBSERVACIONES!O94,"
ESTADO DE POSTVENTAS:  ",GENERAL!P95))</f>
        <v>OK
ESTADO DE POSTVENTAS:  POSTVENTA CORREGIDA</v>
      </c>
      <c r="P94" s="70" t="str">
        <f>+IF(GENERAL!Q95=GENERAL!$AI$2,GENERAL!$AI$2,CONCATENATE(OBSERVACIONES!P94,"
ESTADO DE POSTVENTAS:  ",GENERAL!Q95))</f>
        <v>OK
ESTADO DE POSTVENTAS:  POSTVENTA CORREGIDA</v>
      </c>
      <c r="Q94" s="70" t="str">
        <f>+IF(GENERAL!R95=GENERAL!$AI$2,GENERAL!$AI$2,CONCATENATE(OBSERVACIONES!Q94,"
ESTADO DE POSTVENTAS:  ",GENERAL!R95))</f>
        <v>OK
ESTADO DE POSTVENTAS:  POSTVENTA CORREGIDA</v>
      </c>
      <c r="R94" s="51" t="str">
        <f>+IF(GENERAL!S95=GENERAL!$AI$2,GENERAL!$AI$2,CONCATENATE(OBSERVACIONES!R94,"
ESTADO DE POSTVENTAS:  ",GENERAL!S95))</f>
        <v>OK
ESTADO DE POSTVENTAS:  POSTVENTA CORREGIDA</v>
      </c>
      <c r="S94" s="51" t="str">
        <f>+IF(GENERAL!T95=GENERAL!$AI$2,GENERAL!$AI$2,CONCATENATE(OBSERVACIONES!S94,"
ESTADO DE POSTVENTAS:  ",GENERAL!T95))</f>
        <v>OK
ESTADO DE POSTVENTAS:  POSTVENTA CORREGIDA</v>
      </c>
      <c r="T94" s="51" t="str">
        <f>+IF(GENERAL!U95=GENERAL!$AI$2,GENERAL!$AI$2,CONCATENATE(OBSERVACIONES!T94,"
ESTADO DE POSTVENTAS:  ",GENERAL!U95))</f>
        <v>OK
ESTADO DE POSTVENTAS:  POSTVENTA CORREGIDA</v>
      </c>
      <c r="U94" s="51" t="str">
        <f>+IF(GENERAL!V95=GENERAL!$AI$2,GENERAL!$AI$2,CONCATENATE(OBSERVACIONES!U94,"
ESTADO DE POSTVENTAS:  ",GENERAL!V95))</f>
        <v>OK
ESTADO DE POSTVENTAS:  POSTVENTA CORREGIDA</v>
      </c>
      <c r="V94" s="51" t="str">
        <f>+IF(GENERAL!W95=GENERAL!$AI$2,GENERAL!$AI$2,CONCATENATE(OBSERVACIONES!V94,"
ESTADO DE POSTVENTAS:  ",GENERAL!W95))</f>
        <v>OK
ESTADO DE POSTVENTAS:  POSTVENTA CORREGIDA</v>
      </c>
      <c r="W94" s="51" t="str">
        <f>+IF(GENERAL!V95=GENERAL!$AI$2,GENERAL!$AI$2,CONCATENATE(OBSERVACIONES!W94,"
ESTADO DE POSTVENTAS:  ",GENERAL!V95))</f>
        <v>OK
ESTADO DE POSTVENTAS:  POSTVENTA CORREGIDA</v>
      </c>
      <c r="X94" s="51" t="str">
        <f>+IF(GENERAL!W95=GENERAL!$AI$2,GENERAL!$AI$2,CONCATENATE(OBSERVACIONES!X94,"
ESTADO DE POSTVENTAS:  ",GENERAL!W95))</f>
        <v>OK
ESTADO DE POSTVENTAS:  POSTVENTA CORREGIDA</v>
      </c>
      <c r="Y94" s="51" t="str">
        <f>+IF(GENERAL!Z95=GENERAL!$AI$2,GENERAL!$AI$2,CONCATENATE(OBSERVACIONES!Y94,"
ESTADO DE POSTVENTAS:  ",GENERAL!Z95))</f>
        <v>OK
ESTADO DE POSTVENTAS:  POSTVENTA CORREGIDA</v>
      </c>
      <c r="Z94" s="51" t="str">
        <f>+IF(GENERAL!AA95=GENERAL!$AI$2,GENERAL!$AI$2,CONCATENATE(OBSERVACIONES!Z94,"
ESTADO DE POSTVENTAS:  ",GENERAL!AA95))</f>
        <v>OK
ESTADO DE POSTVENTAS:  POSTVENTA CORREGIDA</v>
      </c>
      <c r="AA94" s="51" t="str">
        <f>+IF(GENERAL!AB95=GENERAL!$AI$2,GENERAL!$AI$2,CONCATENATE(OBSERVACIONES!AA94,"
ESTADO DE POSTVENTAS:  ",GENERAL!AB95))</f>
        <v>OK
ESTADO DE POSTVENTAS:  POSTVENTA CORREGIDA</v>
      </c>
      <c r="AB94" s="51" t="str">
        <f>+IF(GENERAL!AC95=GENERAL!$AI$2,GENERAL!$AI$2,CONCATENATE(OBSERVACIONES!AB94,"
ESTADO DE POSTVENTAS:  ",GENERAL!AC95))</f>
        <v>OK
ESTADO DE POSTVENTAS:  POSTVENTA CORREGIDA</v>
      </c>
      <c r="AC94" s="51" t="str">
        <f>+IF(GENERAL!AD95=GENERAL!$AI$2,GENERAL!$AI$2,CONCATENATE(OBSERVACIONES!AC94,"
ESTADO DE POSTVENTAS:  ",GENERAL!AD95))</f>
        <v>OK
ESTADO DE POSTVENTAS:  POSTVENTA CORREGIDA</v>
      </c>
      <c r="AD94" s="51" t="str">
        <f>+IF(GENERAL!AE95=GENERAL!$AI$2,GENERAL!$AI$2,CONCATENATE(OBSERVACIONES!AD94,"
ESTADO DE POSTVENTAS:  ",GENERAL!AE95))</f>
        <v>OK
ESTADO DE POSTVENTAS:  POSTVENTA CORREGIDA</v>
      </c>
      <c r="AE94" s="51" t="str">
        <f>+IF(GENERAL!AF95=GENERAL!$AI$2,GENERAL!$AI$2,CONCATENATE(OBSERVACIONES!AE94,"
ESTADO DE POSTVENTAS:  ",GENERAL!AF95))</f>
        <v>OK
ESTADO DE POSTVENTAS:  POSTVENTA CORREGIDA</v>
      </c>
      <c r="AF94" s="51" t="str">
        <f>+IF(GENERAL!AG95=GENERAL!$AI$2,GENERAL!$AI$2,CONCATENATE(OBSERVACIONES!AF94,"
ESTADO DE POSTVENTAS:  ",GENERAL!AG95))</f>
        <v>OK
ESTADO DE POSTVENTAS:  POSTVENTA CORREGIDA</v>
      </c>
      <c r="AG94" s="51" t="str">
        <f>+IF(GENERAL!AH95=GENERAL!$AI$2,GENERAL!$AI$2,CONCATENATE(OBSERVACIONES!AG94,"
ESTADO DE POSTVENTAS:  ",GENERAL!AH95))</f>
        <v>OK
ESTADO DE POSTVENTAS:  POSTVENTA CORREGIDA</v>
      </c>
      <c r="AH94" s="51" t="str">
        <f>+IF(GENERAL!AI95=GENERAL!$AI$2,GENERAL!$AI$2,CONCATENATE(OBSERVACIONES!AH94,"
ESTADO DE POSTVENTAS:  ",GENERAL!AI95))</f>
        <v>OK
ESTADO DE POSTVENTAS:  POSTVENTA CORREGIDA</v>
      </c>
      <c r="AI94" s="51" t="str">
        <f>+IF(GENERAL!AG95=GENERAL!$AI$2,GENERAL!$AI$2,CONCATENATE(OBSERVACIONES!AF94,"
ESTADO DE POSTVENTAS:  ",GENERAL!AG95))</f>
        <v>OK
ESTADO DE POSTVENTAS:  POSTVENTA CORREGIDA</v>
      </c>
      <c r="AJ94" s="51" t="str">
        <f>+IF(GENERAL!AI95=GENERAL!$AI$2,GENERAL!$AI$2,CONCATENATE(OBSERVACIONES!AH94,"
ESTADO DE POSTVENTAS:  ",GENERAL!AI95))</f>
        <v>OK
ESTADO DE POSTVENTAS:  POSTVENTA CORREGIDA</v>
      </c>
      <c r="AK94" s="51" t="str">
        <f>+IF(GENERAL!AJ95=GENERAL!$AI$2,GENERAL!$AI$2,CONCATENATE(OBSERVACIONES!AI94,"
ESTADO DE POSTVENTAS:  ",GENERAL!AJ95))</f>
        <v>OK
ESTADO DE POSTVENTAS:  POSTVENTA CORREGIDA</v>
      </c>
      <c r="AL94" s="51" t="str">
        <f>+IF(GENERAL!AK95=GENERAL!$AI$2,GENERAL!$AI$2,CONCATENATE(OBSERVACIONES!AJ94,"
ESTADO DE POSTVENTAS:  ",GENERAL!AK95))</f>
        <v>OK
ESTADO DE POSTVENTAS:  POSTVENTA CORREGIDA</v>
      </c>
      <c r="AM94" s="51" t="str">
        <f>+IF(GENERAL!AN95=GENERAL!$AI$2,GENERAL!$AI$2,CONCATENATE(OBSERVACIONES!AM94,"
ESTADO DE POSTVENTAS:  ",GENERAL!AN95))</f>
        <v>OK
ESTADO DE POSTVENTAS:  POSTVENTA CORREGIDA</v>
      </c>
      <c r="AN94" s="37">
        <v>2</v>
      </c>
      <c r="AO94" s="37">
        <v>9</v>
      </c>
      <c r="AP94" s="37">
        <v>3</v>
      </c>
      <c r="AQ94" s="37">
        <v>0</v>
      </c>
      <c r="AR94" s="43">
        <v>14</v>
      </c>
      <c r="AS94" s="40">
        <v>12</v>
      </c>
      <c r="AT94" s="37">
        <f>COUNTIFS($D$5:$AM$5,"&lt;&gt;"&amp;CODICIONALES!$A$1,$D$5:$AM$5,"&lt;&gt;"&amp;CODICIONALES!$A$2,$D$5:$AM$5,"&lt;&gt;"&amp;CODICIONALES!$B$2,$D$5:$AM$5,"&lt;&gt;"&amp;CODICIONALES!$C$2)</f>
        <v>6</v>
      </c>
      <c r="AU94" s="43">
        <f>COUNTIFS(D94:AM94,CODICIONALES!$A$2)</f>
        <v>34</v>
      </c>
      <c r="AV94" s="40">
        <f t="shared" si="1"/>
        <v>-4</v>
      </c>
    </row>
    <row r="95" spans="1:48" ht="51" customHeight="1" x14ac:dyDescent="0.25">
      <c r="A95" s="110"/>
      <c r="B95" s="2">
        <v>91</v>
      </c>
      <c r="C95" s="21" t="s">
        <v>62</v>
      </c>
      <c r="D95" s="51" t="str">
        <f>+IF(GENERAL!E96=GENERAL!$AI$2,GENERAL!$AI$2,CONCATENATE(OBSERVACIONES!D95,"
ESTADO DE POSTVENTAS:  ",GENERAL!E96))</f>
        <v>NO ENTREGADO
ESTADO DE POSTVENTAS:  TIENE POSTVENTA</v>
      </c>
      <c r="E95" s="51" t="str">
        <f>+IF(GENERAL!F96=GENERAL!$AI$2,GENERAL!$AI$2,CONCATENATE(OBSERVACIONES!E95,"
ESTADO DE POSTVENTAS:  ",GENERAL!F96))</f>
        <v>OK
ESTADO DE POSTVENTAS:  POSTVENTA CORREGIDA</v>
      </c>
      <c r="F95" s="51" t="str">
        <f>+IF(GENERAL!G96=GENERAL!$AI$2,GENERAL!$AI$2,CONCATENATE(OBSERVACIONES!F95,"
ESTADO DE POSTVENTAS:  ",GENERAL!G96))</f>
        <v>OK
ESTADO DE POSTVENTAS:  POSTVENTA CORREGIDA</v>
      </c>
      <c r="G95" s="51" t="str">
        <f>+IF(GENERAL!H96=GENERAL!$AI$2,GENERAL!$AI$2,CONCATENATE(OBSERVACIONES!G95,"
ESTADO DE POSTVENTAS:  ",GENERAL!H96))</f>
        <v>NO ENTREGADO
ESTADO DE POSTVENTAS:  TIENE POSTVENTA</v>
      </c>
      <c r="H95" s="70" t="str">
        <f>+IF(GENERAL!I96=GENERAL!$AI$2,GENERAL!$AI$2,CONCATENATE(OBSERVACIONES!H95,"
ESTADO DE POSTVENTAS:  ",GENERAL!I96))</f>
        <v>DETALLE FILTRACION
ESTADO DE POSTVENTAS:  TIENE POSTVENTA</v>
      </c>
      <c r="I95" s="51" t="str">
        <f>+IF(GENERAL!J96=GENERAL!$AI$2,GENERAL!$AI$2,CONCATENATE(OBSERVACIONES!I95,"
ESTADO DE POSTVENTAS:  ",GENERAL!J96))</f>
        <v>OK
ESTADO DE POSTVENTAS:  POSTVENTA CORREGIDA</v>
      </c>
      <c r="J95" s="51" t="str">
        <f>+IF(GENERAL!K96=GENERAL!$AI$2,GENERAL!$AI$2,CONCATENATE(OBSERVACIONES!J95,"
ESTADO DE POSTVENTAS:  ",GENERAL!K96))</f>
        <v>OK
ESTADO DE POSTVENTAS:  POSTVENTA CORREGIDA</v>
      </c>
      <c r="K95" s="51" t="str">
        <f>+IF(GENERAL!L96=GENERAL!$AI$2,GENERAL!$AI$2,CONCATENATE(OBSERVACIONES!K95,"
ESTADO DE POSTVENTAS:  ",GENERAL!L96))</f>
        <v>OK
ESTADO DE POSTVENTAS:  POSTVENTA CORREGIDA</v>
      </c>
      <c r="L95" s="51" t="str">
        <f>+IF(GENERAL!M96=GENERAL!$AI$2,GENERAL!$AI$2,CONCATENATE(OBSERVACIONES!L95,"
ESTADO DE POSTVENTAS:  ",GENERAL!M96))</f>
        <v>OK
ESTADO DE POSTVENTAS:  POSTVENTA CORREGIDA</v>
      </c>
      <c r="M95" s="70" t="str">
        <f>+IF(GENERAL!N96=GENERAL!$AI$2,GENERAL!$AI$2,CONCATENATE(OBSERVACIONES!M95,"
ESTADO DE POSTVENTAS:  ",GENERAL!N96))</f>
        <v>OK
ESTADO DE POSTVENTAS:  POSTVENTA CORREGIDA</v>
      </c>
      <c r="N95" s="51" t="str">
        <f>+IF(GENERAL!O96=GENERAL!$AI$2,GENERAL!$AI$2,CONCATENATE(OBSERVACIONES!N95,"
ESTADO DE POSTVENTAS:  ",GENERAL!O96))</f>
        <v>OK
ESTADO DE POSTVENTAS:  POSTVENTA CORREGIDA</v>
      </c>
      <c r="O95" s="51" t="str">
        <f>+IF(GENERAL!P96=GENERAL!$AI$2,GENERAL!$AI$2,CONCATENATE(OBSERVACIONES!O95,"
ESTADO DE POSTVENTAS:  ",GENERAL!P96))</f>
        <v>DETALLES FISURAS
ESTADO DE POSTVENTAS:  TIENE POSTVENTA</v>
      </c>
      <c r="P95" s="70" t="str">
        <f>+IF(GENERAL!Q96=GENERAL!$AI$2,GENERAL!$AI$2,CONCATENATE(OBSERVACIONES!P95,"
ESTADO DE POSTVENTAS:  ",GENERAL!Q96))</f>
        <v>OK
ESTADO DE POSTVENTAS:  POSTVENTA CORREGIDA</v>
      </c>
      <c r="Q95" s="70" t="str">
        <f>+IF(GENERAL!R96=GENERAL!$AI$2,GENERAL!$AI$2,CONCATENATE(OBSERVACIONES!Q95,"
ESTADO DE POSTVENTAS:  ",GENERAL!R96))</f>
        <v>OK
ESTADO DE POSTVENTAS:  POSTVENTA CORREGIDA</v>
      </c>
      <c r="R95" s="51" t="str">
        <f>+IF(GENERAL!S96=GENERAL!$AI$2,GENERAL!$AI$2,CONCATENATE(OBSERVACIONES!R95,"
ESTADO DE POSTVENTAS:  ",GENERAL!S96))</f>
        <v>OK
ESTADO DE POSTVENTAS:  POSTVENTA CORREGIDA</v>
      </c>
      <c r="S95" s="51" t="str">
        <f>+IF(GENERAL!T96=GENERAL!$AI$2,GENERAL!$AI$2,CONCATENATE(OBSERVACIONES!S95,"
ESTADO DE POSTVENTAS:  ",GENERAL!T96))</f>
        <v>OK
ESTADO DE POSTVENTAS:  POSTVENTA CORREGIDA</v>
      </c>
      <c r="T95" s="51" t="str">
        <f>+IF(GENERAL!U96=GENERAL!$AI$2,GENERAL!$AI$2,CONCATENATE(OBSERVACIONES!T95,"
ESTADO DE POSTVENTAS:  ",GENERAL!U96))</f>
        <v>DETALLE HUMEDAD
ESTADO DE POSTVENTAS:  TIENE POSTVENTA</v>
      </c>
      <c r="U95" s="51" t="str">
        <f>+IF(GENERAL!V96=GENERAL!$AI$2,GENERAL!$AI$2,CONCATENATE(OBSERVACIONES!U95,"
ESTADO DE POSTVENTAS:  ",GENERAL!V96))</f>
        <v>OK
ESTADO DE POSTVENTAS:  POSTVENTA CORREGIDA</v>
      </c>
      <c r="V95" s="51" t="str">
        <f>+IF(GENERAL!W96=GENERAL!$AI$2,GENERAL!$AI$2,CONCATENATE(OBSERVACIONES!V95,"
ESTADO DE POSTVENTAS:  ",GENERAL!W96))</f>
        <v>OK
ESTADO DE POSTVENTAS:  POSTVENTA CORREGIDA</v>
      </c>
      <c r="W95" s="51" t="str">
        <f>+IF(GENERAL!V96=GENERAL!$AI$2,GENERAL!$AI$2,CONCATENATE(OBSERVACIONES!W95,"
ESTADO DE POSTVENTAS:  ",GENERAL!V96))</f>
        <v>OK
ESTADO DE POSTVENTAS:  POSTVENTA CORREGIDA</v>
      </c>
      <c r="X95" s="51" t="str">
        <f>+IF(GENERAL!W96=GENERAL!$AI$2,GENERAL!$AI$2,CONCATENATE(OBSERVACIONES!X95,"
ESTADO DE POSTVENTAS:  ",GENERAL!W96))</f>
        <v>OK
ESTADO DE POSTVENTAS:  POSTVENTA CORREGIDA</v>
      </c>
      <c r="Y95" s="51" t="str">
        <f>+IF(GENERAL!Z96=GENERAL!$AI$2,GENERAL!$AI$2,CONCATENATE(OBSERVACIONES!Y95,"
ESTADO DE POSTVENTAS:  ",GENERAL!Z96))</f>
        <v>OK
ESTADO DE POSTVENTAS:  POSTVENTA CORREGIDA</v>
      </c>
      <c r="Z95" s="51" t="str">
        <f>+IF(GENERAL!AA96=GENERAL!$AI$2,GENERAL!$AI$2,CONCATENATE(OBSERVACIONES!Z95,"
ESTADO DE POSTVENTAS:  ",GENERAL!AA96))</f>
        <v>OK
ESTADO DE POSTVENTAS:  POSTVENTA CORREGIDA</v>
      </c>
      <c r="AA95" s="51" t="str">
        <f>+IF(GENERAL!AB96=GENERAL!$AI$2,GENERAL!$AI$2,CONCATENATE(OBSERVACIONES!AA95,"
ESTADO DE POSTVENTAS:  ",GENERAL!AB96))</f>
        <v>OK
ESTADO DE POSTVENTAS:  POSTVENTA CORREGIDA</v>
      </c>
      <c r="AB95" s="51" t="str">
        <f>+IF(GENERAL!AC96=GENERAL!$AI$2,GENERAL!$AI$2,CONCATENATE(OBSERVACIONES!AB95,"
ESTADO DE POSTVENTAS:  ",GENERAL!AC96))</f>
        <v>OK
ESTADO DE POSTVENTAS:  POSTVENTA CORREGIDA</v>
      </c>
      <c r="AC95" s="51" t="str">
        <f>+IF(GENERAL!AD96=GENERAL!$AI$2,GENERAL!$AI$2,CONCATENATE(OBSERVACIONES!AC95,"
ESTADO DE POSTVENTAS:  ",GENERAL!AD96))</f>
        <v>OK
ESTADO DE POSTVENTAS:  POSTVENTA CORREGIDA</v>
      </c>
      <c r="AD95" s="51" t="str">
        <f>+IF(GENERAL!AE96=GENERAL!$AI$2,GENERAL!$AI$2,CONCATENATE(OBSERVACIONES!AD95,"
ESTADO DE POSTVENTAS:  ",GENERAL!AE96))</f>
        <v>DETALLE PINTURA
ESTADO DE POSTVENTAS:  TIENE POSTVENTA</v>
      </c>
      <c r="AE95" s="51" t="str">
        <f>+IF(GENERAL!AF96=GENERAL!$AI$2,GENERAL!$AI$2,CONCATENATE(OBSERVACIONES!AE95,"
ESTADO DE POSTVENTAS:  ",GENERAL!AF96))</f>
        <v>OK
ESTADO DE POSTVENTAS:  POSTVENTA CORREGIDA</v>
      </c>
      <c r="AF95" s="51" t="str">
        <f>+IF(GENERAL!AG96=GENERAL!$AI$2,GENERAL!$AI$2,CONCATENATE(OBSERVACIONES!AF95,"
ESTADO DE POSTVENTAS:  ",GENERAL!AG96))</f>
        <v>OK
ESTADO DE POSTVENTAS:  POSTVENTA CORREGIDA</v>
      </c>
      <c r="AG95" s="51" t="str">
        <f>+IF(GENERAL!AH96=GENERAL!$AI$2,GENERAL!$AI$2,CONCATENATE(OBSERVACIONES!AG95,"
ESTADO DE POSTVENTAS:  ",GENERAL!AH96))</f>
        <v>OK
ESTADO DE POSTVENTAS:  POSTVENTA CORREGIDA</v>
      </c>
      <c r="AH95" s="51" t="str">
        <f>+IF(GENERAL!AI96=GENERAL!$AI$2,GENERAL!$AI$2,CONCATENATE(OBSERVACIONES!AH95,"
ESTADO DE POSTVENTAS:  ",GENERAL!AI96))</f>
        <v>OK
ESTADO DE POSTVENTAS:  POSTVENTA CORREGIDA</v>
      </c>
      <c r="AI95" s="51" t="str">
        <f>+IF(GENERAL!AG96=GENERAL!$AI$2,GENERAL!$AI$2,CONCATENATE(OBSERVACIONES!AF95,"
ESTADO DE POSTVENTAS:  ",GENERAL!AG96))</f>
        <v>OK
ESTADO DE POSTVENTAS:  POSTVENTA CORREGIDA</v>
      </c>
      <c r="AJ95" s="51" t="str">
        <f>+IF(GENERAL!AI96=GENERAL!$AI$2,GENERAL!$AI$2,CONCATENATE(OBSERVACIONES!AH95,"
ESTADO DE POSTVENTAS:  ",GENERAL!AI96))</f>
        <v>OK
ESTADO DE POSTVENTAS:  POSTVENTA CORREGIDA</v>
      </c>
      <c r="AK95" s="51" t="str">
        <f>+IF(GENERAL!AJ96=GENERAL!$AI$2,GENERAL!$AI$2,CONCATENATE(OBSERVACIONES!AI95,"
ESTADO DE POSTVENTAS:  ",GENERAL!AJ96))</f>
        <v>OK
ESTADO DE POSTVENTAS:  POSTVENTA CORREGIDA</v>
      </c>
      <c r="AL95" s="51" t="str">
        <f>+IF(GENERAL!AK96=GENERAL!$AI$2,GENERAL!$AI$2,CONCATENATE(OBSERVACIONES!AJ95,"
ESTADO DE POSTVENTAS:  ",GENERAL!AK96))</f>
        <v>OK
ESTADO DE POSTVENTAS:  POSTVENTA CORREGIDA</v>
      </c>
      <c r="AM95" s="51" t="str">
        <f>+IF(GENERAL!AN96=GENERAL!$AI$2,GENERAL!$AI$2,CONCATENATE(OBSERVACIONES!AM95,"
ESTADO DE POSTVENTAS:  ",GENERAL!AN96))</f>
        <v>OK
ESTADO DE POSTVENTAS:  POSTVENTA CORREGIDA</v>
      </c>
      <c r="AN95" s="37">
        <v>0</v>
      </c>
      <c r="AO95" s="37">
        <v>11</v>
      </c>
      <c r="AP95" s="37">
        <v>3</v>
      </c>
      <c r="AQ95" s="37">
        <v>0</v>
      </c>
      <c r="AR95" s="43">
        <v>14</v>
      </c>
      <c r="AS95" s="40">
        <v>12</v>
      </c>
      <c r="AT95" s="37">
        <f>COUNTIFS($D$5:$AM$5,"&lt;&gt;"&amp;CODICIONALES!$A$1,$D$5:$AM$5,"&lt;&gt;"&amp;CODICIONALES!$A$2,$D$5:$AM$5,"&lt;&gt;"&amp;CODICIONALES!$B$2,$D$5:$AM$5,"&lt;&gt;"&amp;CODICIONALES!$C$2)</f>
        <v>6</v>
      </c>
      <c r="AU95" s="43">
        <f>COUNTIFS(D95:AM95,CODICIONALES!$A$2)</f>
        <v>30</v>
      </c>
      <c r="AV95" s="40">
        <f t="shared" si="1"/>
        <v>0</v>
      </c>
    </row>
    <row r="96" spans="1:48" ht="51" customHeight="1" x14ac:dyDescent="0.25">
      <c r="A96" s="110"/>
      <c r="B96" s="2">
        <v>92</v>
      </c>
      <c r="C96" s="20" t="s">
        <v>101</v>
      </c>
      <c r="D96" s="51" t="str">
        <f>+IF(GENERAL!E97=GENERAL!$AI$2,GENERAL!$AI$2,CONCATENATE(OBSERVACIONES!D96,"
ESTADO DE POSTVENTAS:  ",GENERAL!E97))</f>
        <v>NO ENTREGADO
ESTADO DE POSTVENTAS:  TIENE POSTVENTA</v>
      </c>
      <c r="E96" s="51" t="str">
        <f>+IF(GENERAL!F97=GENERAL!$AI$2,GENERAL!$AI$2,CONCATENATE(OBSERVACIONES!E96,"
ESTADO DE POSTVENTAS:  ",GENERAL!F97))</f>
        <v>OK
ESTADO DE POSTVENTAS:  POSTVENTA CORREGIDA</v>
      </c>
      <c r="F96" s="51" t="str">
        <f>+IF(GENERAL!G97=GENERAL!$AI$2,GENERAL!$AI$2,CONCATENATE(OBSERVACIONES!F96,"
ESTADO DE POSTVENTAS:  ",GENERAL!G97))</f>
        <v>OK
ESTADO DE POSTVENTAS:  POSTVENTA CORREGIDA</v>
      </c>
      <c r="G96" s="51" t="str">
        <f>+IF(GENERAL!H97=GENERAL!$AI$2,GENERAL!$AI$2,CONCATENATE(OBSERVACIONES!G96,"
ESTADO DE POSTVENTAS:  ",GENERAL!H97))</f>
        <v>NO ENTREGADO
ESTADO DE POSTVENTAS:  TIENE POSTVENTA</v>
      </c>
      <c r="H96" s="51" t="str">
        <f>+IF(GENERAL!I97=GENERAL!$AI$2,GENERAL!$AI$2,CONCATENATE(OBSERVACIONES!H96,"
ESTADO DE POSTVENTAS:  ",GENERAL!I97))</f>
        <v>OK
ESTADO DE POSTVENTAS:  POSTVENTA CORREGIDA</v>
      </c>
      <c r="I96" s="51" t="str">
        <f>+IF(GENERAL!J97=GENERAL!$AI$2,GENERAL!$AI$2,CONCATENATE(OBSERVACIONES!I96,"
ESTADO DE POSTVENTAS:  ",GENERAL!J97))</f>
        <v>OK
ESTADO DE POSTVENTAS:  POSTVENTA CORREGIDA</v>
      </c>
      <c r="J96" s="51" t="str">
        <f>+IF(GENERAL!K97=GENERAL!$AI$2,GENERAL!$AI$2,CONCATENATE(OBSERVACIONES!J96,"
ESTADO DE POSTVENTAS:  ",GENERAL!K97))</f>
        <v>OK
ESTADO DE POSTVENTAS:  POSTVENTA CORREGIDA</v>
      </c>
      <c r="K96" s="51" t="str">
        <f>+IF(GENERAL!L97=GENERAL!$AI$2,GENERAL!$AI$2,CONCATENATE(OBSERVACIONES!K96,"
ESTADO DE POSTVENTAS:  ",GENERAL!L97))</f>
        <v>OK
ESTADO DE POSTVENTAS:  POSTVENTA CORREGIDA</v>
      </c>
      <c r="L96" s="51" t="str">
        <f>+IF(GENERAL!M97=GENERAL!$AI$2,GENERAL!$AI$2,CONCATENATE(OBSERVACIONES!L96,"
ESTADO DE POSTVENTAS:  ",GENERAL!M97))</f>
        <v>OK
ESTADO DE POSTVENTAS:  POSTVENTA CORREGIDA</v>
      </c>
      <c r="M96" s="70" t="str">
        <f>+IF(GENERAL!N97=GENERAL!$AI$2,GENERAL!$AI$2,CONCATENATE(OBSERVACIONES!M96,"
ESTADO DE POSTVENTAS:  ",GENERAL!N97))</f>
        <v>OK
ESTADO DE POSTVENTAS:  POSTVENTA CORREGIDA</v>
      </c>
      <c r="N96" s="70" t="str">
        <f>+IF(GENERAL!O97=GENERAL!$AI$2,GENERAL!$AI$2,CONCATENATE(OBSERVACIONES!N96,"
ESTADO DE POSTVENTAS:  ",GENERAL!O97))</f>
        <v>DETALLAR SOPORTE
ESTADO DE POSTVENTAS:  TIENE POSTVENTA</v>
      </c>
      <c r="O96" s="51" t="str">
        <f>+IF(GENERAL!P97=GENERAL!$AI$2,GENERAL!$AI$2,CONCATENATE(OBSERVACIONES!O96,"
ESTADO DE POSTVENTAS:  ",GENERAL!P97))</f>
        <v>OK
ESTADO DE POSTVENTAS:  POSTVENTA CORREGIDA</v>
      </c>
      <c r="P96" s="70" t="str">
        <f>+IF(GENERAL!Q97=GENERAL!$AI$2,GENERAL!$AI$2,CONCATENATE(OBSERVACIONES!P96,"
ESTADO DE POSTVENTAS:  ",GENERAL!Q97))</f>
        <v>OK
ESTADO DE POSTVENTAS:  POSTVENTA CORREGIDA</v>
      </c>
      <c r="Q96" s="70" t="str">
        <f>+IF(GENERAL!R97=GENERAL!$AI$2,GENERAL!$AI$2,CONCATENATE(OBSERVACIONES!Q96,"
ESTADO DE POSTVENTAS:  ",GENERAL!R97))</f>
        <v>OK
ESTADO DE POSTVENTAS:  POSTVENTA CORREGIDA</v>
      </c>
      <c r="R96" s="51" t="str">
        <f>+IF(GENERAL!S97=GENERAL!$AI$2,GENERAL!$AI$2,CONCATENATE(OBSERVACIONES!R96,"
ESTADO DE POSTVENTAS:  ",GENERAL!S97))</f>
        <v>OK
ESTADO DE POSTVENTAS:  POSTVENTA CORREGIDA</v>
      </c>
      <c r="S96" s="51" t="str">
        <f>+IF(GENERAL!T97=GENERAL!$AI$2,GENERAL!$AI$2,CONCATENATE(OBSERVACIONES!S96,"
ESTADO DE POSTVENTAS:  ",GENERAL!T97))</f>
        <v>OK
ESTADO DE POSTVENTAS:  POSTVENTA CORREGIDA</v>
      </c>
      <c r="T96" s="51" t="str">
        <f>+IF(GENERAL!U97=GENERAL!$AI$2,GENERAL!$AI$2,CONCATENATE(OBSERVACIONES!T96,"
ESTADO DE POSTVENTAS:  ",GENERAL!U97))</f>
        <v>OK
ESTADO DE POSTVENTAS:  POSTVENTA CORREGIDA</v>
      </c>
      <c r="U96" s="51" t="str">
        <f>+IF(GENERAL!V97=GENERAL!$AI$2,GENERAL!$AI$2,CONCATENATE(OBSERVACIONES!U96,"
ESTADO DE POSTVENTAS:  ",GENERAL!V97))</f>
        <v>OK
ESTADO DE POSTVENTAS:  POSTVENTA CORREGIDA</v>
      </c>
      <c r="V96" s="51" t="str">
        <f>+IF(GENERAL!W97=GENERAL!$AI$2,GENERAL!$AI$2,CONCATENATE(OBSERVACIONES!V96,"
ESTADO DE POSTVENTAS:  ",GENERAL!W97))</f>
        <v>OK
ESTADO DE POSTVENTAS:  POSTVENTA CORREGIDA</v>
      </c>
      <c r="W96" s="51" t="str">
        <f>+IF(GENERAL!V97=GENERAL!$AI$2,GENERAL!$AI$2,CONCATENATE(OBSERVACIONES!W96,"
ESTADO DE POSTVENTAS:  ",GENERAL!V97))</f>
        <v>OK
ESTADO DE POSTVENTAS:  POSTVENTA CORREGIDA</v>
      </c>
      <c r="X96" s="51" t="str">
        <f>+IF(GENERAL!W97=GENERAL!$AI$2,GENERAL!$AI$2,CONCATENATE(OBSERVACIONES!X96,"
ESTADO DE POSTVENTAS:  ",GENERAL!W97))</f>
        <v>OK
ESTADO DE POSTVENTAS:  POSTVENTA CORREGIDA</v>
      </c>
      <c r="Y96" s="51" t="str">
        <f>+IF(GENERAL!Z97=GENERAL!$AI$2,GENERAL!$AI$2,CONCATENATE(OBSERVACIONES!Y96,"
ESTADO DE POSTVENTAS:  ",GENERAL!Z97))</f>
        <v>OK
ESTADO DE POSTVENTAS:  POSTVENTA CORREGIDA</v>
      </c>
      <c r="Z96" s="51" t="str">
        <f>+IF(GENERAL!AA97=GENERAL!$AI$2,GENERAL!$AI$2,CONCATENATE(OBSERVACIONES!Z96,"
ESTADO DE POSTVENTAS:  ",GENERAL!AA97))</f>
        <v>OK
ESTADO DE POSTVENTAS:  POSTVENTA CORREGIDA</v>
      </c>
      <c r="AA96" s="70" t="str">
        <f>+IF(GENERAL!AB97=GENERAL!$AI$2,GENERAL!$AI$2,CONCATENATE(OBSERVACIONES!AA96,"
ESTADO DE POSTVENTAS:  ",GENERAL!AB97))</f>
        <v>DETALLE PUERTAS
ESTADO DE POSTVENTAS:  TIENE POSTVENTA</v>
      </c>
      <c r="AB96" s="51" t="str">
        <f>+IF(GENERAL!AC97=GENERAL!$AI$2,GENERAL!$AI$2,CONCATENATE(OBSERVACIONES!AB96,"
ESTADO DE POSTVENTAS:  ",GENERAL!AC97))</f>
        <v>OK
ESTADO DE POSTVENTAS:  POSTVENTA CORREGIDA</v>
      </c>
      <c r="AC96" s="51" t="str">
        <f>+IF(GENERAL!AD97=GENERAL!$AI$2,GENERAL!$AI$2,CONCATENATE(OBSERVACIONES!AC96,"
ESTADO DE POSTVENTAS:  ",GENERAL!AD97))</f>
        <v>OK
ESTADO DE POSTVENTAS:  POSTVENTA CORREGIDA</v>
      </c>
      <c r="AD96" s="51" t="str">
        <f>+IF(GENERAL!AE97=GENERAL!$AI$2,GENERAL!$AI$2,CONCATENATE(OBSERVACIONES!AD96,"
ESTADO DE POSTVENTAS:  ",GENERAL!AE97))</f>
        <v>OK
ESTADO DE POSTVENTAS:  POSTVENTA CORREGIDA</v>
      </c>
      <c r="AE96" s="51" t="str">
        <f>+IF(GENERAL!AF97=GENERAL!$AI$2,GENERAL!$AI$2,CONCATENATE(OBSERVACIONES!AE96,"
ESTADO DE POSTVENTAS:  ",GENERAL!AF97))</f>
        <v>OK
ESTADO DE POSTVENTAS:  POSTVENTA CORREGIDA</v>
      </c>
      <c r="AF96" s="51" t="str">
        <f>+IF(GENERAL!AG97=GENERAL!$AI$2,GENERAL!$AI$2,CONCATENATE(OBSERVACIONES!AF96,"
ESTADO DE POSTVENTAS:  ",GENERAL!AG97))</f>
        <v>OK
ESTADO DE POSTVENTAS:  POSTVENTA CORREGIDA</v>
      </c>
      <c r="AG96" s="51" t="str">
        <f>+IF(GENERAL!AH97=GENERAL!$AI$2,GENERAL!$AI$2,CONCATENATE(OBSERVACIONES!AG96,"
ESTADO DE POSTVENTAS:  ",GENERAL!AH97))</f>
        <v>OK
ESTADO DE POSTVENTAS:  POSTVENTA CORREGIDA</v>
      </c>
      <c r="AH96" s="51" t="str">
        <f>+IF(GENERAL!AI97=GENERAL!$AI$2,GENERAL!$AI$2,CONCATENATE(OBSERVACIONES!AH96,"
ESTADO DE POSTVENTAS:  ",GENERAL!AI97))</f>
        <v>OK
ESTADO DE POSTVENTAS:  POSTVENTA CORREGIDA</v>
      </c>
      <c r="AI96" s="51" t="str">
        <f>+IF(GENERAL!AG97=GENERAL!$AI$2,GENERAL!$AI$2,CONCATENATE(OBSERVACIONES!AF96,"
ESTADO DE POSTVENTAS:  ",GENERAL!AG97))</f>
        <v>OK
ESTADO DE POSTVENTAS:  POSTVENTA CORREGIDA</v>
      </c>
      <c r="AJ96" s="51" t="str">
        <f>+IF(GENERAL!AI97=GENERAL!$AI$2,GENERAL!$AI$2,CONCATENATE(OBSERVACIONES!AH96,"
ESTADO DE POSTVENTAS:  ",GENERAL!AI97))</f>
        <v>OK
ESTADO DE POSTVENTAS:  POSTVENTA CORREGIDA</v>
      </c>
      <c r="AK96" s="51" t="str">
        <f>+IF(GENERAL!AJ97=GENERAL!$AI$2,GENERAL!$AI$2,CONCATENATE(OBSERVACIONES!AI96,"
ESTADO DE POSTVENTAS:  ",GENERAL!AJ97))</f>
        <v>OK
ESTADO DE POSTVENTAS:  POSTVENTA CORREGIDA</v>
      </c>
      <c r="AL96" s="51" t="str">
        <f>+IF(GENERAL!AK97=GENERAL!$AI$2,GENERAL!$AI$2,CONCATENATE(OBSERVACIONES!AJ96,"
ESTADO DE POSTVENTAS:  ",GENERAL!AK97))</f>
        <v>OK
ESTADO DE POSTVENTAS:  POSTVENTA CORREGIDA</v>
      </c>
      <c r="AM96" s="51" t="str">
        <f>+IF(GENERAL!AN97=GENERAL!$AI$2,GENERAL!$AI$2,CONCATENATE(OBSERVACIONES!AM96,"
ESTADO DE POSTVENTAS:  ",GENERAL!AN97))</f>
        <v>OK
ESTADO DE POSTVENTAS:  POSTVENTA CORREGIDA</v>
      </c>
      <c r="AN96" s="37">
        <v>3</v>
      </c>
      <c r="AO96" s="37">
        <v>8</v>
      </c>
      <c r="AP96" s="37">
        <v>3</v>
      </c>
      <c r="AQ96" s="37">
        <v>0</v>
      </c>
      <c r="AR96" s="43">
        <v>14</v>
      </c>
      <c r="AS96" s="40">
        <v>12</v>
      </c>
      <c r="AT96" s="37">
        <f>COUNTIFS($D$5:$AM$5,"&lt;&gt;"&amp;CODICIONALES!$A$1,$D$5:$AM$5,"&lt;&gt;"&amp;CODICIONALES!$A$2,$D$5:$AM$5,"&lt;&gt;"&amp;CODICIONALES!$B$2,$D$5:$AM$5,"&lt;&gt;"&amp;CODICIONALES!$C$2)</f>
        <v>6</v>
      </c>
      <c r="AU96" s="43">
        <f>COUNTIFS(D96:AM96,CODICIONALES!$A$2)</f>
        <v>32</v>
      </c>
      <c r="AV96" s="40">
        <f t="shared" si="1"/>
        <v>-2</v>
      </c>
    </row>
    <row r="97" spans="1:48" ht="51" customHeight="1" x14ac:dyDescent="0.25">
      <c r="A97" s="110"/>
      <c r="B97" s="2">
        <v>93</v>
      </c>
      <c r="C97" s="20" t="s">
        <v>91</v>
      </c>
      <c r="D97" s="51" t="str">
        <f>+IF(GENERAL!E98=GENERAL!$AI$2,GENERAL!$AI$2,CONCATENATE(OBSERVACIONES!D97,"
ESTADO DE POSTVENTAS:  ",GENERAL!E98))</f>
        <v>NO ENTREGADO
ESTADO DE POSTVENTAS:  TIENE POSTVENTA</v>
      </c>
      <c r="E97" s="51" t="str">
        <f>+IF(GENERAL!F98=GENERAL!$AI$2,GENERAL!$AI$2,CONCATENATE(OBSERVACIONES!E97,"
ESTADO DE POSTVENTAS:  ",GENERAL!F98))</f>
        <v>OK
ESTADO DE POSTVENTAS:  POSTVENTA CORREGIDA</v>
      </c>
      <c r="F97" s="51" t="str">
        <f>+IF(GENERAL!G98=GENERAL!$AI$2,GENERAL!$AI$2,CONCATENATE(OBSERVACIONES!F97,"
ESTADO DE POSTVENTAS:  ",GENERAL!G98))</f>
        <v>OK
ESTADO DE POSTVENTAS:  POSTVENTA CORREGIDA</v>
      </c>
      <c r="G97" s="51" t="str">
        <f>+IF(GENERAL!H98=GENERAL!$AI$2,GENERAL!$AI$2,CONCATENATE(OBSERVACIONES!G97,"
ESTADO DE POSTVENTAS:  ",GENERAL!H98))</f>
        <v>NO ENTREGADO
ESTADO DE POSTVENTAS:  TIENE POSTVENTA</v>
      </c>
      <c r="H97" s="51" t="str">
        <f>+IF(GENERAL!I98=GENERAL!$AI$2,GENERAL!$AI$2,CONCATENATE(OBSERVACIONES!H97,"
ESTADO DE POSTVENTAS:  ",GENERAL!I98))</f>
        <v>OK
ESTADO DE POSTVENTAS:  POSTVENTA CORREGIDA</v>
      </c>
      <c r="I97" s="51" t="str">
        <f>+IF(GENERAL!J98=GENERAL!$AI$2,GENERAL!$AI$2,CONCATENATE(OBSERVACIONES!I97,"
ESTADO DE POSTVENTAS:  ",GENERAL!J98))</f>
        <v>OK
ESTADO DE POSTVENTAS:  POSTVENTA CORREGIDA</v>
      </c>
      <c r="J97" s="51" t="str">
        <f>+IF(GENERAL!K98=GENERAL!$AI$2,GENERAL!$AI$2,CONCATENATE(OBSERVACIONES!J97,"
ESTADO DE POSTVENTAS:  ",GENERAL!K98))</f>
        <v>OK
ESTADO DE POSTVENTAS:  POSTVENTA CORREGIDA</v>
      </c>
      <c r="K97" s="51" t="str">
        <f>+IF(GENERAL!L98=GENERAL!$AI$2,GENERAL!$AI$2,CONCATENATE(OBSERVACIONES!K97,"
ESTADO DE POSTVENTAS:  ",GENERAL!L98))</f>
        <v>OK
ESTADO DE POSTVENTAS:  POSTVENTA CORREGIDA</v>
      </c>
      <c r="L97" s="51" t="str">
        <f>+IF(GENERAL!M98=GENERAL!$AI$2,GENERAL!$AI$2,CONCATENATE(OBSERVACIONES!L97,"
ESTADO DE POSTVENTAS:  ",GENERAL!M98))</f>
        <v>OK
ESTADO DE POSTVENTAS:  POSTVENTA CORREGIDA</v>
      </c>
      <c r="M97" s="70" t="str">
        <f>+IF(GENERAL!N98=GENERAL!$AI$2,GENERAL!$AI$2,CONCATENATE(OBSERVACIONES!M97,"
ESTADO DE POSTVENTAS:  ",GENERAL!N98))</f>
        <v>OK
ESTADO DE POSTVENTAS:  POSTVENTA CORREGIDA</v>
      </c>
      <c r="N97" s="51" t="str">
        <f>+IF(GENERAL!O98=GENERAL!$AI$2,GENERAL!$AI$2,CONCATENATE(OBSERVACIONES!N97,"
ESTADO DE POSTVENTAS:  ",GENERAL!O98))</f>
        <v>OK
ESTADO DE POSTVENTAS:  POSTVENTA CORREGIDA</v>
      </c>
      <c r="O97" s="51" t="str">
        <f>+IF(GENERAL!P98=GENERAL!$AI$2,GENERAL!$AI$2,CONCATENATE(OBSERVACIONES!O97,"
ESTADO DE POSTVENTAS:  ",GENERAL!P98))</f>
        <v>OK
ESTADO DE POSTVENTAS:  POSTVENTA CORREGIDA</v>
      </c>
      <c r="P97" s="70" t="str">
        <f>+IF(GENERAL!Q98=GENERAL!$AI$2,GENERAL!$AI$2,CONCATENATE(OBSERVACIONES!P97,"
ESTADO DE POSTVENTAS:  ",GENERAL!Q98))</f>
        <v>OK
ESTADO DE POSTVENTAS:  POSTVENTA CORREGIDA</v>
      </c>
      <c r="Q97" s="70" t="str">
        <f>+IF(GENERAL!R98=GENERAL!$AI$2,GENERAL!$AI$2,CONCATENATE(OBSERVACIONES!Q97,"
ESTADO DE POSTVENTAS:  ",GENERAL!R98))</f>
        <v>OK
ESTADO DE POSTVENTAS:  POSTVENTA CORREGIDA</v>
      </c>
      <c r="R97" s="51" t="str">
        <f>+IF(GENERAL!S98=GENERAL!$AI$2,GENERAL!$AI$2,CONCATENATE(OBSERVACIONES!R97,"
ESTADO DE POSTVENTAS:  ",GENERAL!S98))</f>
        <v>OK
ESTADO DE POSTVENTAS:  POSTVENTA CORREGIDA</v>
      </c>
      <c r="S97" s="51" t="str">
        <f>+IF(GENERAL!T98=GENERAL!$AI$2,GENERAL!$AI$2,CONCATENATE(OBSERVACIONES!S97,"
ESTADO DE POSTVENTAS:  ",GENERAL!T98))</f>
        <v>OK
ESTADO DE POSTVENTAS:  POSTVENTA CORREGIDA</v>
      </c>
      <c r="T97" s="51" t="str">
        <f>+IF(GENERAL!U98=GENERAL!$AI$2,GENERAL!$AI$2,CONCATENATE(OBSERVACIONES!T97,"
ESTADO DE POSTVENTAS:  ",GENERAL!U98))</f>
        <v>OK
ESTADO DE POSTVENTAS:  POSTVENTA CORREGIDA</v>
      </c>
      <c r="U97" s="51" t="str">
        <f>+IF(GENERAL!V98=GENERAL!$AI$2,GENERAL!$AI$2,CONCATENATE(OBSERVACIONES!U97,"
ESTADO DE POSTVENTAS:  ",GENERAL!V98))</f>
        <v>OK
ESTADO DE POSTVENTAS:  POSTVENTA CORREGIDA</v>
      </c>
      <c r="V97" s="51" t="str">
        <f>+IF(GENERAL!W98=GENERAL!$AI$2,GENERAL!$AI$2,CONCATENATE(OBSERVACIONES!V97,"
ESTADO DE POSTVENTAS:  ",GENERAL!W98))</f>
        <v>OK
ESTADO DE POSTVENTAS:  POSTVENTA CORREGIDA</v>
      </c>
      <c r="W97" s="51" t="str">
        <f>+IF(GENERAL!V98=GENERAL!$AI$2,GENERAL!$AI$2,CONCATENATE(OBSERVACIONES!W97,"
ESTADO DE POSTVENTAS:  ",GENERAL!V98))</f>
        <v>OK
ESTADO DE POSTVENTAS:  POSTVENTA CORREGIDA</v>
      </c>
      <c r="X97" s="51" t="str">
        <f>+IF(GENERAL!W98=GENERAL!$AI$2,GENERAL!$AI$2,CONCATENATE(OBSERVACIONES!X97,"
ESTADO DE POSTVENTAS:  ",GENERAL!W98))</f>
        <v>OK
ESTADO DE POSTVENTAS:  POSTVENTA CORREGIDA</v>
      </c>
      <c r="Y97" s="51" t="str">
        <f>+IF(GENERAL!Z98=GENERAL!$AI$2,GENERAL!$AI$2,CONCATENATE(OBSERVACIONES!Y97,"
ESTADO DE POSTVENTAS:  ",GENERAL!Z98))</f>
        <v>OK
ESTADO DE POSTVENTAS:  POSTVENTA CORREGIDA</v>
      </c>
      <c r="Z97" s="51" t="str">
        <f>+IF(GENERAL!AA98=GENERAL!$AI$2,GENERAL!$AI$2,CONCATENATE(OBSERVACIONES!Z97,"
ESTADO DE POSTVENTAS:  ",GENERAL!AA98))</f>
        <v>OK
ESTADO DE POSTVENTAS:  POSTVENTA CORREGIDA</v>
      </c>
      <c r="AA97" s="51" t="str">
        <f>+IF(GENERAL!AB98=GENERAL!$AI$2,GENERAL!$AI$2,CONCATENATE(OBSERVACIONES!AA97,"
ESTADO DE POSTVENTAS:  ",GENERAL!AB98))</f>
        <v>OK
ESTADO DE POSTVENTAS:  POSTVENTA CORREGIDA</v>
      </c>
      <c r="AB97" s="51" t="str">
        <f>+IF(GENERAL!AC98=GENERAL!$AI$2,GENERAL!$AI$2,CONCATENATE(OBSERVACIONES!AB97,"
ESTADO DE POSTVENTAS:  ",GENERAL!AC98))</f>
        <v>OK
ESTADO DE POSTVENTAS:  POSTVENTA CORREGIDA</v>
      </c>
      <c r="AC97" s="51" t="str">
        <f>+IF(GENERAL!AD98=GENERAL!$AI$2,GENERAL!$AI$2,CONCATENATE(OBSERVACIONES!AC97,"
ESTADO DE POSTVENTAS:  ",GENERAL!AD98))</f>
        <v>OK
ESTADO DE POSTVENTAS:  POSTVENTA CORREGIDA</v>
      </c>
      <c r="AD97" s="51" t="str">
        <f>+IF(GENERAL!AE98=GENERAL!$AI$2,GENERAL!$AI$2,CONCATENATE(OBSERVACIONES!AD97,"
ESTADO DE POSTVENTAS:  ",GENERAL!AE98))</f>
        <v>OK
ESTADO DE POSTVENTAS:  POSTVENTA CORREGIDA</v>
      </c>
      <c r="AE97" s="51" t="str">
        <f>+IF(GENERAL!AF98=GENERAL!$AI$2,GENERAL!$AI$2,CONCATENATE(OBSERVACIONES!AE97,"
ESTADO DE POSTVENTAS:  ",GENERAL!AF98))</f>
        <v>OK
ESTADO DE POSTVENTAS:  POSTVENTA CORREGIDA</v>
      </c>
      <c r="AF97" s="51" t="str">
        <f>+IF(GENERAL!AG98=GENERAL!$AI$2,GENERAL!$AI$2,CONCATENATE(OBSERVACIONES!AF97,"
ESTADO DE POSTVENTAS:  ",GENERAL!AG98))</f>
        <v>OK
ESTADO DE POSTVENTAS:  POSTVENTA CORREGIDA</v>
      </c>
      <c r="AG97" s="51" t="str">
        <f>+IF(GENERAL!AH98=GENERAL!$AI$2,GENERAL!$AI$2,CONCATENATE(OBSERVACIONES!AG97,"
ESTADO DE POSTVENTAS:  ",GENERAL!AH98))</f>
        <v>OK
ESTADO DE POSTVENTAS:  POSTVENTA CORREGIDA</v>
      </c>
      <c r="AH97" s="70" t="str">
        <f>+IF(GENERAL!AI98=GENERAL!$AI$2,GENERAL!$AI$2,CONCATENATE(OBSERVACIONES!AH97,"
ESTADO DE POSTVENTAS:  ",GENERAL!AI98))</f>
        <v>DETALLE LIMPIEZA
ESTADO DE POSTVENTAS:  TIENE POSTVENTA</v>
      </c>
      <c r="AI97" s="51" t="str">
        <f>+IF(GENERAL!AG98=GENERAL!$AI$2,GENERAL!$AI$2,CONCATENATE(OBSERVACIONES!AF97,"
ESTADO DE POSTVENTAS:  ",GENERAL!AG98))</f>
        <v>OK
ESTADO DE POSTVENTAS:  POSTVENTA CORREGIDA</v>
      </c>
      <c r="AJ97" s="70" t="str">
        <f>+IF(GENERAL!AI98=GENERAL!$AI$2,GENERAL!$AI$2,CONCATENATE(OBSERVACIONES!AH97,"
ESTADO DE POSTVENTAS:  ",GENERAL!AI98))</f>
        <v>DETALLE LIMPIEZA
ESTADO DE POSTVENTAS:  TIENE POSTVENTA</v>
      </c>
      <c r="AK97" s="51" t="str">
        <f>+IF(GENERAL!AJ98=GENERAL!$AI$2,GENERAL!$AI$2,CONCATENATE(OBSERVACIONES!AI97,"
ESTADO DE POSTVENTAS:  ",GENERAL!AJ98))</f>
        <v>OK
ESTADO DE POSTVENTAS:  POSTVENTA CORREGIDA</v>
      </c>
      <c r="AL97" s="51" t="str">
        <f>+IF(GENERAL!AK98=GENERAL!$AI$2,GENERAL!$AI$2,CONCATENATE(OBSERVACIONES!AJ97,"
ESTADO DE POSTVENTAS:  ",GENERAL!AK98))</f>
        <v>OK
ESTADO DE POSTVENTAS:  POSTVENTA CORREGIDA</v>
      </c>
      <c r="AM97" s="51" t="str">
        <f>+IF(GENERAL!AN98=GENERAL!$AI$2,GENERAL!$AI$2,CONCATENATE(OBSERVACIONES!AM97,"
ESTADO DE POSTVENTAS:  ",GENERAL!AN98))</f>
        <v>OK
ESTADO DE POSTVENTAS:  POSTVENTA CORREGIDA</v>
      </c>
      <c r="AN97" s="37">
        <v>1</v>
      </c>
      <c r="AO97" s="37">
        <v>10</v>
      </c>
      <c r="AP97" s="37">
        <v>3</v>
      </c>
      <c r="AQ97" s="37">
        <v>0</v>
      </c>
      <c r="AR97" s="43">
        <v>14</v>
      </c>
      <c r="AS97" s="40">
        <v>12</v>
      </c>
      <c r="AT97" s="37">
        <f>COUNTIFS($D$5:$AM$5,"&lt;&gt;"&amp;CODICIONALES!$A$1,$D$5:$AM$5,"&lt;&gt;"&amp;CODICIONALES!$A$2,$D$5:$AM$5,"&lt;&gt;"&amp;CODICIONALES!$B$2,$D$5:$AM$5,"&lt;&gt;"&amp;CODICIONALES!$C$2)</f>
        <v>6</v>
      </c>
      <c r="AU97" s="43">
        <f>COUNTIFS(D97:AM97,CODICIONALES!$A$2)</f>
        <v>32</v>
      </c>
      <c r="AV97" s="40">
        <f t="shared" si="1"/>
        <v>-2</v>
      </c>
    </row>
    <row r="98" spans="1:48" ht="51" customHeight="1" x14ac:dyDescent="0.25">
      <c r="A98" s="111"/>
      <c r="B98" s="2">
        <v>94</v>
      </c>
      <c r="C98" s="22" t="s">
        <v>64</v>
      </c>
      <c r="D98" s="51" t="str">
        <f>+IF(GENERAL!E99=GENERAL!$AI$2,GENERAL!$AI$2,CONCATENATE(OBSERVACIONES!D98,"
ESTADO DE POSTVENTAS:  ",GENERAL!E99))</f>
        <v>NO ENTREGADO
ESTADO DE POSTVENTAS:  TIENE POSTVENTA</v>
      </c>
      <c r="E98" s="51" t="str">
        <f>+IF(GENERAL!F99=GENERAL!$AI$2,GENERAL!$AI$2,CONCATENATE(OBSERVACIONES!E98,"
ESTADO DE POSTVENTAS:  ",GENERAL!F99))</f>
        <v>OK
ESTADO DE POSTVENTAS:  POSTVENTA CORREGIDA</v>
      </c>
      <c r="F98" s="51" t="str">
        <f>+IF(GENERAL!G99=GENERAL!$AI$2,GENERAL!$AI$2,CONCATENATE(OBSERVACIONES!F98,"
ESTADO DE POSTVENTAS:  ",GENERAL!G99))</f>
        <v>OK
ESTADO DE POSTVENTAS:  POSTVENTA CORREGIDA</v>
      </c>
      <c r="G98" s="51" t="str">
        <f>+IF(GENERAL!H99=GENERAL!$AI$2,GENERAL!$AI$2,CONCATENATE(OBSERVACIONES!G98,"
ESTADO DE POSTVENTAS:  ",GENERAL!H99))</f>
        <v>NO ENTREGADO
ESTADO DE POSTVENTAS:  TIENE POSTVENTA</v>
      </c>
      <c r="H98" s="51" t="str">
        <f>+IF(GENERAL!I99=GENERAL!$AI$2,GENERAL!$AI$2,CONCATENATE(OBSERVACIONES!H98,"
ESTADO DE POSTVENTAS:  ",GENERAL!I99))</f>
        <v>OK
ESTADO DE POSTVENTAS:  POSTVENTA CORREGIDA</v>
      </c>
      <c r="I98" s="51" t="str">
        <f>+IF(GENERAL!J99=GENERAL!$AI$2,GENERAL!$AI$2,CONCATENATE(OBSERVACIONES!I98,"
ESTADO DE POSTVENTAS:  ",GENERAL!J99))</f>
        <v>OK
ESTADO DE POSTVENTAS:  POSTVENTA CORREGIDA</v>
      </c>
      <c r="J98" s="51" t="str">
        <f>+IF(GENERAL!K99=GENERAL!$AI$2,GENERAL!$AI$2,CONCATENATE(OBSERVACIONES!J98,"
ESTADO DE POSTVENTAS:  ",GENERAL!K99))</f>
        <v>OK
ESTADO DE POSTVENTAS:  POSTVENTA CORREGIDA</v>
      </c>
      <c r="K98" s="51" t="str">
        <f>+IF(GENERAL!L99=GENERAL!$AI$2,GENERAL!$AI$2,CONCATENATE(OBSERVACIONES!K98,"
ESTADO DE POSTVENTAS:  ",GENERAL!L99))</f>
        <v>DETALEL PINTURA Y ESTUCO
ESTADO DE POSTVENTAS:  TIENE POSTVENTA</v>
      </c>
      <c r="L98" s="51" t="str">
        <f>+IF(GENERAL!M99=GENERAL!$AI$2,GENERAL!$AI$2,CONCATENATE(OBSERVACIONES!L98,"
ESTADO DE POSTVENTAS:  ",GENERAL!M99))</f>
        <v>OK
ESTADO DE POSTVENTAS:  POSTVENTA CORREGIDA</v>
      </c>
      <c r="M98" s="70" t="str">
        <f>+IF(GENERAL!N99=GENERAL!$AI$2,GENERAL!$AI$2,CONCATENATE(OBSERVACIONES!M98,"
ESTADO DE POSTVENTAS:  ",GENERAL!N99))</f>
        <v>OK
ESTADO DE POSTVENTAS:  POSTVENTA CORREGIDA</v>
      </c>
      <c r="N98" s="70" t="str">
        <f>+IF(GENERAL!O99=GENERAL!$AI$2,GENERAL!$AI$2,CONCATENATE(OBSERVACIONES!N98,"
ESTADO DE POSTVENTAS:  ",GENERAL!O99))</f>
        <v>DETALLE PINTURA Y ESTUCOS
ESTADO DE POSTVENTAS:  TIENE POSTVENTA</v>
      </c>
      <c r="O98" s="51" t="str">
        <f>+IF(GENERAL!P99=GENERAL!$AI$2,GENERAL!$AI$2,CONCATENATE(OBSERVACIONES!O98,"
ESTADO DE POSTVENTAS:  ",GENERAL!P99))</f>
        <v>OK
ESTADO DE POSTVENTAS:  POSTVENTA CORREGIDA</v>
      </c>
      <c r="P98" s="70" t="str">
        <f>+IF(GENERAL!Q99=GENERAL!$AI$2,GENERAL!$AI$2,CONCATENATE(OBSERVACIONES!P98,"
ESTADO DE POSTVENTAS:  ",GENERAL!Q99))</f>
        <v>OK
ESTADO DE POSTVENTAS:  POSTVENTA CORREGIDA</v>
      </c>
      <c r="Q98" s="70" t="str">
        <f>+IF(GENERAL!R99=GENERAL!$AI$2,GENERAL!$AI$2,CONCATENATE(OBSERVACIONES!Q98,"
ESTADO DE POSTVENTAS:  ",GENERAL!R99))</f>
        <v>DETALLE HUMEDAD
ESTADO DE POSTVENTAS:  TIENE POSTVENTA</v>
      </c>
      <c r="R98" s="51" t="str">
        <f>+IF(GENERAL!S99=GENERAL!$AI$2,GENERAL!$AI$2,CONCATENATE(OBSERVACIONES!R98,"
ESTADO DE POSTVENTAS:  ",GENERAL!S99))</f>
        <v>OK
ESTADO DE POSTVENTAS:  POSTVENTA CORREGIDA</v>
      </c>
      <c r="S98" s="51" t="str">
        <f>+IF(GENERAL!T99=GENERAL!$AI$2,GENERAL!$AI$2,CONCATENATE(OBSERVACIONES!S98,"
ESTADO DE POSTVENTAS:  ",GENERAL!T99))</f>
        <v>DETALLE HUMEDAD
ESTADO DE POSTVENTAS:  TIENE POSTVENTA</v>
      </c>
      <c r="T98" s="70" t="str">
        <f>+IF(GENERAL!U99=GENERAL!$AI$2,GENERAL!$AI$2,CONCATENATE(OBSERVACIONES!T98,"
ESTADO DE POSTVENTAS:  ",GENERAL!U99))</f>
        <v>DETALLE HUMEDAD
ESTADO DE POSTVENTAS:  TIENE POSTVENTA</v>
      </c>
      <c r="U98" s="51" t="str">
        <f>+IF(GENERAL!V99=GENERAL!$AI$2,GENERAL!$AI$2,CONCATENATE(OBSERVACIONES!U98,"
ESTADO DE POSTVENTAS:  ",GENERAL!V99))</f>
        <v>OK
ESTADO DE POSTVENTAS:  POSTVENTA CORREGIDA</v>
      </c>
      <c r="V98" s="70" t="str">
        <f>+IF(GENERAL!W99=GENERAL!$AI$2,GENERAL!$AI$2,CONCATENATE(OBSERVACIONES!V98,"
ESTADO DE POSTVENTAS:  ",GENERAL!W99))</f>
        <v>DETALLE PINTURA Y ESTUCO
ESTADO DE POSTVENTAS:  TIENE POSTVENTA</v>
      </c>
      <c r="W98" s="51" t="str">
        <f>+IF(GENERAL!V99=GENERAL!$AI$2,GENERAL!$AI$2,CONCATENATE(OBSERVACIONES!W98,"
ESTADO DE POSTVENTAS:  ",GENERAL!V99))</f>
        <v>OK
ESTADO DE POSTVENTAS:  POSTVENTA CORREGIDA</v>
      </c>
      <c r="X98" s="51" t="str">
        <f>+IF(GENERAL!W99=GENERAL!$AI$2,GENERAL!$AI$2,CONCATENATE(OBSERVACIONES!X98,"
ESTADO DE POSTVENTAS:  ",GENERAL!W99))</f>
        <v>DETALLE PINTURA
ESTADO DE POSTVENTAS:  TIENE POSTVENTA</v>
      </c>
      <c r="Y98" s="51" t="str">
        <f>+IF(GENERAL!Z99=GENERAL!$AI$2,GENERAL!$AI$2,CONCATENATE(OBSERVACIONES!Y98,"
ESTADO DE POSTVENTAS:  ",GENERAL!Z99))</f>
        <v>DETALLE PINTURA
ESTADO DE POSTVENTAS:  TIENE POSTVENTA</v>
      </c>
      <c r="Z98" s="51" t="str">
        <f>+IF(GENERAL!AA99=GENERAL!$AI$2,GENERAL!$AI$2,CONCATENATE(OBSERVACIONES!Z98,"
ESTADO DE POSTVENTAS:  ",GENERAL!AA99))</f>
        <v>OK
ESTADO DE POSTVENTAS:  POSTVENTA CORREGIDA</v>
      </c>
      <c r="AA98" s="51" t="str">
        <f>+IF(GENERAL!AB99=GENERAL!$AI$2,GENERAL!$AI$2,CONCATENATE(OBSERVACIONES!AA98,"
ESTADO DE POSTVENTAS:  ",GENERAL!AB99))</f>
        <v>OK
ESTADO DE POSTVENTAS:  POSTVENTA CORREGIDA</v>
      </c>
      <c r="AB98" s="51" t="str">
        <f>+IF(GENERAL!AC99=GENERAL!$AI$2,GENERAL!$AI$2,CONCATENATE(OBSERVACIONES!AB98,"
ESTADO DE POSTVENTAS:  ",GENERAL!AC99))</f>
        <v>OK
ESTADO DE POSTVENTAS:  POSTVENTA CORREGIDA</v>
      </c>
      <c r="AC98" s="51" t="str">
        <f>+IF(GENERAL!AD99=GENERAL!$AI$2,GENERAL!$AI$2,CONCATENATE(OBSERVACIONES!AC98,"
ESTADO DE POSTVENTAS:  ",GENERAL!AD99))</f>
        <v>OK
ESTADO DE POSTVENTAS:  POSTVENTA CORREGIDA</v>
      </c>
      <c r="AD98" s="51" t="str">
        <f>+IF(GENERAL!AE99=GENERAL!$AI$2,GENERAL!$AI$2,CONCATENATE(OBSERVACIONES!AD98,"
ESTADO DE POSTVENTAS:  ",GENERAL!AE99))</f>
        <v>OK
ESTADO DE POSTVENTAS:  POSTVENTA CORREGIDA</v>
      </c>
      <c r="AE98" s="70" t="str">
        <f>+IF(GENERAL!AF99=GENERAL!$AI$2,GENERAL!$AI$2,CONCATENATE(OBSERVACIONES!AE98,"
ESTADO DE POSTVENTAS:  ",GENERAL!AF99))</f>
        <v>DETALLE PINTURA
ESTADO DE POSTVENTAS:  TIENE POSTVENTA</v>
      </c>
      <c r="AF98" s="51" t="str">
        <f>+IF(GENERAL!AG99=GENERAL!$AI$2,GENERAL!$AI$2,CONCATENATE(OBSERVACIONES!AF98,"
ESTADO DE POSTVENTAS:  ",GENERAL!AG99))</f>
        <v>OK
ESTADO DE POSTVENTAS:  POSTVENTA CORREGIDA</v>
      </c>
      <c r="AG98" s="51" t="str">
        <f>+IF(GENERAL!AH99=GENERAL!$AI$2,GENERAL!$AI$2,CONCATENATE(OBSERVACIONES!AG98,"
ESTADO DE POSTVENTAS:  ",GENERAL!AH99))</f>
        <v>DETALLES PINTURAS Y ESTUCO
ESTADO DE POSTVENTAS:  TIENE POSTVENTA</v>
      </c>
      <c r="AH98" s="70" t="str">
        <f>+IF(GENERAL!AI99=GENERAL!$AI$2,GENERAL!$AI$2,CONCATENATE(OBSERVACIONES!AH98,"
ESTADO DE POSTVENTAS:  ",GENERAL!AI99))</f>
        <v>DETALLE PINTURA
ESTADO DE POSTVENTAS:  TIENE POSTVENTA</v>
      </c>
      <c r="AI98" s="51" t="str">
        <f>+IF(GENERAL!AG99=GENERAL!$AI$2,GENERAL!$AI$2,CONCATENATE(OBSERVACIONES!AF98,"
ESTADO DE POSTVENTAS:  ",GENERAL!AG99))</f>
        <v>OK
ESTADO DE POSTVENTAS:  POSTVENTA CORREGIDA</v>
      </c>
      <c r="AJ98" s="70" t="str">
        <f>+IF(GENERAL!AI99=GENERAL!$AI$2,GENERAL!$AI$2,CONCATENATE(OBSERVACIONES!AH98,"
ESTADO DE POSTVENTAS:  ",GENERAL!AI99))</f>
        <v>DETALLE PINTURA
ESTADO DE POSTVENTAS:  TIENE POSTVENTA</v>
      </c>
      <c r="AK98" s="51" t="str">
        <f>+IF(GENERAL!AJ99=GENERAL!$AI$2,GENERAL!$AI$2,CONCATENATE(OBSERVACIONES!AI98,"
ESTADO DE POSTVENTAS:  ",GENERAL!AJ99))</f>
        <v>OK
ESTADO DE POSTVENTAS:  POSTVENTA CORREGIDA</v>
      </c>
      <c r="AL98" s="51" t="str">
        <f>+IF(GENERAL!AK99=GENERAL!$AI$2,GENERAL!$AI$2,CONCATENATE(OBSERVACIONES!AJ98,"
ESTADO DE POSTVENTAS:  ",GENERAL!AK99))</f>
        <v>OK
ESTADO DE POSTVENTAS:  POSTVENTA CORREGIDA</v>
      </c>
      <c r="AM98" s="51" t="str">
        <f>+IF(GENERAL!AN99=GENERAL!$AI$2,GENERAL!$AI$2,CONCATENATE(OBSERVACIONES!AM98,"
ESTADO DE POSTVENTAS:  ",GENERAL!AN99))</f>
        <v>OK
ESTADO DE POSTVENTAS:  POSTVENTA CORREGIDA</v>
      </c>
      <c r="AN98" s="37">
        <v>2</v>
      </c>
      <c r="AO98" s="37">
        <v>9</v>
      </c>
      <c r="AP98" s="37">
        <v>3</v>
      </c>
      <c r="AQ98" s="37">
        <v>2</v>
      </c>
      <c r="AR98" s="43">
        <v>12</v>
      </c>
      <c r="AS98" s="40">
        <v>12</v>
      </c>
      <c r="AT98" s="37">
        <f>COUNTIFS($D$5:$AM$5,"&lt;&gt;"&amp;CODICIONALES!$A$1,$D$5:$AM$5,"&lt;&gt;"&amp;CODICIONALES!$A$2,$D$5:$AM$5,"&lt;&gt;"&amp;CODICIONALES!$B$2,$D$5:$AM$5,"&lt;&gt;"&amp;CODICIONALES!$C$2)</f>
        <v>6</v>
      </c>
      <c r="AU98" s="43">
        <f>COUNTIFS(D98:AM98,CODICIONALES!$A$2)</f>
        <v>22</v>
      </c>
      <c r="AV98" s="40">
        <f t="shared" si="1"/>
        <v>8</v>
      </c>
    </row>
    <row r="99" spans="1:48" ht="51" customHeight="1" x14ac:dyDescent="0.25">
      <c r="A99" s="112" t="s">
        <v>102</v>
      </c>
      <c r="B99" s="2">
        <v>95</v>
      </c>
      <c r="C99" s="25" t="s">
        <v>86</v>
      </c>
      <c r="D99" s="51" t="str">
        <f>+IF(GENERAL!E100=GENERAL!$AI$2,GENERAL!$AI$2,CONCATENATE(OBSERVACIONES!D99,"
ESTADO DE POSTVENTAS:  ",GENERAL!E100))</f>
        <v>NO ENTREGADO
ESTADO DE POSTVENTAS:  TIENE POSTVENTA</v>
      </c>
      <c r="E99" s="51" t="str">
        <f>+IF(GENERAL!F100=GENERAL!$AI$2,GENERAL!$AI$2,CONCATENATE(OBSERVACIONES!E99,"
ESTADO DE POSTVENTAS:  ",GENERAL!F100))</f>
        <v>OK
ESTADO DE POSTVENTAS:  POSTVENTA CORREGIDA</v>
      </c>
      <c r="F99" s="51" t="str">
        <f>+IF(GENERAL!G100=GENERAL!$AI$2,GENERAL!$AI$2,CONCATENATE(OBSERVACIONES!F99,"
ESTADO DE POSTVENTAS:  ",GENERAL!G100))</f>
        <v>OK
ESTADO DE POSTVENTAS:  POSTVENTA CORREGIDA</v>
      </c>
      <c r="G99" s="51" t="str">
        <f>+IF(GENERAL!H100=GENERAL!$AI$2,GENERAL!$AI$2,CONCATENATE(OBSERVACIONES!G99,"
ESTADO DE POSTVENTAS:  ",GENERAL!H100))</f>
        <v>NO ENTREGADO
ESTADO DE POSTVENTAS:  TIENE POSTVENTA</v>
      </c>
      <c r="H99" s="51" t="str">
        <f>+IF(GENERAL!I100=GENERAL!$AI$2,GENERAL!$AI$2,CONCATENATE(OBSERVACIONES!H99,"
ESTADO DE POSTVENTAS:  ",GENERAL!I100))</f>
        <v>OK
ESTADO DE POSTVENTAS:  POSTVENTA CORREGIDA</v>
      </c>
      <c r="I99" s="51" t="str">
        <f>+IF(GENERAL!J100=GENERAL!$AI$2,GENERAL!$AI$2,CONCATENATE(OBSERVACIONES!I99,"
ESTADO DE POSTVENTAS:  ",GENERAL!J100))</f>
        <v>OK
ESTADO DE POSTVENTAS:  POSTVENTA CORREGIDA</v>
      </c>
      <c r="J99" s="51" t="str">
        <f>+IF(GENERAL!K100=GENERAL!$AI$2,GENERAL!$AI$2,CONCATENATE(OBSERVACIONES!J99,"
ESTADO DE POSTVENTAS:  ",GENERAL!K100))</f>
        <v>OK
ESTADO DE POSTVENTAS:  POSTVENTA CORREGIDA</v>
      </c>
      <c r="K99" s="51" t="str">
        <f>+IF(GENERAL!L100=GENERAL!$AI$2,GENERAL!$AI$2,CONCATENATE(OBSERVACIONES!K99,"
ESTADO DE POSTVENTAS:  ",GENERAL!L100))</f>
        <v>OK
ESTADO DE POSTVENTAS:  POSTVENTA CORREGIDA</v>
      </c>
      <c r="L99" s="51" t="str">
        <f>+IF(GENERAL!M100=GENERAL!$AI$2,GENERAL!$AI$2,CONCATENATE(OBSERVACIONES!L99,"
ESTADO DE POSTVENTAS:  ",GENERAL!M100))</f>
        <v>OK
ESTADO DE POSTVENTAS:  POSTVENTA CORREGIDA</v>
      </c>
      <c r="M99" s="70" t="str">
        <f>+IF(GENERAL!N100=GENERAL!$AI$2,GENERAL!$AI$2,CONCATENATE(OBSERVACIONES!M99,"
ESTADO DE POSTVENTAS:  ",GENERAL!N100))</f>
        <v>OK
ESTADO DE POSTVENTAS:  POSTVENTA CORREGIDA</v>
      </c>
      <c r="N99" s="51" t="str">
        <f>+IF(GENERAL!O100=GENERAL!$AI$2,GENERAL!$AI$2,CONCATENATE(OBSERVACIONES!N99,"
ESTADO DE POSTVENTAS:  ",GENERAL!O100))</f>
        <v>OK
ESTADO DE POSTVENTAS:  POSTVENTA CORREGIDA</v>
      </c>
      <c r="O99" s="51" t="str">
        <f>+IF(GENERAL!P100=GENERAL!$AI$2,GENERAL!$AI$2,CONCATENATE(OBSERVACIONES!O99,"
ESTADO DE POSTVENTAS:  ",GENERAL!P100))</f>
        <v>OK
ESTADO DE POSTVENTAS:  POSTVENTA CORREGIDA</v>
      </c>
      <c r="P99" s="70" t="str">
        <f>+IF(GENERAL!Q100=GENERAL!$AI$2,GENERAL!$AI$2,CONCATENATE(OBSERVACIONES!P99,"
ESTADO DE POSTVENTAS:  ",GENERAL!Q100))</f>
        <v>OK
ESTADO DE POSTVENTAS:  POSTVENTA CORREGIDA</v>
      </c>
      <c r="Q99" s="70" t="str">
        <f>+IF(GENERAL!R100=GENERAL!$AI$2,GENERAL!$AI$2,CONCATENATE(OBSERVACIONES!Q99,"
ESTADO DE POSTVENTAS:  ",GENERAL!R100))</f>
        <v>OK
ESTADO DE POSTVENTAS:  POSTVENTA CORREGIDA</v>
      </c>
      <c r="R99" s="51" t="str">
        <f>+IF(GENERAL!S100=GENERAL!$AI$2,GENERAL!$AI$2,CONCATENATE(OBSERVACIONES!R99,"
ESTADO DE POSTVENTAS:  ",GENERAL!S100))</f>
        <v>OK
ESTADO DE POSTVENTAS:  POSTVENTA CORREGIDA</v>
      </c>
      <c r="S99" s="51" t="str">
        <f>+IF(GENERAL!T100=GENERAL!$AI$2,GENERAL!$AI$2,CONCATENATE(OBSERVACIONES!S99,"
ESTADO DE POSTVENTAS:  ",GENERAL!T100))</f>
        <v>OK
ESTADO DE POSTVENTAS:  POSTVENTA CORREGIDA</v>
      </c>
      <c r="T99" s="51" t="str">
        <f>+IF(GENERAL!U100=GENERAL!$AI$2,GENERAL!$AI$2,CONCATENATE(OBSERVACIONES!T99,"
ESTADO DE POSTVENTAS:  ",GENERAL!U100))</f>
        <v>OK
ESTADO DE POSTVENTAS:  POSTVENTA CORREGIDA</v>
      </c>
      <c r="U99" s="51" t="str">
        <f>+IF(GENERAL!V100=GENERAL!$AI$2,GENERAL!$AI$2,CONCATENATE(OBSERVACIONES!U99,"
ESTADO DE POSTVENTAS:  ",GENERAL!V100))</f>
        <v>OK
ESTADO DE POSTVENTAS:  POSTVENTA CORREGIDA</v>
      </c>
      <c r="V99" s="51" t="str">
        <f>+IF(GENERAL!W100=GENERAL!$AI$2,GENERAL!$AI$2,CONCATENATE(OBSERVACIONES!V99,"
ESTADO DE POSTVENTAS:  ",GENERAL!W100))</f>
        <v>OK
ESTADO DE POSTVENTAS:  POSTVENTA CORREGIDA</v>
      </c>
      <c r="W99" s="51" t="str">
        <f>+IF(GENERAL!V100=GENERAL!$AI$2,GENERAL!$AI$2,CONCATENATE(OBSERVACIONES!W99,"
ESTADO DE POSTVENTAS:  ",GENERAL!V100))</f>
        <v>OK
ESTADO DE POSTVENTAS:  POSTVENTA CORREGIDA</v>
      </c>
      <c r="X99" s="51" t="str">
        <f>+IF(GENERAL!W100=GENERAL!$AI$2,GENERAL!$AI$2,CONCATENATE(OBSERVACIONES!X99,"
ESTADO DE POSTVENTAS:  ",GENERAL!W100))</f>
        <v>OK
ESTADO DE POSTVENTAS:  POSTVENTA CORREGIDA</v>
      </c>
      <c r="Y99" s="51" t="str">
        <f>+IF(GENERAL!Z100=GENERAL!$AI$2,GENERAL!$AI$2,CONCATENATE(OBSERVACIONES!Y99,"
ESTADO DE POSTVENTAS:  ",GENERAL!Z100))</f>
        <v>OK
ESTADO DE POSTVENTAS:  POSTVENTA CORREGIDA</v>
      </c>
      <c r="Z99" s="51" t="str">
        <f>+IF(GENERAL!AA100=GENERAL!$AI$2,GENERAL!$AI$2,CONCATENATE(OBSERVACIONES!Z99,"
ESTADO DE POSTVENTAS:  ",GENERAL!AA100))</f>
        <v>OK
ESTADO DE POSTVENTAS:  POSTVENTA CORREGIDA</v>
      </c>
      <c r="AA99" s="51" t="str">
        <f>+IF(GENERAL!AB100=GENERAL!$AI$2,GENERAL!$AI$2,CONCATENATE(OBSERVACIONES!AA99,"
ESTADO DE POSTVENTAS:  ",GENERAL!AB100))</f>
        <v>OK
ESTADO DE POSTVENTAS:  POSTVENTA CORREGIDA</v>
      </c>
      <c r="AB99" s="70" t="str">
        <f>+IF(GENERAL!AC100=GENERAL!$AI$2,GENERAL!$AI$2,CONCATENATE(OBSERVACIONES!AB99,"
ESTADO DE POSTVENTAS:  ",GENERAL!AC100))</f>
        <v>OK
ESTADO DE POSTVENTAS:  POSTVENTA CORREGIDA</v>
      </c>
      <c r="AC99" s="70" t="str">
        <f>+IF(GENERAL!AD100=GENERAL!$AI$2,GENERAL!$AI$2,CONCATENATE(OBSERVACIONES!AC99,"
ESTADO DE POSTVENTAS:  ",GENERAL!AD100))</f>
        <v>OK
ESTADO DE POSTVENTAS:  POSTVENTA CORREGIDA</v>
      </c>
      <c r="AD99" s="51" t="str">
        <f>+IF(GENERAL!AE100=GENERAL!$AI$2,GENERAL!$AI$2,CONCATENATE(OBSERVACIONES!AD99,"
ESTADO DE POSTVENTAS:  ",GENERAL!AE100))</f>
        <v>OK
ESTADO DE POSTVENTAS:  POSTVENTA CORREGIDA</v>
      </c>
      <c r="AE99" s="51" t="str">
        <f>+IF(GENERAL!AF100=GENERAL!$AI$2,GENERAL!$AI$2,CONCATENATE(OBSERVACIONES!AE99,"
ESTADO DE POSTVENTAS:  ",GENERAL!AF100))</f>
        <v>OK
ESTADO DE POSTVENTAS:  POSTVENTA CORREGIDA</v>
      </c>
      <c r="AF99" s="51" t="str">
        <f>+IF(GENERAL!AG100=GENERAL!$AI$2,GENERAL!$AI$2,CONCATENATE(OBSERVACIONES!AF99,"
ESTADO DE POSTVENTAS:  ",GENERAL!AG100))</f>
        <v>OK
ESTADO DE POSTVENTAS:  POSTVENTA CORREGIDA</v>
      </c>
      <c r="AG99" s="51" t="str">
        <f>+IF(GENERAL!AH100=GENERAL!$AI$2,GENERAL!$AI$2,CONCATENATE(OBSERVACIONES!AG99,"
ESTADO DE POSTVENTAS:  ",GENERAL!AH100))</f>
        <v>OK
ESTADO DE POSTVENTAS:  POSTVENTA CORREGIDA</v>
      </c>
      <c r="AH99" s="51" t="str">
        <f>+IF(GENERAL!AI100=GENERAL!$AI$2,GENERAL!$AI$2,CONCATENATE(OBSERVACIONES!AH99,"
ESTADO DE POSTVENTAS:  ",GENERAL!AI100))</f>
        <v>OK
ESTADO DE POSTVENTAS:  POSTVENTA CORREGIDA</v>
      </c>
      <c r="AI99" s="51" t="str">
        <f>+IF(GENERAL!AG100=GENERAL!$AI$2,GENERAL!$AI$2,CONCATENATE(OBSERVACIONES!AF99,"
ESTADO DE POSTVENTAS:  ",GENERAL!AG100))</f>
        <v>OK
ESTADO DE POSTVENTAS:  POSTVENTA CORREGIDA</v>
      </c>
      <c r="AJ99" s="51" t="str">
        <f>+IF(GENERAL!AI100=GENERAL!$AI$2,GENERAL!$AI$2,CONCATENATE(OBSERVACIONES!AH99,"
ESTADO DE POSTVENTAS:  ",GENERAL!AI100))</f>
        <v>OK
ESTADO DE POSTVENTAS:  POSTVENTA CORREGIDA</v>
      </c>
      <c r="AK99" s="51" t="str">
        <f>+IF(GENERAL!AJ100=GENERAL!$AI$2,GENERAL!$AI$2,CONCATENATE(OBSERVACIONES!AI99,"
ESTADO DE POSTVENTAS:  ",GENERAL!AJ100))</f>
        <v>OK
ESTADO DE POSTVENTAS:  POSTVENTA CORREGIDA</v>
      </c>
      <c r="AL99" s="51" t="str">
        <f>+IF(GENERAL!AK100=GENERAL!$AI$2,GENERAL!$AI$2,CONCATENATE(OBSERVACIONES!AJ99,"
ESTADO DE POSTVENTAS:  ",GENERAL!AK100))</f>
        <v>OK
ESTADO DE POSTVENTAS:  POSTVENTA CORREGIDA</v>
      </c>
      <c r="AM99" s="51" t="str">
        <f>+IF(GENERAL!AN100=GENERAL!$AI$2,GENERAL!$AI$2,CONCATENATE(OBSERVACIONES!AM99,"
ESTADO DE POSTVENTAS:  ",GENERAL!AN100))</f>
        <v>OK
ESTADO DE POSTVENTAS:  POSTVENTA CORREGIDA</v>
      </c>
      <c r="AN99" s="37">
        <v>4</v>
      </c>
      <c r="AO99" s="37">
        <v>7</v>
      </c>
      <c r="AP99" s="37">
        <v>3</v>
      </c>
      <c r="AQ99" s="37">
        <v>1</v>
      </c>
      <c r="AR99" s="43">
        <v>13</v>
      </c>
      <c r="AS99" s="40">
        <v>12</v>
      </c>
      <c r="AT99" s="37">
        <f>COUNTIFS($D$5:$AM$5,"&lt;&gt;"&amp;CODICIONALES!$A$1,$D$5:$AM$5,"&lt;&gt;"&amp;CODICIONALES!$A$2,$D$5:$AM$5,"&lt;&gt;"&amp;CODICIONALES!$B$2,$D$5:$AM$5,"&lt;&gt;"&amp;CODICIONALES!$C$2)</f>
        <v>6</v>
      </c>
      <c r="AU99" s="43">
        <f>COUNTIFS(D99:AM99,CODICIONALES!$A$2)</f>
        <v>34</v>
      </c>
      <c r="AV99" s="40">
        <f t="shared" si="1"/>
        <v>-4</v>
      </c>
    </row>
    <row r="100" spans="1:48" ht="51" customHeight="1" x14ac:dyDescent="0.25">
      <c r="A100" s="110"/>
      <c r="B100" s="2">
        <v>96</v>
      </c>
      <c r="C100" s="21" t="s">
        <v>87</v>
      </c>
      <c r="D100" s="51" t="str">
        <f>+IF(GENERAL!E101=GENERAL!$AI$2,GENERAL!$AI$2,CONCATENATE(OBSERVACIONES!D100,"
ESTADO DE POSTVENTAS:  ",GENERAL!E101))</f>
        <v>NO ENTREGADO
ESTADO DE POSTVENTAS:  TIENE POSTVENTA</v>
      </c>
      <c r="E100" s="70" t="str">
        <f>+IF(GENERAL!F101=GENERAL!$AI$2,GENERAL!$AI$2,CONCATENATE(OBSERVACIONES!E100,"
ESTADO DE POSTVENTAS:  ",GENERAL!F101))</f>
        <v>OK
ESTADO DE POSTVENTAS:  POSTVENTA CORREGIDA</v>
      </c>
      <c r="F100" s="51" t="str">
        <f>+IF(GENERAL!G101=GENERAL!$AI$2,GENERAL!$AI$2,CONCATENATE(OBSERVACIONES!F100,"
ESTADO DE POSTVENTAS:  ",GENERAL!G101))</f>
        <v>OK
ESTADO DE POSTVENTAS:  POSTVENTA CORREGIDA</v>
      </c>
      <c r="G100" s="51" t="str">
        <f>+IF(GENERAL!H101=GENERAL!$AI$2,GENERAL!$AI$2,CONCATENATE(OBSERVACIONES!G100,"
ESTADO DE POSTVENTAS:  ",GENERAL!H101))</f>
        <v>NO ENTREGADO
ESTADO DE POSTVENTAS:  TIENE POSTVENTA</v>
      </c>
      <c r="H100" s="51" t="str">
        <f>+IF(GENERAL!I101=GENERAL!$AI$2,GENERAL!$AI$2,CONCATENATE(OBSERVACIONES!H100,"
ESTADO DE POSTVENTAS:  ",GENERAL!I101))</f>
        <v>OK
ESTADO DE POSTVENTAS:  POSTVENTA CORREGIDA</v>
      </c>
      <c r="I100" s="51" t="str">
        <f>+IF(GENERAL!J101=GENERAL!$AI$2,GENERAL!$AI$2,CONCATENATE(OBSERVACIONES!I100,"
ESTADO DE POSTVENTAS:  ",GENERAL!J101))</f>
        <v>OK
ESTADO DE POSTVENTAS:  POSTVENTA CORREGIDA</v>
      </c>
      <c r="J100" s="51" t="str">
        <f>+IF(GENERAL!K101=GENERAL!$AI$2,GENERAL!$AI$2,CONCATENATE(OBSERVACIONES!J100,"
ESTADO DE POSTVENTAS:  ",GENERAL!K101))</f>
        <v>OK
ESTADO DE POSTVENTAS:  POSTVENTA CORREGIDA</v>
      </c>
      <c r="K100" s="51" t="str">
        <f>+IF(GENERAL!L101=GENERAL!$AI$2,GENERAL!$AI$2,CONCATENATE(OBSERVACIONES!K100,"
ESTADO DE POSTVENTAS:  ",GENERAL!L101))</f>
        <v>OK
ESTADO DE POSTVENTAS:  POSTVENTA CORREGIDA</v>
      </c>
      <c r="L100" s="51" t="str">
        <f>+IF(GENERAL!M101=GENERAL!$AI$2,GENERAL!$AI$2,CONCATENATE(OBSERVACIONES!L100,"
ESTADO DE POSTVENTAS:  ",GENERAL!M101))</f>
        <v>OK
ESTADO DE POSTVENTAS:  POSTVENTA CORREGIDA</v>
      </c>
      <c r="M100" s="70" t="str">
        <f>+IF(GENERAL!N101=GENERAL!$AI$2,GENERAL!$AI$2,CONCATENATE(OBSERVACIONES!M100,"
ESTADO DE POSTVENTAS:  ",GENERAL!N101))</f>
        <v>OK
ESTADO DE POSTVENTAS:  POSTVENTA CORREGIDA</v>
      </c>
      <c r="N100" s="51" t="str">
        <f>+IF(GENERAL!O101=GENERAL!$AI$2,GENERAL!$AI$2,CONCATENATE(OBSERVACIONES!N100,"
ESTADO DE POSTVENTAS:  ",GENERAL!O101))</f>
        <v>OK
ESTADO DE POSTVENTAS:  POSTVENTA CORREGIDA</v>
      </c>
      <c r="O100" s="51" t="str">
        <f>+IF(GENERAL!P101=GENERAL!$AI$2,GENERAL!$AI$2,CONCATENATE(OBSERVACIONES!O100,"
ESTADO DE POSTVENTAS:  ",GENERAL!P101))</f>
        <v>OK
ESTADO DE POSTVENTAS:  POSTVENTA CORREGIDA</v>
      </c>
      <c r="P100" s="70" t="str">
        <f>+IF(GENERAL!Q101=GENERAL!$AI$2,GENERAL!$AI$2,CONCATENATE(OBSERVACIONES!P100,"
ESTADO DE POSTVENTAS:  ",GENERAL!Q101))</f>
        <v>OK
ESTADO DE POSTVENTAS:  POSTVENTA CORREGIDA</v>
      </c>
      <c r="Q100" s="70" t="str">
        <f>+IF(GENERAL!R101=GENERAL!$AI$2,GENERAL!$AI$2,CONCATENATE(OBSERVACIONES!Q100,"
ESTADO DE POSTVENTAS:  ",GENERAL!R101))</f>
        <v>OK
ESTADO DE POSTVENTAS:  POSTVENTA CORREGIDA</v>
      </c>
      <c r="R100" s="51" t="str">
        <f>+IF(GENERAL!S101=GENERAL!$AI$2,GENERAL!$AI$2,CONCATENATE(OBSERVACIONES!R100,"
ESTADO DE POSTVENTAS:  ",GENERAL!S101))</f>
        <v>OK
ESTADO DE POSTVENTAS:  POSTVENTA CORREGIDA</v>
      </c>
      <c r="S100" s="51" t="str">
        <f>+IF(GENERAL!T101=GENERAL!$AI$2,GENERAL!$AI$2,CONCATENATE(OBSERVACIONES!S100,"
ESTADO DE POSTVENTAS:  ",GENERAL!T101))</f>
        <v>OK
ESTADO DE POSTVENTAS:  POSTVENTA CORREGIDA</v>
      </c>
      <c r="T100" s="51" t="str">
        <f>+IF(GENERAL!U101=GENERAL!$AI$2,GENERAL!$AI$2,CONCATENATE(OBSERVACIONES!T100,"
ESTADO DE POSTVENTAS:  ",GENERAL!U101))</f>
        <v>OK
ESTADO DE POSTVENTAS:  POSTVENTA CORREGIDA</v>
      </c>
      <c r="U100" s="51" t="str">
        <f>+IF(GENERAL!V101=GENERAL!$AI$2,GENERAL!$AI$2,CONCATENATE(OBSERVACIONES!U100,"
ESTADO DE POSTVENTAS:  ",GENERAL!V101))</f>
        <v>OK
ESTADO DE POSTVENTAS:  POSTVENTA CORREGIDA</v>
      </c>
      <c r="V100" s="51" t="str">
        <f>+IF(GENERAL!W101=GENERAL!$AI$2,GENERAL!$AI$2,CONCATENATE(OBSERVACIONES!V100,"
ESTADO DE POSTVENTAS:  ",GENERAL!W101))</f>
        <v>OK
ESTADO DE POSTVENTAS:  POSTVENTA CORREGIDA</v>
      </c>
      <c r="W100" s="51" t="str">
        <f>+IF(GENERAL!V101=GENERAL!$AI$2,GENERAL!$AI$2,CONCATENATE(OBSERVACIONES!W100,"
ESTADO DE POSTVENTAS:  ",GENERAL!V101))</f>
        <v>OK
ESTADO DE POSTVENTAS:  POSTVENTA CORREGIDA</v>
      </c>
      <c r="X100" s="51" t="str">
        <f>+IF(GENERAL!W101=GENERAL!$AI$2,GENERAL!$AI$2,CONCATENATE(OBSERVACIONES!X100,"
ESTADO DE POSTVENTAS:  ",GENERAL!W101))</f>
        <v>OK
ESTADO DE POSTVENTAS:  POSTVENTA CORREGIDA</v>
      </c>
      <c r="Y100" s="51" t="str">
        <f>+IF(GENERAL!Z101=GENERAL!$AI$2,GENERAL!$AI$2,CONCATENATE(OBSERVACIONES!Y100,"
ESTADO DE POSTVENTAS:  ",GENERAL!Z101))</f>
        <v>OK
ESTADO DE POSTVENTAS:  POSTVENTA CORREGIDA</v>
      </c>
      <c r="Z100" s="51" t="str">
        <f>+IF(GENERAL!AA101=GENERAL!$AI$2,GENERAL!$AI$2,CONCATENATE(OBSERVACIONES!Z100,"
ESTADO DE POSTVENTAS:  ",GENERAL!AA101))</f>
        <v>OK
ESTADO DE POSTVENTAS:  POSTVENTA CORREGIDA</v>
      </c>
      <c r="AA100" s="51" t="str">
        <f>+IF(GENERAL!AB101=GENERAL!$AI$2,GENERAL!$AI$2,CONCATENATE(OBSERVACIONES!AA100,"
ESTADO DE POSTVENTAS:  ",GENERAL!AB101))</f>
        <v>OK
ESTADO DE POSTVENTAS:  POSTVENTA CORREGIDA</v>
      </c>
      <c r="AB100" s="70" t="str">
        <f>+IF(GENERAL!AC101=GENERAL!$AI$2,GENERAL!$AI$2,CONCATENATE(OBSERVACIONES!AB100,"
ESTADO DE POSTVENTAS:  ",GENERAL!AC101))</f>
        <v>OK
ESTADO DE POSTVENTAS:  POSTVENTA CORREGIDA</v>
      </c>
      <c r="AC100" s="70" t="str">
        <f>+IF(GENERAL!AD101=GENERAL!$AI$2,GENERAL!$AI$2,CONCATENATE(OBSERVACIONES!AC100,"
ESTADO DE POSTVENTAS:  ",GENERAL!AD101))</f>
        <v>OK
ESTADO DE POSTVENTAS:  POSTVENTA CORREGIDA</v>
      </c>
      <c r="AD100" s="51" t="str">
        <f>+IF(GENERAL!AE101=GENERAL!$AI$2,GENERAL!$AI$2,CONCATENATE(OBSERVACIONES!AD100,"
ESTADO DE POSTVENTAS:  ",GENERAL!AE101))</f>
        <v>OK
ESTADO DE POSTVENTAS:  POSTVENTA CORREGIDA</v>
      </c>
      <c r="AE100" s="51" t="str">
        <f>+IF(GENERAL!AF101=GENERAL!$AI$2,GENERAL!$AI$2,CONCATENATE(OBSERVACIONES!AE100,"
ESTADO DE POSTVENTAS:  ",GENERAL!AF101))</f>
        <v>OK
ESTADO DE POSTVENTAS:  POSTVENTA CORREGIDA</v>
      </c>
      <c r="AF100" s="51" t="str">
        <f>+IF(GENERAL!AG101=GENERAL!$AI$2,GENERAL!$AI$2,CONCATENATE(OBSERVACIONES!AF100,"
ESTADO DE POSTVENTAS:  ",GENERAL!AG101))</f>
        <v>OK
ESTADO DE POSTVENTAS:  POSTVENTA CORREGIDA</v>
      </c>
      <c r="AG100" s="51" t="str">
        <f>+IF(GENERAL!AH101=GENERAL!$AI$2,GENERAL!$AI$2,CONCATENATE(OBSERVACIONES!AG100,"
ESTADO DE POSTVENTAS:  ",GENERAL!AH101))</f>
        <v>OK
ESTADO DE POSTVENTAS:  POSTVENTA CORREGIDA</v>
      </c>
      <c r="AH100" s="51" t="str">
        <f>+IF(GENERAL!AI101=GENERAL!$AI$2,GENERAL!$AI$2,CONCATENATE(OBSERVACIONES!AH100,"
ESTADO DE POSTVENTAS:  ",GENERAL!AI101))</f>
        <v>OK
ESTADO DE POSTVENTAS:  POSTVENTA CORREGIDA</v>
      </c>
      <c r="AI100" s="51" t="str">
        <f>+IF(GENERAL!AG101=GENERAL!$AI$2,GENERAL!$AI$2,CONCATENATE(OBSERVACIONES!AF100,"
ESTADO DE POSTVENTAS:  ",GENERAL!AG101))</f>
        <v>OK
ESTADO DE POSTVENTAS:  POSTVENTA CORREGIDA</v>
      </c>
      <c r="AJ100" s="51" t="str">
        <f>+IF(GENERAL!AI101=GENERAL!$AI$2,GENERAL!$AI$2,CONCATENATE(OBSERVACIONES!AH100,"
ESTADO DE POSTVENTAS:  ",GENERAL!AI101))</f>
        <v>OK
ESTADO DE POSTVENTAS:  POSTVENTA CORREGIDA</v>
      </c>
      <c r="AK100" s="51" t="str">
        <f>+IF(GENERAL!AJ101=GENERAL!$AI$2,GENERAL!$AI$2,CONCATENATE(OBSERVACIONES!AI100,"
ESTADO DE POSTVENTAS:  ",GENERAL!AJ101))</f>
        <v>OK
ESTADO DE POSTVENTAS:  POSTVENTA CORREGIDA</v>
      </c>
      <c r="AL100" s="51" t="str">
        <f>+IF(GENERAL!AK101=GENERAL!$AI$2,GENERAL!$AI$2,CONCATENATE(OBSERVACIONES!AJ100,"
ESTADO DE POSTVENTAS:  ",GENERAL!AK101))</f>
        <v>OK
ESTADO DE POSTVENTAS:  POSTVENTA CORREGIDA</v>
      </c>
      <c r="AM100" s="51" t="str">
        <f>+IF(GENERAL!AN101=GENERAL!$AI$2,GENERAL!$AI$2,CONCATENATE(OBSERVACIONES!AM100,"
ESTADO DE POSTVENTAS:  ",GENERAL!AN101))</f>
        <v>OK
ESTADO DE POSTVENTAS:  POSTVENTA CORREGIDA</v>
      </c>
      <c r="AN100" s="37">
        <v>2</v>
      </c>
      <c r="AO100" s="37">
        <v>9</v>
      </c>
      <c r="AP100" s="37">
        <v>3</v>
      </c>
      <c r="AQ100" s="37">
        <v>2</v>
      </c>
      <c r="AR100" s="43">
        <v>13</v>
      </c>
      <c r="AS100" s="40">
        <v>11</v>
      </c>
      <c r="AT100" s="37">
        <f>COUNTIFS($D$5:$AM$5,"&lt;&gt;"&amp;CODICIONALES!$A$1,$D$5:$AM$5,"&lt;&gt;"&amp;CODICIONALES!$A$2,$D$5:$AM$5,"&lt;&gt;"&amp;CODICIONALES!$B$2,$D$5:$AM$5,"&lt;&gt;"&amp;CODICIONALES!$C$2)</f>
        <v>6</v>
      </c>
      <c r="AU100" s="43">
        <f>COUNTIFS(D100:AM100,CODICIONALES!$A$2)</f>
        <v>34</v>
      </c>
      <c r="AV100" s="40">
        <f t="shared" si="1"/>
        <v>-4</v>
      </c>
    </row>
    <row r="101" spans="1:48" ht="51" customHeight="1" x14ac:dyDescent="0.25">
      <c r="A101" s="110"/>
      <c r="B101" s="2">
        <v>97</v>
      </c>
      <c r="C101" s="21" t="s">
        <v>88</v>
      </c>
      <c r="D101" s="51" t="str">
        <f>+IF(GENERAL!E102=GENERAL!$AI$2,GENERAL!$AI$2,CONCATENATE(OBSERVACIONES!D101,"
ESTADO DE POSTVENTAS:  ",GENERAL!E102))</f>
        <v>NO ENTREGADO
ESTADO DE POSTVENTAS:  TIENE POSTVENTA</v>
      </c>
      <c r="E101" s="51" t="str">
        <f>+IF(GENERAL!F102=GENERAL!$AI$2,GENERAL!$AI$2,CONCATENATE(OBSERVACIONES!E101,"
ESTADO DE POSTVENTAS:  ",GENERAL!F102))</f>
        <v>OK
ESTADO DE POSTVENTAS:  POSTVENTA CORREGIDA</v>
      </c>
      <c r="F101" s="51" t="str">
        <f>+IF(GENERAL!G102=GENERAL!$AI$2,GENERAL!$AI$2,CONCATENATE(OBSERVACIONES!F101,"
ESTADO DE POSTVENTAS:  ",GENERAL!G102))</f>
        <v>OK
ESTADO DE POSTVENTAS:  POSTVENTA CORREGIDA</v>
      </c>
      <c r="G101" s="51" t="str">
        <f>+IF(GENERAL!H102=GENERAL!$AI$2,GENERAL!$AI$2,CONCATENATE(OBSERVACIONES!G101,"
ESTADO DE POSTVENTAS:  ",GENERAL!H102))</f>
        <v>NO ENTREGADO
ESTADO DE POSTVENTAS:  TIENE POSTVENTA</v>
      </c>
      <c r="H101" s="51" t="str">
        <f>+IF(GENERAL!I102=GENERAL!$AI$2,GENERAL!$AI$2,CONCATENATE(OBSERVACIONES!H101,"
ESTADO DE POSTVENTAS:  ",GENERAL!I102))</f>
        <v>OK
ESTADO DE POSTVENTAS:  POSTVENTA CORREGIDA</v>
      </c>
      <c r="I101" s="51" t="str">
        <f>+IF(GENERAL!J102=GENERAL!$AI$2,GENERAL!$AI$2,CONCATENATE(OBSERVACIONES!I101,"
ESTADO DE POSTVENTAS:  ",GENERAL!J102))</f>
        <v>OK
ESTADO DE POSTVENTAS:  POSTVENTA CORREGIDA</v>
      </c>
      <c r="J101" s="51" t="str">
        <f>+IF(GENERAL!K102=GENERAL!$AI$2,GENERAL!$AI$2,CONCATENATE(OBSERVACIONES!J101,"
ESTADO DE POSTVENTAS:  ",GENERAL!K102))</f>
        <v>OK
ESTADO DE POSTVENTAS:  POSTVENTA CORREGIDA</v>
      </c>
      <c r="K101" s="51" t="str">
        <f>+IF(GENERAL!L102=GENERAL!$AI$2,GENERAL!$AI$2,CONCATENATE(OBSERVACIONES!K101,"
ESTADO DE POSTVENTAS:  ",GENERAL!L102))</f>
        <v>OK
ESTADO DE POSTVENTAS:  POSTVENTA CORREGIDA</v>
      </c>
      <c r="L101" s="51" t="str">
        <f>+IF(GENERAL!M102=GENERAL!$AI$2,GENERAL!$AI$2,CONCATENATE(OBSERVACIONES!L101,"
ESTADO DE POSTVENTAS:  ",GENERAL!M102))</f>
        <v>OK
ESTADO DE POSTVENTAS:  POSTVENTA CORREGIDA</v>
      </c>
      <c r="M101" s="70" t="str">
        <f>+IF(GENERAL!N102=GENERAL!$AI$2,GENERAL!$AI$2,CONCATENATE(OBSERVACIONES!M101,"
ESTADO DE POSTVENTAS:  ",GENERAL!N102))</f>
        <v>OK
ESTADO DE POSTVENTAS:  POSTVENTA CORREGIDA</v>
      </c>
      <c r="N101" s="51" t="str">
        <f>+IF(GENERAL!O102=GENERAL!$AI$2,GENERAL!$AI$2,CONCATENATE(OBSERVACIONES!N101,"
ESTADO DE POSTVENTAS:  ",GENERAL!O102))</f>
        <v>OK
ESTADO DE POSTVENTAS:  POSTVENTA CORREGIDA</v>
      </c>
      <c r="O101" s="51" t="str">
        <f>+IF(GENERAL!P102=GENERAL!$AI$2,GENERAL!$AI$2,CONCATENATE(OBSERVACIONES!O101,"
ESTADO DE POSTVENTAS:  ",GENERAL!P102))</f>
        <v>OK
ESTADO DE POSTVENTAS:  POSTVENTA CORREGIDA</v>
      </c>
      <c r="P101" s="70" t="str">
        <f>+IF(GENERAL!Q102=GENERAL!$AI$2,GENERAL!$AI$2,CONCATENATE(OBSERVACIONES!P101,"
ESTADO DE POSTVENTAS:  ",GENERAL!Q102))</f>
        <v>OK
ESTADO DE POSTVENTAS:  POSTVENTA CORREGIDA</v>
      </c>
      <c r="Q101" s="70" t="str">
        <f>+IF(GENERAL!R102=GENERAL!$AI$2,GENERAL!$AI$2,CONCATENATE(OBSERVACIONES!Q101,"
ESTADO DE POSTVENTAS:  ",GENERAL!R102))</f>
        <v>OK
ESTADO DE POSTVENTAS:  POSTVENTA CORREGIDA</v>
      </c>
      <c r="R101" s="51" t="str">
        <f>+IF(GENERAL!S102=GENERAL!$AI$2,GENERAL!$AI$2,CONCATENATE(OBSERVACIONES!R101,"
ESTADO DE POSTVENTAS:  ",GENERAL!S102))</f>
        <v>OK
ESTADO DE POSTVENTAS:  POSTVENTA CORREGIDA</v>
      </c>
      <c r="S101" s="51" t="str">
        <f>+IF(GENERAL!T102=GENERAL!$AI$2,GENERAL!$AI$2,CONCATENATE(OBSERVACIONES!S101,"
ESTADO DE POSTVENTAS:  ",GENERAL!T102))</f>
        <v>OK
ESTADO DE POSTVENTAS:  POSTVENTA CORREGIDA</v>
      </c>
      <c r="T101" s="51" t="str">
        <f>+IF(GENERAL!U102=GENERAL!$AI$2,GENERAL!$AI$2,CONCATENATE(OBSERVACIONES!T101,"
ESTADO DE POSTVENTAS:  ",GENERAL!U102))</f>
        <v>OK
ESTADO DE POSTVENTAS:  POSTVENTA CORREGIDA</v>
      </c>
      <c r="U101" s="51" t="str">
        <f>+IF(GENERAL!V102=GENERAL!$AI$2,GENERAL!$AI$2,CONCATENATE(OBSERVACIONES!U101,"
ESTADO DE POSTVENTAS:  ",GENERAL!V102))</f>
        <v>OK
ESTADO DE POSTVENTAS:  POSTVENTA CORREGIDA</v>
      </c>
      <c r="V101" s="51" t="str">
        <f>+IF(GENERAL!W102=GENERAL!$AI$2,GENERAL!$AI$2,CONCATENATE(OBSERVACIONES!V101,"
ESTADO DE POSTVENTAS:  ",GENERAL!W102))</f>
        <v>OK
ESTADO DE POSTVENTAS:  POSTVENTA CORREGIDA</v>
      </c>
      <c r="W101" s="51" t="str">
        <f>+IF(GENERAL!V102=GENERAL!$AI$2,GENERAL!$AI$2,CONCATENATE(OBSERVACIONES!W101,"
ESTADO DE POSTVENTAS:  ",GENERAL!V102))</f>
        <v>OK
ESTADO DE POSTVENTAS:  POSTVENTA CORREGIDA</v>
      </c>
      <c r="X101" s="51" t="str">
        <f>+IF(GENERAL!W102=GENERAL!$AI$2,GENERAL!$AI$2,CONCATENATE(OBSERVACIONES!X101,"
ESTADO DE POSTVENTAS:  ",GENERAL!W102))</f>
        <v>OK
ESTADO DE POSTVENTAS:  POSTVENTA CORREGIDA</v>
      </c>
      <c r="Y101" s="51" t="str">
        <f>+IF(GENERAL!Z102=GENERAL!$AI$2,GENERAL!$AI$2,CONCATENATE(OBSERVACIONES!Y101,"
ESTADO DE POSTVENTAS:  ",GENERAL!Z102))</f>
        <v>OK
ESTADO DE POSTVENTAS:  POSTVENTA CORREGIDA</v>
      </c>
      <c r="Z101" s="51" t="str">
        <f>+IF(GENERAL!AA102=GENERAL!$AI$2,GENERAL!$AI$2,CONCATENATE(OBSERVACIONES!Z101,"
ESTADO DE POSTVENTAS:  ",GENERAL!AA102))</f>
        <v>OK
ESTADO DE POSTVENTAS:  POSTVENTA CORREGIDA</v>
      </c>
      <c r="AA101" s="51" t="str">
        <f>+IF(GENERAL!AB102=GENERAL!$AI$2,GENERAL!$AI$2,CONCATENATE(OBSERVACIONES!AA101,"
ESTADO DE POSTVENTAS:  ",GENERAL!AB102))</f>
        <v>OK
ESTADO DE POSTVENTAS:  POSTVENTA CORREGIDA</v>
      </c>
      <c r="AB101" s="70" t="str">
        <f>+IF(GENERAL!AC102=GENERAL!$AI$2,GENERAL!$AI$2,CONCATENATE(OBSERVACIONES!AB101,"
ESTADO DE POSTVENTAS:  ",GENERAL!AC102))</f>
        <v>OK
ESTADO DE POSTVENTAS:  POSTVENTA CORREGIDA</v>
      </c>
      <c r="AC101" s="51" t="str">
        <f>+IF(GENERAL!AD102=GENERAL!$AI$2,GENERAL!$AI$2,CONCATENATE(OBSERVACIONES!AC101,"
ESTADO DE POSTVENTAS:  ",GENERAL!AD102))</f>
        <v>OK
ESTADO DE POSTVENTAS:  POSTVENTA CORREGIDA</v>
      </c>
      <c r="AD101" s="51" t="str">
        <f>+IF(GENERAL!AE102=GENERAL!$AI$2,GENERAL!$AI$2,CONCATENATE(OBSERVACIONES!AD101,"
ESTADO DE POSTVENTAS:  ",GENERAL!AE102))</f>
        <v>OK
ESTADO DE POSTVENTAS:  POSTVENTA CORREGIDA</v>
      </c>
      <c r="AE101" s="51" t="str">
        <f>+IF(GENERAL!AF102=GENERAL!$AI$2,GENERAL!$AI$2,CONCATENATE(OBSERVACIONES!AE101,"
ESTADO DE POSTVENTAS:  ",GENERAL!AF102))</f>
        <v>OK
ESTADO DE POSTVENTAS:  POSTVENTA CORREGIDA</v>
      </c>
      <c r="AF101" s="51" t="str">
        <f>+IF(GENERAL!AG102=GENERAL!$AI$2,GENERAL!$AI$2,CONCATENATE(OBSERVACIONES!AF101,"
ESTADO DE POSTVENTAS:  ",GENERAL!AG102))</f>
        <v>OK
ESTADO DE POSTVENTAS:  POSTVENTA CORREGIDA</v>
      </c>
      <c r="AG101" s="51" t="str">
        <f>+IF(GENERAL!AH102=GENERAL!$AI$2,GENERAL!$AI$2,CONCATENATE(OBSERVACIONES!AG101,"
ESTADO DE POSTVENTAS:  ",GENERAL!AH102))</f>
        <v>OK
ESTADO DE POSTVENTAS:  POSTVENTA CORREGIDA</v>
      </c>
      <c r="AH101" s="51" t="str">
        <f>+IF(GENERAL!AI102=GENERAL!$AI$2,GENERAL!$AI$2,CONCATENATE(OBSERVACIONES!AH101,"
ESTADO DE POSTVENTAS:  ",GENERAL!AI102))</f>
        <v>OK
ESTADO DE POSTVENTAS:  POSTVENTA CORREGIDA</v>
      </c>
      <c r="AI101" s="51" t="str">
        <f>+IF(GENERAL!AG102=GENERAL!$AI$2,GENERAL!$AI$2,CONCATENATE(OBSERVACIONES!AF101,"
ESTADO DE POSTVENTAS:  ",GENERAL!AG102))</f>
        <v>OK
ESTADO DE POSTVENTAS:  POSTVENTA CORREGIDA</v>
      </c>
      <c r="AJ101" s="51" t="str">
        <f>+IF(GENERAL!AI102=GENERAL!$AI$2,GENERAL!$AI$2,CONCATENATE(OBSERVACIONES!AH101,"
ESTADO DE POSTVENTAS:  ",GENERAL!AI102))</f>
        <v>OK
ESTADO DE POSTVENTAS:  POSTVENTA CORREGIDA</v>
      </c>
      <c r="AK101" s="51" t="str">
        <f>+IF(GENERAL!AJ102=GENERAL!$AI$2,GENERAL!$AI$2,CONCATENATE(OBSERVACIONES!AI101,"
ESTADO DE POSTVENTAS:  ",GENERAL!AJ102))</f>
        <v>OK
ESTADO DE POSTVENTAS:  POSTVENTA CORREGIDA</v>
      </c>
      <c r="AL101" s="51" t="str">
        <f>+IF(GENERAL!AK102=GENERAL!$AI$2,GENERAL!$AI$2,CONCATENATE(OBSERVACIONES!AJ101,"
ESTADO DE POSTVENTAS:  ",GENERAL!AK102))</f>
        <v>OK
ESTADO DE POSTVENTAS:  POSTVENTA CORREGIDA</v>
      </c>
      <c r="AM101" s="51" t="str">
        <f>+IF(GENERAL!AN102=GENERAL!$AI$2,GENERAL!$AI$2,CONCATENATE(OBSERVACIONES!AM101,"
ESTADO DE POSTVENTAS:  ",GENERAL!AN102))</f>
        <v>OK
ESTADO DE POSTVENTAS:  POSTVENTA CORREGIDA</v>
      </c>
      <c r="AN101" s="37">
        <v>1</v>
      </c>
      <c r="AO101" s="37">
        <v>10</v>
      </c>
      <c r="AP101" s="37">
        <v>3</v>
      </c>
      <c r="AQ101" s="37">
        <v>1</v>
      </c>
      <c r="AR101" s="43">
        <v>13</v>
      </c>
      <c r="AS101" s="40">
        <v>12</v>
      </c>
      <c r="AT101" s="37">
        <f>COUNTIFS($D$5:$AM$5,"&lt;&gt;"&amp;CODICIONALES!$A$1,$D$5:$AM$5,"&lt;&gt;"&amp;CODICIONALES!$A$2,$D$5:$AM$5,"&lt;&gt;"&amp;CODICIONALES!$B$2,$D$5:$AM$5,"&lt;&gt;"&amp;CODICIONALES!$C$2)</f>
        <v>6</v>
      </c>
      <c r="AU101" s="43">
        <f>COUNTIFS(D101:AM101,CODICIONALES!$A$2)</f>
        <v>34</v>
      </c>
      <c r="AV101" s="40">
        <f t="shared" si="1"/>
        <v>-4</v>
      </c>
    </row>
    <row r="102" spans="1:48" ht="51" customHeight="1" x14ac:dyDescent="0.25">
      <c r="A102" s="110"/>
      <c r="B102" s="2">
        <v>98</v>
      </c>
      <c r="C102" s="21" t="s">
        <v>89</v>
      </c>
      <c r="D102" s="51" t="str">
        <f>+IF(GENERAL!E103=GENERAL!$AI$2,GENERAL!$AI$2,CONCATENATE(OBSERVACIONES!D102,"
ESTADO DE POSTVENTAS:  ",GENERAL!E103))</f>
        <v>NO ENTREGADO
ESTADO DE POSTVENTAS:  TIENE POSTVENTA</v>
      </c>
      <c r="E102" s="51" t="str">
        <f>+IF(GENERAL!F103=GENERAL!$AI$2,GENERAL!$AI$2,CONCATENATE(OBSERVACIONES!E102,"
ESTADO DE POSTVENTAS:  ",GENERAL!F103))</f>
        <v>OK
ESTADO DE POSTVENTAS:  POSTVENTA CORREGIDA</v>
      </c>
      <c r="F102" s="51" t="str">
        <f>+IF(GENERAL!G103=GENERAL!$AI$2,GENERAL!$AI$2,CONCATENATE(OBSERVACIONES!F102,"
ESTADO DE POSTVENTAS:  ",GENERAL!G103))</f>
        <v>OK
ESTADO DE POSTVENTAS:  POSTVENTA CORREGIDA</v>
      </c>
      <c r="G102" s="51" t="str">
        <f>+IF(GENERAL!H103=GENERAL!$AI$2,GENERAL!$AI$2,CONCATENATE(OBSERVACIONES!G102,"
ESTADO DE POSTVENTAS:  ",GENERAL!H103))</f>
        <v>NO ENTREGADO
ESTADO DE POSTVENTAS:  TIENE POSTVENTA</v>
      </c>
      <c r="H102" s="51" t="str">
        <f>+IF(GENERAL!I103=GENERAL!$AI$2,GENERAL!$AI$2,CONCATENATE(OBSERVACIONES!H102,"
ESTADO DE POSTVENTAS:  ",GENERAL!I103))</f>
        <v>OK
ESTADO DE POSTVENTAS:  POSTVENTA CORREGIDA</v>
      </c>
      <c r="I102" s="51" t="str">
        <f>+IF(GENERAL!J103=GENERAL!$AI$2,GENERAL!$AI$2,CONCATENATE(OBSERVACIONES!I102,"
ESTADO DE POSTVENTAS:  ",GENERAL!J103))</f>
        <v>OK
ESTADO DE POSTVENTAS:  POSTVENTA CORREGIDA</v>
      </c>
      <c r="J102" s="51" t="str">
        <f>+IF(GENERAL!K103=GENERAL!$AI$2,GENERAL!$AI$2,CONCATENATE(OBSERVACIONES!J102,"
ESTADO DE POSTVENTAS:  ",GENERAL!K103))</f>
        <v>OK
ESTADO DE POSTVENTAS:  POSTVENTA CORREGIDA</v>
      </c>
      <c r="K102" s="51" t="str">
        <f>+IF(GENERAL!L103=GENERAL!$AI$2,GENERAL!$AI$2,CONCATENATE(OBSERVACIONES!K102,"
ESTADO DE POSTVENTAS:  ",GENERAL!L103))</f>
        <v>OK
ESTADO DE POSTVENTAS:  POSTVENTA CORREGIDA</v>
      </c>
      <c r="L102" s="51" t="str">
        <f>+IF(GENERAL!M103=GENERAL!$AI$2,GENERAL!$AI$2,CONCATENATE(OBSERVACIONES!L102,"
ESTADO DE POSTVENTAS:  ",GENERAL!M103))</f>
        <v>OK
ESTADO DE POSTVENTAS:  POSTVENTA CORREGIDA</v>
      </c>
      <c r="M102" s="70" t="str">
        <f>+IF(GENERAL!N103=GENERAL!$AI$2,GENERAL!$AI$2,CONCATENATE(OBSERVACIONES!M102,"
ESTADO DE POSTVENTAS:  ",GENERAL!N103))</f>
        <v>OK
ESTADO DE POSTVENTAS:  POSTVENTA CORREGIDA</v>
      </c>
      <c r="N102" s="51" t="str">
        <f>+IF(GENERAL!O103=GENERAL!$AI$2,GENERAL!$AI$2,CONCATENATE(OBSERVACIONES!N102,"
ESTADO DE POSTVENTAS:  ",GENERAL!O103))</f>
        <v>OK
ESTADO DE POSTVENTAS:  POSTVENTA CORREGIDA</v>
      </c>
      <c r="O102" s="51" t="str">
        <f>+IF(GENERAL!P103=GENERAL!$AI$2,GENERAL!$AI$2,CONCATENATE(OBSERVACIONES!O102,"
ESTADO DE POSTVENTAS:  ",GENERAL!P103))</f>
        <v>OK
ESTADO DE POSTVENTAS:  POSTVENTA CORREGIDA</v>
      </c>
      <c r="P102" s="70" t="str">
        <f>+IF(GENERAL!Q103=GENERAL!$AI$2,GENERAL!$AI$2,CONCATENATE(OBSERVACIONES!P102,"
ESTADO DE POSTVENTAS:  ",GENERAL!Q103))</f>
        <v>OK
ESTADO DE POSTVENTAS:  POSTVENTA CORREGIDA</v>
      </c>
      <c r="Q102" s="70" t="str">
        <f>+IF(GENERAL!R103=GENERAL!$AI$2,GENERAL!$AI$2,CONCATENATE(OBSERVACIONES!Q102,"
ESTADO DE POSTVENTAS:  ",GENERAL!R103))</f>
        <v>OK
ESTADO DE POSTVENTAS:  POSTVENTA CORREGIDA</v>
      </c>
      <c r="R102" s="51" t="str">
        <f>+IF(GENERAL!S103=GENERAL!$AI$2,GENERAL!$AI$2,CONCATENATE(OBSERVACIONES!R102,"
ESTADO DE POSTVENTAS:  ",GENERAL!S103))</f>
        <v>OK
ESTADO DE POSTVENTAS:  POSTVENTA CORREGIDA</v>
      </c>
      <c r="S102" s="51" t="str">
        <f>+IF(GENERAL!T103=GENERAL!$AI$2,GENERAL!$AI$2,CONCATENATE(OBSERVACIONES!S102,"
ESTADO DE POSTVENTAS:  ",GENERAL!T103))</f>
        <v>OK
ESTADO DE POSTVENTAS:  POSTVENTA CORREGIDA</v>
      </c>
      <c r="T102" s="51" t="str">
        <f>+IF(GENERAL!U103=GENERAL!$AI$2,GENERAL!$AI$2,CONCATENATE(OBSERVACIONES!T102,"
ESTADO DE POSTVENTAS:  ",GENERAL!U103))</f>
        <v>OK
ESTADO DE POSTVENTAS:  POSTVENTA CORREGIDA</v>
      </c>
      <c r="U102" s="51" t="str">
        <f>+IF(GENERAL!V103=GENERAL!$AI$2,GENERAL!$AI$2,CONCATENATE(OBSERVACIONES!U102,"
ESTADO DE POSTVENTAS:  ",GENERAL!V103))</f>
        <v>OK
ESTADO DE POSTVENTAS:  POSTVENTA CORREGIDA</v>
      </c>
      <c r="V102" s="51" t="str">
        <f>+IF(GENERAL!W103=GENERAL!$AI$2,GENERAL!$AI$2,CONCATENATE(OBSERVACIONES!V102,"
ESTADO DE POSTVENTAS:  ",GENERAL!W103))</f>
        <v>OK
ESTADO DE POSTVENTAS:  POSTVENTA CORREGIDA</v>
      </c>
      <c r="W102" s="51" t="str">
        <f>+IF(GENERAL!V103=GENERAL!$AI$2,GENERAL!$AI$2,CONCATENATE(OBSERVACIONES!W102,"
ESTADO DE POSTVENTAS:  ",GENERAL!V103))</f>
        <v>OK
ESTADO DE POSTVENTAS:  POSTVENTA CORREGIDA</v>
      </c>
      <c r="X102" s="51" t="str">
        <f>+IF(GENERAL!W103=GENERAL!$AI$2,GENERAL!$AI$2,CONCATENATE(OBSERVACIONES!X102,"
ESTADO DE POSTVENTAS:  ",GENERAL!W103))</f>
        <v>OK
ESTADO DE POSTVENTAS:  POSTVENTA CORREGIDA</v>
      </c>
      <c r="Y102" s="51" t="str">
        <f>+IF(GENERAL!Z103=GENERAL!$AI$2,GENERAL!$AI$2,CONCATENATE(OBSERVACIONES!Y102,"
ESTADO DE POSTVENTAS:  ",GENERAL!Z103))</f>
        <v>OK
ESTADO DE POSTVENTAS:  POSTVENTA CORREGIDA</v>
      </c>
      <c r="Z102" s="51" t="str">
        <f>+IF(GENERAL!AA103=GENERAL!$AI$2,GENERAL!$AI$2,CONCATENATE(OBSERVACIONES!Z102,"
ESTADO DE POSTVENTAS:  ",GENERAL!AA103))</f>
        <v>OK
ESTADO DE POSTVENTAS:  POSTVENTA CORREGIDA</v>
      </c>
      <c r="AA102" s="51" t="str">
        <f>+IF(GENERAL!AB103=GENERAL!$AI$2,GENERAL!$AI$2,CONCATENATE(OBSERVACIONES!AA102,"
ESTADO DE POSTVENTAS:  ",GENERAL!AB103))</f>
        <v>OK
ESTADO DE POSTVENTAS:  POSTVENTA CORREGIDA</v>
      </c>
      <c r="AB102" s="51" t="str">
        <f>+IF(GENERAL!AC103=GENERAL!$AI$2,GENERAL!$AI$2,CONCATENATE(OBSERVACIONES!AB102,"
ESTADO DE POSTVENTAS:  ",GENERAL!AC103))</f>
        <v>OK
ESTADO DE POSTVENTAS:  POSTVENTA CORREGIDA</v>
      </c>
      <c r="AC102" s="51" t="str">
        <f>+IF(GENERAL!AD103=GENERAL!$AI$2,GENERAL!$AI$2,CONCATENATE(OBSERVACIONES!AC102,"
ESTADO DE POSTVENTAS:  ",GENERAL!AD103))</f>
        <v>OK
ESTADO DE POSTVENTAS:  POSTVENTA CORREGIDA</v>
      </c>
      <c r="AD102" s="51" t="str">
        <f>+IF(GENERAL!AE103=GENERAL!$AI$2,GENERAL!$AI$2,CONCATENATE(OBSERVACIONES!AD102,"
ESTADO DE POSTVENTAS:  ",GENERAL!AE103))</f>
        <v>OK
ESTADO DE POSTVENTAS:  POSTVENTA CORREGIDA</v>
      </c>
      <c r="AE102" s="51" t="str">
        <f>+IF(GENERAL!AF103=GENERAL!$AI$2,GENERAL!$AI$2,CONCATENATE(OBSERVACIONES!AE102,"
ESTADO DE POSTVENTAS:  ",GENERAL!AF103))</f>
        <v>OK
ESTADO DE POSTVENTAS:  POSTVENTA CORREGIDA</v>
      </c>
      <c r="AF102" s="51" t="str">
        <f>+IF(GENERAL!AG103=GENERAL!$AI$2,GENERAL!$AI$2,CONCATENATE(OBSERVACIONES!AF102,"
ESTADO DE POSTVENTAS:  ",GENERAL!AG103))</f>
        <v>OK
ESTADO DE POSTVENTAS:  POSTVENTA CORREGIDA</v>
      </c>
      <c r="AG102" s="51" t="str">
        <f>+IF(GENERAL!AH103=GENERAL!$AI$2,GENERAL!$AI$2,CONCATENATE(OBSERVACIONES!AG102,"
ESTADO DE POSTVENTAS:  ",GENERAL!AH103))</f>
        <v>OK
ESTADO DE POSTVENTAS:  POSTVENTA CORREGIDA</v>
      </c>
      <c r="AH102" s="51" t="str">
        <f>+IF(GENERAL!AI103=GENERAL!$AI$2,GENERAL!$AI$2,CONCATENATE(OBSERVACIONES!AH102,"
ESTADO DE POSTVENTAS:  ",GENERAL!AI103))</f>
        <v>OK
ESTADO DE POSTVENTAS:  POSTVENTA CORREGIDA</v>
      </c>
      <c r="AI102" s="51" t="str">
        <f>+IF(GENERAL!AG103=GENERAL!$AI$2,GENERAL!$AI$2,CONCATENATE(OBSERVACIONES!AF102,"
ESTADO DE POSTVENTAS:  ",GENERAL!AG103))</f>
        <v>OK
ESTADO DE POSTVENTAS:  POSTVENTA CORREGIDA</v>
      </c>
      <c r="AJ102" s="51" t="str">
        <f>+IF(GENERAL!AI103=GENERAL!$AI$2,GENERAL!$AI$2,CONCATENATE(OBSERVACIONES!AH102,"
ESTADO DE POSTVENTAS:  ",GENERAL!AI103))</f>
        <v>OK
ESTADO DE POSTVENTAS:  POSTVENTA CORREGIDA</v>
      </c>
      <c r="AK102" s="51" t="str">
        <f>+IF(GENERAL!AJ103=GENERAL!$AI$2,GENERAL!$AI$2,CONCATENATE(OBSERVACIONES!AI102,"
ESTADO DE POSTVENTAS:  ",GENERAL!AJ103))</f>
        <v>OK
ESTADO DE POSTVENTAS:  POSTVENTA CORREGIDA</v>
      </c>
      <c r="AL102" s="51" t="str">
        <f>+IF(GENERAL!AK103=GENERAL!$AI$2,GENERAL!$AI$2,CONCATENATE(OBSERVACIONES!AJ102,"
ESTADO DE POSTVENTAS:  ",GENERAL!AK103))</f>
        <v>OK
ESTADO DE POSTVENTAS:  POSTVENTA CORREGIDA</v>
      </c>
      <c r="AM102" s="51" t="str">
        <f>+IF(GENERAL!AN103=GENERAL!$AI$2,GENERAL!$AI$2,CONCATENATE(OBSERVACIONES!AM102,"
ESTADO DE POSTVENTAS:  ",GENERAL!AN103))</f>
        <v>OK
ESTADO DE POSTVENTAS:  POSTVENTA CORREGIDA</v>
      </c>
      <c r="AN102" s="37">
        <v>3</v>
      </c>
      <c r="AO102" s="37">
        <v>8</v>
      </c>
      <c r="AP102" s="37">
        <v>3</v>
      </c>
      <c r="AQ102" s="37">
        <v>0</v>
      </c>
      <c r="AR102" s="43">
        <v>14</v>
      </c>
      <c r="AS102" s="40">
        <v>12</v>
      </c>
      <c r="AT102" s="37">
        <f>COUNTIFS($D$5:$AM$5,"&lt;&gt;"&amp;CODICIONALES!$A$1,$D$5:$AM$5,"&lt;&gt;"&amp;CODICIONALES!$A$2,$D$5:$AM$5,"&lt;&gt;"&amp;CODICIONALES!$B$2,$D$5:$AM$5,"&lt;&gt;"&amp;CODICIONALES!$C$2)</f>
        <v>6</v>
      </c>
      <c r="AU102" s="43">
        <f>COUNTIFS(D102:AM102,CODICIONALES!$A$2)</f>
        <v>34</v>
      </c>
      <c r="AV102" s="40">
        <f t="shared" si="1"/>
        <v>-4</v>
      </c>
    </row>
    <row r="103" spans="1:48" ht="51" customHeight="1" x14ac:dyDescent="0.25">
      <c r="A103" s="110"/>
      <c r="B103" s="2">
        <v>99</v>
      </c>
      <c r="C103" s="21" t="s">
        <v>76</v>
      </c>
      <c r="D103" s="51" t="str">
        <f>+IF(GENERAL!E104=GENERAL!$AI$2,GENERAL!$AI$2,CONCATENATE(OBSERVACIONES!D103,"
ESTADO DE POSTVENTAS:  ",GENERAL!E104))</f>
        <v>NO ENTREGADO
ESTADO DE POSTVENTAS:  TIENE POSTVENTA</v>
      </c>
      <c r="E103" s="51" t="str">
        <f>+IF(GENERAL!F104=GENERAL!$AI$2,GENERAL!$AI$2,CONCATENATE(OBSERVACIONES!E103,"
ESTADO DE POSTVENTAS:  ",GENERAL!F104))</f>
        <v>OK
ESTADO DE POSTVENTAS:  POSTVENTA CORREGIDA</v>
      </c>
      <c r="F103" s="51" t="str">
        <f>+IF(GENERAL!G104=GENERAL!$AI$2,GENERAL!$AI$2,CONCATENATE(OBSERVACIONES!F103,"
ESTADO DE POSTVENTAS:  ",GENERAL!G104))</f>
        <v>OK
ESTADO DE POSTVENTAS:  POSTVENTA CORREGIDA</v>
      </c>
      <c r="G103" s="51" t="str">
        <f>+IF(GENERAL!H104=GENERAL!$AI$2,GENERAL!$AI$2,CONCATENATE(OBSERVACIONES!G103,"
ESTADO DE POSTVENTAS:  ",GENERAL!H104))</f>
        <v>NO ENTREGADO
ESTADO DE POSTVENTAS:  TIENE POSTVENTA</v>
      </c>
      <c r="H103" s="51" t="str">
        <f>+IF(GENERAL!I104=GENERAL!$AI$2,GENERAL!$AI$2,CONCATENATE(OBSERVACIONES!H103,"
ESTADO DE POSTVENTAS:  ",GENERAL!I104))</f>
        <v>OK
ESTADO DE POSTVENTAS:  POSTVENTA CORREGIDA</v>
      </c>
      <c r="I103" s="51" t="str">
        <f>+IF(GENERAL!J104=GENERAL!$AI$2,GENERAL!$AI$2,CONCATENATE(OBSERVACIONES!I103,"
ESTADO DE POSTVENTAS:  ",GENERAL!J104))</f>
        <v>OK
ESTADO DE POSTVENTAS:  POSTVENTA CORREGIDA</v>
      </c>
      <c r="J103" s="51" t="str">
        <f>+IF(GENERAL!K104=GENERAL!$AI$2,GENERAL!$AI$2,CONCATENATE(OBSERVACIONES!J103,"
ESTADO DE POSTVENTAS:  ",GENERAL!K104))</f>
        <v>OK
ESTADO DE POSTVENTAS:  POSTVENTA CORREGIDA</v>
      </c>
      <c r="K103" s="70" t="str">
        <f>+IF(GENERAL!L104=GENERAL!$AI$2,GENERAL!$AI$2,CONCATENATE(OBSERVACIONES!L103,"
ESTADO DE POSTVENTAS:  ",GENERAL!L104))</f>
        <v>DETALLE CAMBIO
ESTADO DE POSTVENTAS:  POSTVENTA CORREGIDA</v>
      </c>
      <c r="L103" s="70" t="str">
        <f>+IF(GENERAL!M104=GENERAL!$AI$2,GENERAL!$AI$2,CONCATENATE(OBSERVACIONES!L103,"
ESTADO DE POSTVENTAS:  ",GENERAL!M104))</f>
        <v>DETALLE CAMBIO
ESTADO DE POSTVENTAS:  TIENE POSTVENTA</v>
      </c>
      <c r="M103" s="70" t="str">
        <f>+IF(GENERAL!N104=GENERAL!$AI$2,GENERAL!$AI$2,CONCATENATE(OBSERVACIONES!M103,"
ESTADO DE POSTVENTAS:  ",GENERAL!N104))</f>
        <v>OK
ESTADO DE POSTVENTAS:  POSTVENTA CORREGIDA</v>
      </c>
      <c r="N103" s="51" t="str">
        <f>+IF(GENERAL!O104=GENERAL!$AI$2,GENERAL!$AI$2,CONCATENATE(OBSERVACIONES!N103,"
ESTADO DE POSTVENTAS:  ",GENERAL!O104))</f>
        <v>OK
ESTADO DE POSTVENTAS:  POSTVENTA CORREGIDA</v>
      </c>
      <c r="O103" s="51" t="str">
        <f>+IF(GENERAL!P104=GENERAL!$AI$2,GENERAL!$AI$2,CONCATENATE(OBSERVACIONES!O103,"
ESTADO DE POSTVENTAS:  ",GENERAL!P104))</f>
        <v>OK
ESTADO DE POSTVENTAS:  POSTVENTA CORREGIDA</v>
      </c>
      <c r="P103" s="70" t="str">
        <f>+IF(GENERAL!Q104=GENERAL!$AI$2,GENERAL!$AI$2,CONCATENATE(OBSERVACIONES!P103,"
ESTADO DE POSTVENTAS:  ",GENERAL!Q104))</f>
        <v>OK
ESTADO DE POSTVENTAS:  POSTVENTA CORREGIDA</v>
      </c>
      <c r="Q103" s="70" t="str">
        <f>+IF(GENERAL!R104=GENERAL!$AI$2,GENERAL!$AI$2,CONCATENATE(OBSERVACIONES!Q103,"
ESTADO DE POSTVENTAS:  ",GENERAL!R104))</f>
        <v>OK
ESTADO DE POSTVENTAS:  POSTVENTA CORREGIDA</v>
      </c>
      <c r="R103" s="51" t="str">
        <f>+IF(GENERAL!S104=GENERAL!$AI$2,GENERAL!$AI$2,CONCATENATE(OBSERVACIONES!R103,"
ESTADO DE POSTVENTAS:  ",GENERAL!S104))</f>
        <v>OK
ESTADO DE POSTVENTAS:  POSTVENTA CORREGIDA</v>
      </c>
      <c r="S103" s="51" t="str">
        <f>+IF(GENERAL!T104=GENERAL!$AI$2,GENERAL!$AI$2,CONCATENATE(OBSERVACIONES!S103,"
ESTADO DE POSTVENTAS:  ",GENERAL!T104))</f>
        <v>OK
ESTADO DE POSTVENTAS:  POSTVENTA CORREGIDA</v>
      </c>
      <c r="T103" s="51" t="str">
        <f>+IF(GENERAL!U104=GENERAL!$AI$2,GENERAL!$AI$2,CONCATENATE(OBSERVACIONES!T103,"
ESTADO DE POSTVENTAS:  ",GENERAL!U104))</f>
        <v>OK
ESTADO DE POSTVENTAS:  POSTVENTA CORREGIDA</v>
      </c>
      <c r="U103" s="51" t="str">
        <f>+IF(GENERAL!V104=GENERAL!$AI$2,GENERAL!$AI$2,CONCATENATE(OBSERVACIONES!U103,"
ESTADO DE POSTVENTAS:  ",GENERAL!V104))</f>
        <v>OK
ESTADO DE POSTVENTAS:  POSTVENTA CORREGIDA</v>
      </c>
      <c r="V103" s="51" t="str">
        <f>+IF(GENERAL!W104=GENERAL!$AI$2,GENERAL!$AI$2,CONCATENATE(OBSERVACIONES!V103,"
ESTADO DE POSTVENTAS:  ",GENERAL!W104))</f>
        <v>OK
ESTADO DE POSTVENTAS:  POSTVENTA CORREGIDA</v>
      </c>
      <c r="W103" s="51" t="str">
        <f>+IF(GENERAL!V104=GENERAL!$AI$2,GENERAL!$AI$2,CONCATENATE(OBSERVACIONES!W103,"
ESTADO DE POSTVENTAS:  ",GENERAL!V104))</f>
        <v>OK
ESTADO DE POSTVENTAS:  POSTVENTA CORREGIDA</v>
      </c>
      <c r="X103" s="51" t="str">
        <f>+IF(GENERAL!W104=GENERAL!$AI$2,GENERAL!$AI$2,CONCATENATE(OBSERVACIONES!X103,"
ESTADO DE POSTVENTAS:  ",GENERAL!W104))</f>
        <v>OK
ESTADO DE POSTVENTAS:  POSTVENTA CORREGIDA</v>
      </c>
      <c r="Y103" s="51" t="str">
        <f>+IF(GENERAL!Z104=GENERAL!$AI$2,GENERAL!$AI$2,CONCATENATE(OBSERVACIONES!Y103,"
ESTADO DE POSTVENTAS:  ",GENERAL!Z104))</f>
        <v>OK
ESTADO DE POSTVENTAS:  POSTVENTA CORREGIDA</v>
      </c>
      <c r="Z103" s="51" t="str">
        <f>+IF(GENERAL!AA104=GENERAL!$AI$2,GENERAL!$AI$2,CONCATENATE(OBSERVACIONES!Z103,"
ESTADO DE POSTVENTAS:  ",GENERAL!AA104))</f>
        <v>OK
ESTADO DE POSTVENTAS:  POSTVENTA CORREGIDA</v>
      </c>
      <c r="AA103" s="51" t="str">
        <f>+IF(GENERAL!AB104=GENERAL!$AI$2,GENERAL!$AI$2,CONCATENATE(OBSERVACIONES!AA103,"
ESTADO DE POSTVENTAS:  ",GENERAL!AB104))</f>
        <v>OK
ESTADO DE POSTVENTAS:  POSTVENTA CORREGIDA</v>
      </c>
      <c r="AB103" s="51" t="str">
        <f>+IF(GENERAL!AC104=GENERAL!$AI$2,GENERAL!$AI$2,CONCATENATE(OBSERVACIONES!AB103,"
ESTADO DE POSTVENTAS:  ",GENERAL!AC104))</f>
        <v>OK
ESTADO DE POSTVENTAS:  POSTVENTA CORREGIDA</v>
      </c>
      <c r="AC103" s="51" t="str">
        <f>+IF(GENERAL!AD104=GENERAL!$AI$2,GENERAL!$AI$2,CONCATENATE(OBSERVACIONES!AC103,"
ESTADO DE POSTVENTAS:  ",GENERAL!AD104))</f>
        <v>OK
ESTADO DE POSTVENTAS:  POSTVENTA CORREGIDA</v>
      </c>
      <c r="AD103" s="51" t="str">
        <f>+IF(GENERAL!AE104=GENERAL!$AI$2,GENERAL!$AI$2,CONCATENATE(OBSERVACIONES!AD103,"
ESTADO DE POSTVENTAS:  ",GENERAL!AE104))</f>
        <v>OK
ESTADO DE POSTVENTAS:  POSTVENTA CORREGIDA</v>
      </c>
      <c r="AE103" s="51" t="str">
        <f>+IF(GENERAL!AF104=GENERAL!$AI$2,GENERAL!$AI$2,CONCATENATE(OBSERVACIONES!AE103,"
ESTADO DE POSTVENTAS:  ",GENERAL!AF104))</f>
        <v>OK
ESTADO DE POSTVENTAS:  POSTVENTA CORREGIDA</v>
      </c>
      <c r="AF103" s="51" t="str">
        <f>+IF(GENERAL!AG104=GENERAL!$AI$2,GENERAL!$AI$2,CONCATENATE(OBSERVACIONES!AF103,"
ESTADO DE POSTVENTAS:  ",GENERAL!AG104))</f>
        <v>OK
ESTADO DE POSTVENTAS:  POSTVENTA CORREGIDA</v>
      </c>
      <c r="AG103" s="51" t="str">
        <f>+IF(GENERAL!AH104=GENERAL!$AI$2,GENERAL!$AI$2,CONCATENATE(OBSERVACIONES!AG103,"
ESTADO DE POSTVENTAS:  ",GENERAL!AH104))</f>
        <v>OK
ESTADO DE POSTVENTAS:  POSTVENTA CORREGIDA</v>
      </c>
      <c r="AH103" s="51" t="str">
        <f>+IF(GENERAL!AI104=GENERAL!$AI$2,GENERAL!$AI$2,CONCATENATE(OBSERVACIONES!AH103,"
ESTADO DE POSTVENTAS:  ",GENERAL!AI104))</f>
        <v>OK
ESTADO DE POSTVENTAS:  POSTVENTA CORREGIDA</v>
      </c>
      <c r="AI103" s="51" t="str">
        <f>+IF(GENERAL!AG104=GENERAL!$AI$2,GENERAL!$AI$2,CONCATENATE(OBSERVACIONES!AF103,"
ESTADO DE POSTVENTAS:  ",GENERAL!AG104))</f>
        <v>OK
ESTADO DE POSTVENTAS:  POSTVENTA CORREGIDA</v>
      </c>
      <c r="AJ103" s="51" t="str">
        <f>+IF(GENERAL!AI104=GENERAL!$AI$2,GENERAL!$AI$2,CONCATENATE(OBSERVACIONES!AH103,"
ESTADO DE POSTVENTAS:  ",GENERAL!AI104))</f>
        <v>OK
ESTADO DE POSTVENTAS:  POSTVENTA CORREGIDA</v>
      </c>
      <c r="AK103" s="51" t="str">
        <f>+IF(GENERAL!AJ104=GENERAL!$AI$2,GENERAL!$AI$2,CONCATENATE(OBSERVACIONES!AI103,"
ESTADO DE POSTVENTAS:  ",GENERAL!AJ104))</f>
        <v>OK
ESTADO DE POSTVENTAS:  POSTVENTA CORREGIDA</v>
      </c>
      <c r="AL103" s="51" t="str">
        <f>+IF(GENERAL!AK104=GENERAL!$AI$2,GENERAL!$AI$2,CONCATENATE(OBSERVACIONES!AJ103,"
ESTADO DE POSTVENTAS:  ",GENERAL!AK104))</f>
        <v>OK
ESTADO DE POSTVENTAS:  POSTVENTA CORREGIDA</v>
      </c>
      <c r="AM103" s="51" t="str">
        <f>+IF(GENERAL!AN104=GENERAL!$AI$2,GENERAL!$AI$2,CONCATENATE(OBSERVACIONES!AM103,"
ESTADO DE POSTVENTAS:  ",GENERAL!AN104))</f>
        <v>OK
ESTADO DE POSTVENTAS:  POSTVENTA CORREGIDA</v>
      </c>
      <c r="AN103" s="37">
        <v>1</v>
      </c>
      <c r="AO103" s="37">
        <v>10</v>
      </c>
      <c r="AP103" s="37">
        <v>3</v>
      </c>
      <c r="AQ103" s="37">
        <v>0</v>
      </c>
      <c r="AR103" s="43">
        <v>14</v>
      </c>
      <c r="AS103" s="40">
        <v>12</v>
      </c>
      <c r="AT103" s="37">
        <f>COUNTIFS($D$5:$AM$5,"&lt;&gt;"&amp;CODICIONALES!$A$1,$D$5:$AM$5,"&lt;&gt;"&amp;CODICIONALES!$A$2,$D$5:$AM$5,"&lt;&gt;"&amp;CODICIONALES!$B$2,$D$5:$AM$5,"&lt;&gt;"&amp;CODICIONALES!$C$2)</f>
        <v>6</v>
      </c>
      <c r="AU103" s="43">
        <f>COUNTIFS(D103:AM103,CODICIONALES!$A$2)</f>
        <v>32</v>
      </c>
      <c r="AV103" s="40">
        <f t="shared" si="1"/>
        <v>-2</v>
      </c>
    </row>
    <row r="104" spans="1:48" ht="51" customHeight="1" x14ac:dyDescent="0.25">
      <c r="A104" s="110"/>
      <c r="B104" s="2">
        <v>100</v>
      </c>
      <c r="C104" s="21" t="s">
        <v>77</v>
      </c>
      <c r="D104" s="51" t="str">
        <f>+IF(GENERAL!E105=GENERAL!$AI$2,GENERAL!$AI$2,CONCATENATE(OBSERVACIONES!D104,"
ESTADO DE POSTVENTAS:  ",GENERAL!E105))</f>
        <v>NO ENTREGADO
ESTADO DE POSTVENTAS:  TIENE POSTVENTA</v>
      </c>
      <c r="E104" s="51" t="str">
        <f>+IF(GENERAL!F105=GENERAL!$AI$2,GENERAL!$AI$2,CONCATENATE(OBSERVACIONES!E104,"
ESTADO DE POSTVENTAS:  ",GENERAL!F105))</f>
        <v>OK
ESTADO DE POSTVENTAS:  POSTVENTA CORREGIDA</v>
      </c>
      <c r="F104" s="51" t="str">
        <f>+IF(GENERAL!G105=GENERAL!$AI$2,GENERAL!$AI$2,CONCATENATE(OBSERVACIONES!F104,"
ESTADO DE POSTVENTAS:  ",GENERAL!G105))</f>
        <v>OK
ESTADO DE POSTVENTAS:  POSTVENTA CORREGIDA</v>
      </c>
      <c r="G104" s="51" t="str">
        <f>+IF(GENERAL!H105=GENERAL!$AI$2,GENERAL!$AI$2,CONCATENATE(OBSERVACIONES!G104,"
ESTADO DE POSTVENTAS:  ",GENERAL!H105))</f>
        <v>NO ENTREGADO
ESTADO DE POSTVENTAS:  TIENE POSTVENTA</v>
      </c>
      <c r="H104" s="51" t="str">
        <f>+IF(GENERAL!I105=GENERAL!$AI$2,GENERAL!$AI$2,CONCATENATE(OBSERVACIONES!H104,"
ESTADO DE POSTVENTAS:  ",GENERAL!I105))</f>
        <v>OK
ESTADO DE POSTVENTAS:  POSTVENTA CORREGIDA</v>
      </c>
      <c r="I104" s="51" t="str">
        <f>+IF(GENERAL!J105=GENERAL!$AI$2,GENERAL!$AI$2,CONCATENATE(OBSERVACIONES!I104,"
ESTADO DE POSTVENTAS:  ",GENERAL!J105))</f>
        <v>OK
ESTADO DE POSTVENTAS:  POSTVENTA CORREGIDA</v>
      </c>
      <c r="J104" s="51" t="str">
        <f>+IF(GENERAL!K105=GENERAL!$AI$2,GENERAL!$AI$2,CONCATENATE(OBSERVACIONES!J104,"
ESTADO DE POSTVENTAS:  ",GENERAL!K105))</f>
        <v>OK
ESTADO DE POSTVENTAS:  POSTVENTA CORREGIDA</v>
      </c>
      <c r="K104" s="51" t="str">
        <f>+IF(GENERAL!L105=GENERAL!$AI$2,GENERAL!$AI$2,CONCATENATE(OBSERVACIONES!K104,"
ESTADO DE POSTVENTAS:  ",GENERAL!L105))</f>
        <v>OK
ESTADO DE POSTVENTAS:  POSTVENTA CORREGIDA</v>
      </c>
      <c r="L104" s="51" t="str">
        <f>+IF(GENERAL!M105=GENERAL!$AI$2,GENERAL!$AI$2,CONCATENATE(OBSERVACIONES!L104,"
ESTADO DE POSTVENTAS:  ",GENERAL!M105))</f>
        <v>OK
ESTADO DE POSTVENTAS:  POSTVENTA CORREGIDA</v>
      </c>
      <c r="M104" s="70" t="str">
        <f>+IF(GENERAL!N105=GENERAL!$AI$2,GENERAL!$AI$2,CONCATENATE(OBSERVACIONES!M104,"
ESTADO DE POSTVENTAS:  ",GENERAL!N105))</f>
        <v>OK
ESTADO DE POSTVENTAS:  POSTVENTA CORREGIDA</v>
      </c>
      <c r="N104" s="51" t="str">
        <f>+IF(GENERAL!O105=GENERAL!$AI$2,GENERAL!$AI$2,CONCATENATE(OBSERVACIONES!N104,"
ESTADO DE POSTVENTAS:  ",GENERAL!O105))</f>
        <v>OK
ESTADO DE POSTVENTAS:  POSTVENTA CORREGIDA</v>
      </c>
      <c r="O104" s="51" t="str">
        <f>+IF(GENERAL!P105=GENERAL!$AI$2,GENERAL!$AI$2,CONCATENATE(OBSERVACIONES!O104,"
ESTADO DE POSTVENTAS:  ",GENERAL!P105))</f>
        <v>OK
ESTADO DE POSTVENTAS:  POSTVENTA CORREGIDA</v>
      </c>
      <c r="P104" s="70" t="str">
        <f>+IF(GENERAL!Q105=GENERAL!$AI$2,GENERAL!$AI$2,CONCATENATE(OBSERVACIONES!P104,"
ESTADO DE POSTVENTAS:  ",GENERAL!Q105))</f>
        <v>OK
ESTADO DE POSTVENTAS:  POSTVENTA CORREGIDA</v>
      </c>
      <c r="Q104" s="70" t="str">
        <f>+IF(GENERAL!R105=GENERAL!$AI$2,GENERAL!$AI$2,CONCATENATE(OBSERVACIONES!Q104,"
ESTADO DE POSTVENTAS:  ",GENERAL!R105))</f>
        <v>OK
ESTADO DE POSTVENTAS:  POSTVENTA CORREGIDA</v>
      </c>
      <c r="R104" s="51" t="str">
        <f>+IF(GENERAL!S105=GENERAL!$AI$2,GENERAL!$AI$2,CONCATENATE(OBSERVACIONES!R104,"
ESTADO DE POSTVENTAS:  ",GENERAL!S105))</f>
        <v>OK
ESTADO DE POSTVENTAS:  POSTVENTA CORREGIDA</v>
      </c>
      <c r="S104" s="51" t="str">
        <f>+IF(GENERAL!T105=GENERAL!$AI$2,GENERAL!$AI$2,CONCATENATE(OBSERVACIONES!S104,"
ESTADO DE POSTVENTAS:  ",GENERAL!T105))</f>
        <v>OK
ESTADO DE POSTVENTAS:  POSTVENTA CORREGIDA</v>
      </c>
      <c r="T104" s="51" t="str">
        <f>+IF(GENERAL!U105=GENERAL!$AI$2,GENERAL!$AI$2,CONCATENATE(OBSERVACIONES!T104,"
ESTADO DE POSTVENTAS:  ",GENERAL!U105))</f>
        <v>OK
ESTADO DE POSTVENTAS:  POSTVENTA CORREGIDA</v>
      </c>
      <c r="U104" s="70" t="str">
        <f>+IF(GENERAL!V105=GENERAL!$AI$2,GENERAL!$AI$2,CONCATENATE(OBSERVACIONES!U104,"
ESTADO DE POSTVENTAS:  ",GENERAL!V105))</f>
        <v>DETALLE PINTURA Y ESTUCO
ESTADO DE POSTVENTAS:  TIENE POSTVENTA</v>
      </c>
      <c r="V104" s="51" t="str">
        <f>+IF(GENERAL!W105=GENERAL!$AI$2,GENERAL!$AI$2,CONCATENATE(OBSERVACIONES!V104,"
ESTADO DE POSTVENTAS:  ",GENERAL!W105))</f>
        <v>OK
ESTADO DE POSTVENTAS:  POSTVENTA CORREGIDA</v>
      </c>
      <c r="W104" s="70" t="str">
        <f>+IF(GENERAL!V105=GENERAL!$AI$2,GENERAL!$AI$2,CONCATENATE(OBSERVACIONES!W104,"
ESTADO DE POSTVENTAS:  ",GENERAL!V105))</f>
        <v>OK
ESTADO DE POSTVENTAS:  TIENE POSTVENTA</v>
      </c>
      <c r="X104" s="51" t="str">
        <f>+IF(GENERAL!W105=GENERAL!$AI$2,GENERAL!$AI$2,CONCATENATE(OBSERVACIONES!X104,"
ESTADO DE POSTVENTAS:  ",GENERAL!W105))</f>
        <v>OK
ESTADO DE POSTVENTAS:  POSTVENTA CORREGIDA</v>
      </c>
      <c r="Y104" s="51" t="str">
        <f>+IF(GENERAL!Z105=GENERAL!$AI$2,GENERAL!$AI$2,CONCATENATE(OBSERVACIONES!Y104,"
ESTADO DE POSTVENTAS:  ",GENERAL!Z105))</f>
        <v>OK
ESTADO DE POSTVENTAS:  POSTVENTA CORREGIDA</v>
      </c>
      <c r="Z104" s="51" t="str">
        <f>+IF(GENERAL!AA105=GENERAL!$AI$2,GENERAL!$AI$2,CONCATENATE(OBSERVACIONES!Z104,"
ESTADO DE POSTVENTAS:  ",GENERAL!AA105))</f>
        <v>OK
ESTADO DE POSTVENTAS:  POSTVENTA CORREGIDA</v>
      </c>
      <c r="AA104" s="51" t="str">
        <f>+IF(GENERAL!AB105=GENERAL!$AI$2,GENERAL!$AI$2,CONCATENATE(OBSERVACIONES!AA104,"
ESTADO DE POSTVENTAS:  ",GENERAL!AB105))</f>
        <v>OK
ESTADO DE POSTVENTAS:  POSTVENTA CORREGIDA</v>
      </c>
      <c r="AB104" s="51" t="str">
        <f>+IF(GENERAL!AC105=GENERAL!$AI$2,GENERAL!$AI$2,CONCATENATE(OBSERVACIONES!AB104,"
ESTADO DE POSTVENTAS:  ",GENERAL!AC105))</f>
        <v>OK
ESTADO DE POSTVENTAS:  POSTVENTA CORREGIDA</v>
      </c>
      <c r="AC104" s="51" t="str">
        <f>+IF(GENERAL!AD105=GENERAL!$AI$2,GENERAL!$AI$2,CONCATENATE(OBSERVACIONES!AC104,"
ESTADO DE POSTVENTAS:  ",GENERAL!AD105))</f>
        <v>OK
ESTADO DE POSTVENTAS:  POSTVENTA CORREGIDA</v>
      </c>
      <c r="AD104" s="51" t="str">
        <f>+IF(GENERAL!AE105=GENERAL!$AI$2,GENERAL!$AI$2,CONCATENATE(OBSERVACIONES!AD104,"
ESTADO DE POSTVENTAS:  ",GENERAL!AE105))</f>
        <v>OK
ESTADO DE POSTVENTAS:  POSTVENTA CORREGIDA</v>
      </c>
      <c r="AE104" s="51" t="str">
        <f>+IF(GENERAL!AF105=GENERAL!$AI$2,GENERAL!$AI$2,CONCATENATE(OBSERVACIONES!AE104,"
ESTADO DE POSTVENTAS:  ",GENERAL!AF105))</f>
        <v>OK
ESTADO DE POSTVENTAS:  POSTVENTA CORREGIDA</v>
      </c>
      <c r="AF104" s="51" t="str">
        <f>+IF(GENERAL!AG105=GENERAL!$AI$2,GENERAL!$AI$2,CONCATENATE(OBSERVACIONES!AF104,"
ESTADO DE POSTVENTAS:  ",GENERAL!AG105))</f>
        <v>OK
ESTADO DE POSTVENTAS:  POSTVENTA CORREGIDA</v>
      </c>
      <c r="AG104" s="51" t="e">
        <f>+IF(GENERAL!AH105=GENERAL!$AI$2,GENERAL!$AI$2,CONCATENATE(OBSERVACIONES!#REF!,"
ESTADO DE POSTVENTAS:  ",GENERAL!AH105))</f>
        <v>#REF!</v>
      </c>
      <c r="AH104" s="51" t="str">
        <f>+IF(GENERAL!AI105=GENERAL!$AI$2,GENERAL!$AI$2,CONCATENATE(OBSERVACIONES!AH104,"
ESTADO DE POSTVENTAS:  ",GENERAL!AI105))</f>
        <v>OK
ESTADO DE POSTVENTAS:  POSTVENTA CORREGIDA</v>
      </c>
      <c r="AI104" s="51" t="str">
        <f>+IF(GENERAL!AG105=GENERAL!$AI$2,GENERAL!$AI$2,CONCATENATE(OBSERVACIONES!AF104,"
ESTADO DE POSTVENTAS:  ",GENERAL!AG105))</f>
        <v>OK
ESTADO DE POSTVENTAS:  POSTVENTA CORREGIDA</v>
      </c>
      <c r="AJ104" s="51" t="str">
        <f>+IF(GENERAL!AI105=GENERAL!$AI$2,GENERAL!$AI$2,CONCATENATE(OBSERVACIONES!AH104,"
ESTADO DE POSTVENTAS:  ",GENERAL!AI105))</f>
        <v>OK
ESTADO DE POSTVENTAS:  POSTVENTA CORREGIDA</v>
      </c>
      <c r="AK104" s="51" t="str">
        <f>+IF(GENERAL!AJ105=GENERAL!$AI$2,GENERAL!$AI$2,CONCATENATE(OBSERVACIONES!AI104,"
ESTADO DE POSTVENTAS:  ",GENERAL!AJ105))</f>
        <v>OK
ESTADO DE POSTVENTAS:  POSTVENTA CORREGIDA</v>
      </c>
      <c r="AL104" s="51" t="str">
        <f>+IF(GENERAL!AK105=GENERAL!$AI$2,GENERAL!$AI$2,CONCATENATE(OBSERVACIONES!AJ104,"
ESTADO DE POSTVENTAS:  ",GENERAL!AK105))</f>
        <v>OK
ESTADO DE POSTVENTAS:  POSTVENTA CORREGIDA</v>
      </c>
      <c r="AM104" s="51" t="str">
        <f>+IF(GENERAL!AN105=GENERAL!$AI$2,GENERAL!$AI$2,CONCATENATE(OBSERVACIONES!AM104,"
ESTADO DE POSTVENTAS:  ",GENERAL!AN105))</f>
        <v>OK
ESTADO DE POSTVENTAS:  POSTVENTA CORREGIDA</v>
      </c>
      <c r="AN104" s="37">
        <v>2</v>
      </c>
      <c r="AO104" s="37">
        <v>9</v>
      </c>
      <c r="AP104" s="37">
        <v>3</v>
      </c>
      <c r="AQ104" s="37">
        <v>0</v>
      </c>
      <c r="AR104" s="43">
        <v>14</v>
      </c>
      <c r="AS104" s="40">
        <v>12</v>
      </c>
      <c r="AT104" s="37">
        <f>COUNTIFS($D$5:$AM$5,"&lt;&gt;"&amp;CODICIONALES!$A$1,$D$5:$AM$5,"&lt;&gt;"&amp;CODICIONALES!$A$2,$D$5:$AM$5,"&lt;&gt;"&amp;CODICIONALES!$B$2,$D$5:$AM$5,"&lt;&gt;"&amp;CODICIONALES!$C$2)</f>
        <v>6</v>
      </c>
      <c r="AU104" s="43">
        <f>COUNTIFS(D104:AM104,CODICIONALES!$A$2)</f>
        <v>31</v>
      </c>
      <c r="AV104" s="40">
        <f t="shared" si="1"/>
        <v>-1</v>
      </c>
    </row>
    <row r="105" spans="1:48" ht="51" customHeight="1" x14ac:dyDescent="0.25">
      <c r="A105" s="110"/>
      <c r="B105" s="2">
        <v>101</v>
      </c>
      <c r="C105" s="21" t="s">
        <v>59</v>
      </c>
      <c r="D105" s="51" t="str">
        <f>+IF(GENERAL!E106=GENERAL!$AI$2,GENERAL!$AI$2,CONCATENATE(OBSERVACIONES!D105,"
ESTADO DE POSTVENTAS:  ",GENERAL!E106))</f>
        <v>NO ENTREGADO
ESTADO DE POSTVENTAS:  TIENE POSTVENTA</v>
      </c>
      <c r="E105" s="51" t="str">
        <f>+IF(GENERAL!F106=GENERAL!$AI$2,GENERAL!$AI$2,CONCATENATE(OBSERVACIONES!E105,"
ESTADO DE POSTVENTAS:  ",GENERAL!F106))</f>
        <v>OK
ESTADO DE POSTVENTAS:  POSTVENTA CORREGIDA</v>
      </c>
      <c r="F105" s="51" t="str">
        <f>+IF(GENERAL!G106=GENERAL!$AI$2,GENERAL!$AI$2,CONCATENATE(OBSERVACIONES!F105,"
ESTADO DE POSTVENTAS:  ",GENERAL!G106))</f>
        <v>OK
ESTADO DE POSTVENTAS:  POSTVENTA CORREGIDA</v>
      </c>
      <c r="G105" s="51" t="str">
        <f>+IF(GENERAL!H106=GENERAL!$AI$2,GENERAL!$AI$2,CONCATENATE(OBSERVACIONES!G105,"
ESTADO DE POSTVENTAS:  ",GENERAL!H106))</f>
        <v>NO ENTREGADO
ESTADO DE POSTVENTAS:  TIENE POSTVENTA</v>
      </c>
      <c r="H105" s="51" t="str">
        <f>+IF(GENERAL!I106=GENERAL!$AI$2,GENERAL!$AI$2,CONCATENATE(OBSERVACIONES!H105,"
ESTADO DE POSTVENTAS:  ",GENERAL!I106))</f>
        <v>OK
ESTADO DE POSTVENTAS:  POSTVENTA CORREGIDA</v>
      </c>
      <c r="I105" s="51" t="str">
        <f>+IF(GENERAL!J106=GENERAL!$AI$2,GENERAL!$AI$2,CONCATENATE(OBSERVACIONES!I105,"
ESTADO DE POSTVENTAS:  ",GENERAL!J106))</f>
        <v>OK
ESTADO DE POSTVENTAS:  POSTVENTA CORREGIDA</v>
      </c>
      <c r="J105" s="51" t="str">
        <f>+IF(GENERAL!K106=GENERAL!$AI$2,GENERAL!$AI$2,CONCATENATE(OBSERVACIONES!J105,"
ESTADO DE POSTVENTAS:  ",GENERAL!K106))</f>
        <v>OK
ESTADO DE POSTVENTAS:  POSTVENTA CORREGIDA</v>
      </c>
      <c r="K105" s="51" t="str">
        <f>+IF(GENERAL!L106=GENERAL!$AI$2,GENERAL!$AI$2,CONCATENATE(OBSERVACIONES!K105,"
ESTADO DE POSTVENTAS:  ",GENERAL!L106))</f>
        <v>OK
ESTADO DE POSTVENTAS:  POSTVENTA CORREGIDA</v>
      </c>
      <c r="L105" s="51" t="str">
        <f>+IF(GENERAL!M106=GENERAL!$AI$2,GENERAL!$AI$2,CONCATENATE(OBSERVACIONES!L105,"
ESTADO DE POSTVENTAS:  ",GENERAL!M106))</f>
        <v>OK
ESTADO DE POSTVENTAS:  POSTVENTA CORREGIDA</v>
      </c>
      <c r="M105" s="70" t="str">
        <f>+IF(GENERAL!N106=GENERAL!$AI$2,GENERAL!$AI$2,CONCATENATE(OBSERVACIONES!M105,"
ESTADO DE POSTVENTAS:  ",GENERAL!N106))</f>
        <v>OK
ESTADO DE POSTVENTAS:  POSTVENTA CORREGIDA</v>
      </c>
      <c r="N105" s="51" t="str">
        <f>+IF(GENERAL!O106=GENERAL!$AI$2,GENERAL!$AI$2,CONCATENATE(OBSERVACIONES!N105,"
ESTADO DE POSTVENTAS:  ",GENERAL!O106))</f>
        <v>OK
ESTADO DE POSTVENTAS:  POSTVENTA CORREGIDA</v>
      </c>
      <c r="O105" s="51" t="str">
        <f>+IF(GENERAL!P106=GENERAL!$AI$2,GENERAL!$AI$2,CONCATENATE(OBSERVACIONES!O105,"
ESTADO DE POSTVENTAS:  ",GENERAL!P106))</f>
        <v>OK
ESTADO DE POSTVENTAS:  POSTVENTA CORREGIDA</v>
      </c>
      <c r="P105" s="70" t="str">
        <f>+IF(GENERAL!Q106=GENERAL!$AI$2,GENERAL!$AI$2,CONCATENATE(OBSERVACIONES!P105,"
ESTADO DE POSTVENTAS:  ",GENERAL!Q106))</f>
        <v>OK
ESTADO DE POSTVENTAS:  POSTVENTA CORREGIDA</v>
      </c>
      <c r="Q105" s="70" t="str">
        <f>+IF(GENERAL!R106=GENERAL!$AI$2,GENERAL!$AI$2,CONCATENATE(OBSERVACIONES!Q105,"
ESTADO DE POSTVENTAS:  ",GENERAL!R106))</f>
        <v>OK
ESTADO DE POSTVENTAS:  POSTVENTA CORREGIDA</v>
      </c>
      <c r="R105" s="51" t="str">
        <f>+IF(GENERAL!S106=GENERAL!$AI$2,GENERAL!$AI$2,CONCATENATE(OBSERVACIONES!R105,"
ESTADO DE POSTVENTAS:  ",GENERAL!S106))</f>
        <v>OK
ESTADO DE POSTVENTAS:  POSTVENTA CORREGIDA</v>
      </c>
      <c r="S105" s="51" t="str">
        <f>+IF(GENERAL!T106=GENERAL!$AI$2,GENERAL!$AI$2,CONCATENATE(OBSERVACIONES!S105,"
ESTADO DE POSTVENTAS:  ",GENERAL!T106))</f>
        <v>DETALLE DESNIVEL
ESTADO DE POSTVENTAS:  TIENE POSTVENTA</v>
      </c>
      <c r="T105" s="51" t="str">
        <f>+IF(GENERAL!U106=GENERAL!$AI$2,GENERAL!$AI$2,CONCATENATE(OBSERVACIONES!T105,"
ESTADO DE POSTVENTAS:  ",GENERAL!U106))</f>
        <v>OK
ESTADO DE POSTVENTAS:  POSTVENTA CORREGIDA</v>
      </c>
      <c r="U105" s="51" t="str">
        <f>+IF(GENERAL!V106=GENERAL!$AI$2,GENERAL!$AI$2,CONCATENATE(OBSERVACIONES!U105,"
ESTADO DE POSTVENTAS:  ",GENERAL!V106))</f>
        <v>OK
ESTADO DE POSTVENTAS:  POSTVENTA CORREGIDA</v>
      </c>
      <c r="V105" s="51" t="str">
        <f>+IF(GENERAL!W106=GENERAL!$AI$2,GENERAL!$AI$2,CONCATENATE(OBSERVACIONES!V105,"
ESTADO DE POSTVENTAS:  ",GENERAL!W106))</f>
        <v>OK
ESTADO DE POSTVENTAS:  POSTVENTA CORREGIDA</v>
      </c>
      <c r="W105" s="51" t="str">
        <f>+IF(GENERAL!V106=GENERAL!$AI$2,GENERAL!$AI$2,CONCATENATE(OBSERVACIONES!W105,"
ESTADO DE POSTVENTAS:  ",GENERAL!V106))</f>
        <v>OK
ESTADO DE POSTVENTAS:  POSTVENTA CORREGIDA</v>
      </c>
      <c r="X105" s="51" t="str">
        <f>+IF(GENERAL!W106=GENERAL!$AI$2,GENERAL!$AI$2,CONCATENATE(OBSERVACIONES!X105,"
ESTADO DE POSTVENTAS:  ",GENERAL!W106))</f>
        <v>OK
ESTADO DE POSTVENTAS:  POSTVENTA CORREGIDA</v>
      </c>
      <c r="Y105" s="51" t="str">
        <f>+IF(GENERAL!Z106=GENERAL!$AI$2,GENERAL!$AI$2,CONCATENATE(OBSERVACIONES!Y105,"
ESTADO DE POSTVENTAS:  ",GENERAL!Z106))</f>
        <v>OK
ESTADO DE POSTVENTAS:  POSTVENTA CORREGIDA</v>
      </c>
      <c r="Z105" s="51" t="str">
        <f>+IF(GENERAL!AA106=GENERAL!$AI$2,GENERAL!$AI$2,CONCATENATE(OBSERVACIONES!Z105,"
ESTADO DE POSTVENTAS:  ",GENERAL!AA106))</f>
        <v>OK
ESTADO DE POSTVENTAS:  POSTVENTA CORREGIDA</v>
      </c>
      <c r="AA105" s="51" t="str">
        <f>+IF(GENERAL!AB106=GENERAL!$AI$2,GENERAL!$AI$2,CONCATENATE(OBSERVACIONES!AA105,"
ESTADO DE POSTVENTAS:  ",GENERAL!AB106))</f>
        <v>OK
ESTADO DE POSTVENTAS:  POSTVENTA CORREGIDA</v>
      </c>
      <c r="AB105" s="51" t="str">
        <f>+IF(GENERAL!AC106=GENERAL!$AI$2,GENERAL!$AI$2,CONCATENATE(OBSERVACIONES!AB105,"
ESTADO DE POSTVENTAS:  ",GENERAL!AC106))</f>
        <v>OK
ESTADO DE POSTVENTAS:  POSTVENTA CORREGIDA</v>
      </c>
      <c r="AC105" s="51" t="str">
        <f>+IF(GENERAL!AD106=GENERAL!$AI$2,GENERAL!$AI$2,CONCATENATE(OBSERVACIONES!AC105,"
ESTADO DE POSTVENTAS:  ",GENERAL!AD106))</f>
        <v>OK
ESTADO DE POSTVENTAS:  POSTVENTA CORREGIDA</v>
      </c>
      <c r="AD105" s="51" t="str">
        <f>+IF(GENERAL!AE106=GENERAL!$AI$2,GENERAL!$AI$2,CONCATENATE(OBSERVACIONES!AD105,"
ESTADO DE POSTVENTAS:  ",GENERAL!AE106))</f>
        <v>OK
ESTADO DE POSTVENTAS:  POSTVENTA CORREGIDA</v>
      </c>
      <c r="AE105" s="51" t="str">
        <f>+IF(GENERAL!AF106=GENERAL!$AI$2,GENERAL!$AI$2,CONCATENATE(OBSERVACIONES!AE105,"
ESTADO DE POSTVENTAS:  ",GENERAL!AF106))</f>
        <v>OK
ESTADO DE POSTVENTAS:  POSTVENTA CORREGIDA</v>
      </c>
      <c r="AF105" s="51" t="str">
        <f>+IF(GENERAL!AG106=GENERAL!$AI$2,GENERAL!$AI$2,CONCATENATE(OBSERVACIONES!AF105,"
ESTADO DE POSTVENTAS:  ",GENERAL!AG106))</f>
        <v>OK
ESTADO DE POSTVENTAS:  POSTVENTA CORREGIDA</v>
      </c>
      <c r="AG105" s="51" t="str">
        <f>+IF(GENERAL!AH106=GENERAL!$AI$2,GENERAL!$AI$2,CONCATENATE(OBSERVACIONES!AG105,"
ESTADO DE POSTVENTAS:  ",GENERAL!AH106))</f>
        <v>OK
ESTADO DE POSTVENTAS:  POSTVENTA CORREGIDA</v>
      </c>
      <c r="AH105" s="51" t="str">
        <f>+IF(GENERAL!AI106=GENERAL!$AI$2,GENERAL!$AI$2,CONCATENATE(OBSERVACIONES!AH105,"
ESTADO DE POSTVENTAS:  ",GENERAL!AI106))</f>
        <v>OK
ESTADO DE POSTVENTAS:  POSTVENTA CORREGIDA</v>
      </c>
      <c r="AI105" s="51" t="str">
        <f>+IF(GENERAL!AG106=GENERAL!$AI$2,GENERAL!$AI$2,CONCATENATE(OBSERVACIONES!AF105,"
ESTADO DE POSTVENTAS:  ",GENERAL!AG106))</f>
        <v>OK
ESTADO DE POSTVENTAS:  POSTVENTA CORREGIDA</v>
      </c>
      <c r="AJ105" s="51" t="str">
        <f>+IF(GENERAL!AI106=GENERAL!$AI$2,GENERAL!$AI$2,CONCATENATE(OBSERVACIONES!AH105,"
ESTADO DE POSTVENTAS:  ",GENERAL!AI106))</f>
        <v>OK
ESTADO DE POSTVENTAS:  POSTVENTA CORREGIDA</v>
      </c>
      <c r="AK105" s="51" t="str">
        <f>+IF(GENERAL!AJ106=GENERAL!$AI$2,GENERAL!$AI$2,CONCATENATE(OBSERVACIONES!AI105,"
ESTADO DE POSTVENTAS:  ",GENERAL!AJ106))</f>
        <v>OK
ESTADO DE POSTVENTAS:  POSTVENTA CORREGIDA</v>
      </c>
      <c r="AL105" s="51" t="str">
        <f>+IF(GENERAL!AK106=GENERAL!$AI$2,GENERAL!$AI$2,CONCATENATE(OBSERVACIONES!AJ105,"
ESTADO DE POSTVENTAS:  ",GENERAL!AK106))</f>
        <v>OK
ESTADO DE POSTVENTAS:  POSTVENTA CORREGIDA</v>
      </c>
      <c r="AM105" s="51" t="str">
        <f>+IF(GENERAL!AN106=GENERAL!$AI$2,GENERAL!$AI$2,CONCATENATE(OBSERVACIONES!AM105,"
ESTADO DE POSTVENTAS:  ",GENERAL!AN106))</f>
        <v>OK
ESTADO DE POSTVENTAS:  POSTVENTA CORREGIDA</v>
      </c>
      <c r="AN105" s="37">
        <v>0</v>
      </c>
      <c r="AO105" s="37">
        <v>11</v>
      </c>
      <c r="AP105" s="37">
        <v>3</v>
      </c>
      <c r="AQ105" s="37">
        <v>0</v>
      </c>
      <c r="AR105" s="43">
        <v>14</v>
      </c>
      <c r="AS105" s="40">
        <v>12</v>
      </c>
      <c r="AT105" s="37">
        <f>COUNTIFS($D$5:$AM$5,"&lt;&gt;"&amp;CODICIONALES!$A$1,$D$5:$AM$5,"&lt;&gt;"&amp;CODICIONALES!$A$2,$D$5:$AM$5,"&lt;&gt;"&amp;CODICIONALES!$B$2,$D$5:$AM$5,"&lt;&gt;"&amp;CODICIONALES!$C$2)</f>
        <v>6</v>
      </c>
      <c r="AU105" s="43">
        <f>COUNTIFS(D105:AM105,CODICIONALES!$A$2)</f>
        <v>33</v>
      </c>
      <c r="AV105" s="40">
        <f t="shared" si="1"/>
        <v>-3</v>
      </c>
    </row>
    <row r="106" spans="1:48" ht="51" customHeight="1" x14ac:dyDescent="0.25">
      <c r="A106" s="110"/>
      <c r="B106" s="2">
        <v>102</v>
      </c>
      <c r="C106" s="21" t="s">
        <v>61</v>
      </c>
      <c r="D106" s="51" t="str">
        <f>+IF(GENERAL!E107=GENERAL!$AI$2,GENERAL!$AI$2,CONCATENATE(OBSERVACIONES!D106,"
ESTADO DE POSTVENTAS:  ",GENERAL!E107))</f>
        <v>NO ENTREGADO
ESTADO DE POSTVENTAS:  TIENE POSTVENTA</v>
      </c>
      <c r="E106" s="51" t="str">
        <f>+IF(GENERAL!F107=GENERAL!$AI$2,GENERAL!$AI$2,CONCATENATE(OBSERVACIONES!E106,"
ESTADO DE POSTVENTAS:  ",GENERAL!F107))</f>
        <v>OK
ESTADO DE POSTVENTAS:  POSTVENTA CORREGIDA</v>
      </c>
      <c r="F106" s="51" t="str">
        <f>+IF(GENERAL!G107=GENERAL!$AI$2,GENERAL!$AI$2,CONCATENATE(OBSERVACIONES!F106,"
ESTADO DE POSTVENTAS:  ",GENERAL!G107))</f>
        <v>OK
ESTADO DE POSTVENTAS:  POSTVENTA CORREGIDA</v>
      </c>
      <c r="G106" s="51" t="str">
        <f>+IF(GENERAL!H107=GENERAL!$AI$2,GENERAL!$AI$2,CONCATENATE(OBSERVACIONES!G106,"
ESTADO DE POSTVENTAS:  ",GENERAL!H107))</f>
        <v>NO ENTREGADO
ESTADO DE POSTVENTAS:  TIENE POSTVENTA</v>
      </c>
      <c r="H106" s="51" t="str">
        <f>+IF(GENERAL!I107=GENERAL!$AI$2,GENERAL!$AI$2,CONCATENATE(OBSERVACIONES!H106,"
ESTADO DE POSTVENTAS:  ",GENERAL!I107))</f>
        <v>OK
ESTADO DE POSTVENTAS:  POSTVENTA CORREGIDA</v>
      </c>
      <c r="I106" s="51" t="str">
        <f>+IF(GENERAL!J107=GENERAL!$AI$2,GENERAL!$AI$2,CONCATENATE(OBSERVACIONES!I106,"
ESTADO DE POSTVENTAS:  ",GENERAL!J107))</f>
        <v>OK
ESTADO DE POSTVENTAS:  POSTVENTA CORREGIDA</v>
      </c>
      <c r="J106" s="51" t="str">
        <f>+IF(GENERAL!K107=GENERAL!$AI$2,GENERAL!$AI$2,CONCATENATE(OBSERVACIONES!J106,"
ESTADO DE POSTVENTAS:  ",GENERAL!K107))</f>
        <v>OK
ESTADO DE POSTVENTAS:  POSTVENTA CORREGIDA</v>
      </c>
      <c r="K106" s="51" t="str">
        <f>+IF(GENERAL!L107=GENERAL!$AI$2,GENERAL!$AI$2,CONCATENATE(OBSERVACIONES!K106,"
ESTADO DE POSTVENTAS:  ",GENERAL!L107))</f>
        <v>OK
ESTADO DE POSTVENTAS:  POSTVENTA CORREGIDA</v>
      </c>
      <c r="L106" s="51" t="str">
        <f>+IF(GENERAL!M107=GENERAL!$AI$2,GENERAL!$AI$2,CONCATENATE(OBSERVACIONES!L106,"
ESTADO DE POSTVENTAS:  ",GENERAL!M107))</f>
        <v>OK
ESTADO DE POSTVENTAS:  POSTVENTA CORREGIDA</v>
      </c>
      <c r="M106" s="70" t="str">
        <f>+IF(GENERAL!N107=GENERAL!$AI$2,GENERAL!$AI$2,CONCATENATE(OBSERVACIONES!M106,"
ESTADO DE POSTVENTAS:  ",GENERAL!N107))</f>
        <v>OK
ESTADO DE POSTVENTAS:  POSTVENTA CORREGIDA</v>
      </c>
      <c r="N106" s="51" t="str">
        <f>+IF(GENERAL!O107=GENERAL!$AI$2,GENERAL!$AI$2,CONCATENATE(OBSERVACIONES!N106,"
ESTADO DE POSTVENTAS:  ",GENERAL!O107))</f>
        <v>OK
ESTADO DE POSTVENTAS:  POSTVENTA CORREGIDA</v>
      </c>
      <c r="O106" s="51" t="str">
        <f>+IF(GENERAL!P107=GENERAL!$AI$2,GENERAL!$AI$2,CONCATENATE(OBSERVACIONES!O106,"
ESTADO DE POSTVENTAS:  ",GENERAL!P107))</f>
        <v>OK
ESTADO DE POSTVENTAS:  POSTVENTA CORREGIDA</v>
      </c>
      <c r="P106" s="70" t="str">
        <f>+IF(GENERAL!Q107=GENERAL!$AI$2,GENERAL!$AI$2,CONCATENATE(OBSERVACIONES!P106,"
ESTADO DE POSTVENTAS:  ",GENERAL!Q107))</f>
        <v>OK
ESTADO DE POSTVENTAS:  POSTVENTA CORREGIDA</v>
      </c>
      <c r="Q106" s="70" t="str">
        <f>+IF(GENERAL!R107=GENERAL!$AI$2,GENERAL!$AI$2,CONCATENATE(OBSERVACIONES!Q106,"
ESTADO DE POSTVENTAS:  ",GENERAL!R107))</f>
        <v>OK
ESTADO DE POSTVENTAS:  POSTVENTA CORREGIDA</v>
      </c>
      <c r="R106" s="51" t="str">
        <f>+IF(GENERAL!S107=GENERAL!$AI$2,GENERAL!$AI$2,CONCATENATE(OBSERVACIONES!R106,"
ESTADO DE POSTVENTAS:  ",GENERAL!S107))</f>
        <v>OK
ESTADO DE POSTVENTAS:  POSTVENTA CORREGIDA</v>
      </c>
      <c r="S106" s="51" t="str">
        <f>+IF(GENERAL!T107=GENERAL!$AI$2,GENERAL!$AI$2,CONCATENATE(OBSERVACIONES!S106,"
ESTADO DE POSTVENTAS:  ",GENERAL!T107))</f>
        <v>OK
ESTADO DE POSTVENTAS:  POSTVENTA CORREGIDA</v>
      </c>
      <c r="T106" s="70" t="str">
        <f>+IF(GENERAL!U107=GENERAL!$AI$2,GENERAL!$AI$2,CONCATENATE(OBSERVACIONES!T106,"
ESTADO DE POSTVENTAS:  ",GENERAL!U107))</f>
        <v>OK
ESTADO DE POSTVENTAS:  POSTVENTA CORREGIDA</v>
      </c>
      <c r="U106" s="51" t="str">
        <f>+IF(GENERAL!V107=GENERAL!$AI$2,GENERAL!$AI$2,CONCATENATE(OBSERVACIONES!U106,"
ESTADO DE POSTVENTAS:  ",GENERAL!V107))</f>
        <v>OK
ESTADO DE POSTVENTAS:  POSTVENTA CORREGIDA</v>
      </c>
      <c r="V106" s="51" t="str">
        <f>+IF(GENERAL!W107=GENERAL!$AI$2,GENERAL!$AI$2,CONCATENATE(OBSERVACIONES!V106,"
ESTADO DE POSTVENTAS:  ",GENERAL!W107))</f>
        <v>OK
ESTADO DE POSTVENTAS:  POSTVENTA CORREGIDA</v>
      </c>
      <c r="W106" s="51" t="str">
        <f>+IF(GENERAL!V107=GENERAL!$AI$2,GENERAL!$AI$2,CONCATENATE(OBSERVACIONES!W106,"
ESTADO DE POSTVENTAS:  ",GENERAL!V107))</f>
        <v>OK
ESTADO DE POSTVENTAS:  POSTVENTA CORREGIDA</v>
      </c>
      <c r="X106" s="51" t="str">
        <f>+IF(GENERAL!W107=GENERAL!$AI$2,GENERAL!$AI$2,CONCATENATE(OBSERVACIONES!X106,"
ESTADO DE POSTVENTAS:  ",GENERAL!W107))</f>
        <v>OK
ESTADO DE POSTVENTAS:  POSTVENTA CORREGIDA</v>
      </c>
      <c r="Y106" s="51" t="str">
        <f>+IF(GENERAL!Z107=GENERAL!$AI$2,GENERAL!$AI$2,CONCATENATE(OBSERVACIONES!Y106,"
ESTADO DE POSTVENTAS:  ",GENERAL!Z107))</f>
        <v>OK
ESTADO DE POSTVENTAS:  POSTVENTA CORREGIDA</v>
      </c>
      <c r="Z106" s="51" t="str">
        <f>+IF(GENERAL!AA107=GENERAL!$AI$2,GENERAL!$AI$2,CONCATENATE(OBSERVACIONES!Z106,"
ESTADO DE POSTVENTAS:  ",GENERAL!AA107))</f>
        <v>OK
ESTADO DE POSTVENTAS:  POSTVENTA CORREGIDA</v>
      </c>
      <c r="AA106" s="51" t="str">
        <f>+IF(GENERAL!AB107=GENERAL!$AI$2,GENERAL!$AI$2,CONCATENATE(OBSERVACIONES!AA106,"
ESTADO DE POSTVENTAS:  ",GENERAL!AB107))</f>
        <v>OK
ESTADO DE POSTVENTAS:  POSTVENTA CORREGIDA</v>
      </c>
      <c r="AB106" s="51" t="str">
        <f>+IF(GENERAL!AC107=GENERAL!$AI$2,GENERAL!$AI$2,CONCATENATE(OBSERVACIONES!AB106,"
ESTADO DE POSTVENTAS:  ",GENERAL!AC107))</f>
        <v>OK
ESTADO DE POSTVENTAS:  POSTVENTA CORREGIDA</v>
      </c>
      <c r="AC106" s="51" t="str">
        <f>+IF(GENERAL!AD107=GENERAL!$AI$2,GENERAL!$AI$2,CONCATENATE(OBSERVACIONES!AC106,"
ESTADO DE POSTVENTAS:  ",GENERAL!AD107))</f>
        <v>OK
ESTADO DE POSTVENTAS:  POSTVENTA CORREGIDA</v>
      </c>
      <c r="AD106" s="51" t="str">
        <f>+IF(GENERAL!AE107=GENERAL!$AI$2,GENERAL!$AI$2,CONCATENATE(OBSERVACIONES!AD106,"
ESTADO DE POSTVENTAS:  ",GENERAL!AE107))</f>
        <v>OK
ESTADO DE POSTVENTAS:  POSTVENTA CORREGIDA</v>
      </c>
      <c r="AE106" s="51" t="str">
        <f>+IF(GENERAL!AF107=GENERAL!$AI$2,GENERAL!$AI$2,CONCATENATE(OBSERVACIONES!AE106,"
ESTADO DE POSTVENTAS:  ",GENERAL!AF107))</f>
        <v>OK
ESTADO DE POSTVENTAS:  POSTVENTA CORREGIDA</v>
      </c>
      <c r="AF106" s="51" t="str">
        <f>+IF(GENERAL!AG107=GENERAL!$AI$2,GENERAL!$AI$2,CONCATENATE(OBSERVACIONES!AF106,"
ESTADO DE POSTVENTAS:  ",GENERAL!AG107))</f>
        <v>OK
ESTADO DE POSTVENTAS:  POSTVENTA CORREGIDA</v>
      </c>
      <c r="AG106" s="51" t="str">
        <f>+IF(GENERAL!AH107=GENERAL!$AI$2,GENERAL!$AI$2,CONCATENATE(OBSERVACIONES!AG106,"
ESTADO DE POSTVENTAS:  ",GENERAL!AH107))</f>
        <v>OK
ESTADO DE POSTVENTAS:  POSTVENTA CORREGIDA</v>
      </c>
      <c r="AH106" s="51" t="str">
        <f>+IF(GENERAL!AI107=GENERAL!$AI$2,GENERAL!$AI$2,CONCATENATE(OBSERVACIONES!AH106,"
ESTADO DE POSTVENTAS:  ",GENERAL!AI107))</f>
        <v>OK
ESTADO DE POSTVENTAS:  POSTVENTA CORREGIDA</v>
      </c>
      <c r="AI106" s="51" t="str">
        <f>+IF(GENERAL!AG107=GENERAL!$AI$2,GENERAL!$AI$2,CONCATENATE(OBSERVACIONES!AF106,"
ESTADO DE POSTVENTAS:  ",GENERAL!AG107))</f>
        <v>OK
ESTADO DE POSTVENTAS:  POSTVENTA CORREGIDA</v>
      </c>
      <c r="AJ106" s="51" t="str">
        <f>+IF(GENERAL!AI107=GENERAL!$AI$2,GENERAL!$AI$2,CONCATENATE(OBSERVACIONES!AH106,"
ESTADO DE POSTVENTAS:  ",GENERAL!AI107))</f>
        <v>OK
ESTADO DE POSTVENTAS:  POSTVENTA CORREGIDA</v>
      </c>
      <c r="AK106" s="51" t="str">
        <f>+IF(GENERAL!AJ107=GENERAL!$AI$2,GENERAL!$AI$2,CONCATENATE(OBSERVACIONES!AI106,"
ESTADO DE POSTVENTAS:  ",GENERAL!AJ107))</f>
        <v>OK
ESTADO DE POSTVENTAS:  POSTVENTA CORREGIDA</v>
      </c>
      <c r="AL106" s="51" t="str">
        <f>+IF(GENERAL!AK107=GENERAL!$AI$2,GENERAL!$AI$2,CONCATENATE(OBSERVACIONES!AJ106,"
ESTADO DE POSTVENTAS:  ",GENERAL!AK107))</f>
        <v>OK
ESTADO DE POSTVENTAS:  POSTVENTA CORREGIDA</v>
      </c>
      <c r="AM106" s="51" t="str">
        <f>+IF(GENERAL!AN107=GENERAL!$AI$2,GENERAL!$AI$2,CONCATENATE(OBSERVACIONES!AM106,"
ESTADO DE POSTVENTAS:  ",GENERAL!AN107))</f>
        <v>OK
ESTADO DE POSTVENTAS:  POSTVENTA CORREGIDA</v>
      </c>
      <c r="AN106" s="37">
        <v>1</v>
      </c>
      <c r="AO106" s="37">
        <v>10</v>
      </c>
      <c r="AP106" s="37">
        <v>3</v>
      </c>
      <c r="AQ106" s="37">
        <v>1</v>
      </c>
      <c r="AR106" s="43">
        <v>13</v>
      </c>
      <c r="AS106" s="40">
        <v>12</v>
      </c>
      <c r="AT106" s="37">
        <f>COUNTIFS($D$5:$AM$5,"&lt;&gt;"&amp;CODICIONALES!$A$1,$D$5:$AM$5,"&lt;&gt;"&amp;CODICIONALES!$A$2,$D$5:$AM$5,"&lt;&gt;"&amp;CODICIONALES!$B$2,$D$5:$AM$5,"&lt;&gt;"&amp;CODICIONALES!$C$2)</f>
        <v>6</v>
      </c>
      <c r="AU106" s="43">
        <f>COUNTIFS(D106:AM106,CODICIONALES!$A$2)</f>
        <v>34</v>
      </c>
      <c r="AV106" s="40">
        <f t="shared" si="1"/>
        <v>-4</v>
      </c>
    </row>
    <row r="107" spans="1:48" ht="51" customHeight="1" x14ac:dyDescent="0.25">
      <c r="A107" s="110"/>
      <c r="B107" s="2">
        <v>103</v>
      </c>
      <c r="C107" s="21" t="s">
        <v>62</v>
      </c>
      <c r="D107" s="51" t="str">
        <f>+IF(GENERAL!E108=GENERAL!$AI$2,GENERAL!$AI$2,CONCATENATE(OBSERVACIONES!D107,"
ESTADO DE POSTVENTAS:  ",GENERAL!E108))</f>
        <v>NO ENTREGADO
ESTADO DE POSTVENTAS:  TIENE POSTVENTA</v>
      </c>
      <c r="E107" s="51" t="str">
        <f>+IF(GENERAL!F108=GENERAL!$AI$2,GENERAL!$AI$2,CONCATENATE(OBSERVACIONES!E107,"
ESTADO DE POSTVENTAS:  ",GENERAL!F108))</f>
        <v>OK
ESTADO DE POSTVENTAS:  POSTVENTA CORREGIDA</v>
      </c>
      <c r="F107" s="51" t="str">
        <f>+IF(GENERAL!G108=GENERAL!$AI$2,GENERAL!$AI$2,CONCATENATE(OBSERVACIONES!F107,"
ESTADO DE POSTVENTAS:  ",GENERAL!G108))</f>
        <v>OK
ESTADO DE POSTVENTAS:  POSTVENTA CORREGIDA</v>
      </c>
      <c r="G107" s="51" t="str">
        <f>+IF(GENERAL!H108=GENERAL!$AI$2,GENERAL!$AI$2,CONCATENATE(OBSERVACIONES!G107,"
ESTADO DE POSTVENTAS:  ",GENERAL!H108))</f>
        <v>NO ENTREGADO
ESTADO DE POSTVENTAS:  TIENE POSTVENTA</v>
      </c>
      <c r="H107" s="51" t="str">
        <f>+IF(GENERAL!I108=GENERAL!$AI$2,GENERAL!$AI$2,CONCATENATE(OBSERVACIONES!H107,"
ESTADO DE POSTVENTAS:  ",GENERAL!I108))</f>
        <v>OK
ESTADO DE POSTVENTAS:  POSTVENTA CORREGIDA</v>
      </c>
      <c r="I107" s="51" t="str">
        <f>+IF(GENERAL!J108=GENERAL!$AI$2,GENERAL!$AI$2,CONCATENATE(OBSERVACIONES!I107,"
ESTADO DE POSTVENTAS:  ",GENERAL!J108))</f>
        <v>OK
ESTADO DE POSTVENTAS:  POSTVENTA CORREGIDA</v>
      </c>
      <c r="J107" s="51" t="str">
        <f>+IF(GENERAL!K108=GENERAL!$AI$2,GENERAL!$AI$2,CONCATENATE(OBSERVACIONES!J107,"
ESTADO DE POSTVENTAS:  ",GENERAL!K108))</f>
        <v>OK
ESTADO DE POSTVENTAS:  POSTVENTA CORREGIDA</v>
      </c>
      <c r="K107" s="51" t="str">
        <f>+IF(GENERAL!L108=GENERAL!$AI$2,GENERAL!$AI$2,CONCATENATE(OBSERVACIONES!K107,"
ESTADO DE POSTVENTAS:  ",GENERAL!L108))</f>
        <v>OK
ESTADO DE POSTVENTAS:  POSTVENTA CORREGIDA</v>
      </c>
      <c r="L107" s="51" t="str">
        <f>+IF(GENERAL!M108=GENERAL!$AI$2,GENERAL!$AI$2,CONCATENATE(OBSERVACIONES!L107,"
ESTADO DE POSTVENTAS:  ",GENERAL!M108))</f>
        <v>OK
ESTADO DE POSTVENTAS:  POSTVENTA CORREGIDA</v>
      </c>
      <c r="M107" s="70" t="str">
        <f>+IF(GENERAL!N108=GENERAL!$AI$2,GENERAL!$AI$2,CONCATENATE(OBSERVACIONES!M107,"
ESTADO DE POSTVENTAS:  ",GENERAL!N108))</f>
        <v>OK
ESTADO DE POSTVENTAS:  POSTVENTA CORREGIDA</v>
      </c>
      <c r="N107" s="51" t="str">
        <f>+IF(GENERAL!O108=GENERAL!$AI$2,GENERAL!$AI$2,CONCATENATE(OBSERVACIONES!N107,"
ESTADO DE POSTVENTAS:  ",GENERAL!O108))</f>
        <v>OK
ESTADO DE POSTVENTAS:  POSTVENTA CORREGIDA</v>
      </c>
      <c r="O107" s="51" t="str">
        <f>+IF(GENERAL!P108=GENERAL!$AI$2,GENERAL!$AI$2,CONCATENATE(OBSERVACIONES!O107,"
ESTADO DE POSTVENTAS:  ",GENERAL!P108))</f>
        <v>OK
ESTADO DE POSTVENTAS:  POSTVENTA CORREGIDA</v>
      </c>
      <c r="P107" s="70" t="str">
        <f>+IF(GENERAL!Q108=GENERAL!$AI$2,GENERAL!$AI$2,CONCATENATE(OBSERVACIONES!P107,"
ESTADO DE POSTVENTAS:  ",GENERAL!Q108))</f>
        <v>OK
ESTADO DE POSTVENTAS:  POSTVENTA CORREGIDA</v>
      </c>
      <c r="Q107" s="70" t="str">
        <f>+IF(GENERAL!R108=GENERAL!$AI$2,GENERAL!$AI$2,CONCATENATE(OBSERVACIONES!Q107,"
ESTADO DE POSTVENTAS:  ",GENERAL!R108))</f>
        <v>OK
ESTADO DE POSTVENTAS:  POSTVENTA CORREGIDA</v>
      </c>
      <c r="R107" s="51" t="str">
        <f>+IF(GENERAL!S108=GENERAL!$AI$2,GENERAL!$AI$2,CONCATENATE(OBSERVACIONES!R107,"
ESTADO DE POSTVENTAS:  ",GENERAL!S108))</f>
        <v>OK
ESTADO DE POSTVENTAS:  POSTVENTA CORREGIDA</v>
      </c>
      <c r="S107" s="51" t="str">
        <f>+IF(GENERAL!T108=GENERAL!$AI$2,GENERAL!$AI$2,CONCATENATE(OBSERVACIONES!S107,"
ESTADO DE POSTVENTAS:  ",GENERAL!T108))</f>
        <v>OK
ESTADO DE POSTVENTAS:  POSTVENTA CORREGIDA</v>
      </c>
      <c r="T107" s="51" t="str">
        <f>+IF(GENERAL!U108=GENERAL!$AI$2,GENERAL!$AI$2,CONCATENATE(OBSERVACIONES!T107,"
ESTADO DE POSTVENTAS:  ",GENERAL!U108))</f>
        <v>OK
ESTADO DE POSTVENTAS:  POSTVENTA CORREGIDA</v>
      </c>
      <c r="U107" s="51" t="str">
        <f>+IF(GENERAL!V108=GENERAL!$AI$2,GENERAL!$AI$2,CONCATENATE(OBSERVACIONES!U107,"
ESTADO DE POSTVENTAS:  ",GENERAL!V108))</f>
        <v>OK
ESTADO DE POSTVENTAS:  POSTVENTA CORREGIDA</v>
      </c>
      <c r="V107" s="51" t="str">
        <f>+IF(GENERAL!W108=GENERAL!$AI$2,GENERAL!$AI$2,CONCATENATE(OBSERVACIONES!V107,"
ESTADO DE POSTVENTAS:  ",GENERAL!W108))</f>
        <v>OK
ESTADO DE POSTVENTAS:  POSTVENTA CORREGIDA</v>
      </c>
      <c r="W107" s="51" t="str">
        <f>+IF(GENERAL!V108=GENERAL!$AI$2,GENERAL!$AI$2,CONCATENATE(OBSERVACIONES!W107,"
ESTADO DE POSTVENTAS:  ",GENERAL!V108))</f>
        <v>OK
ESTADO DE POSTVENTAS:  POSTVENTA CORREGIDA</v>
      </c>
      <c r="X107" s="51" t="str">
        <f>+IF(GENERAL!W108=GENERAL!$AI$2,GENERAL!$AI$2,CONCATENATE(OBSERVACIONES!X107,"
ESTADO DE POSTVENTAS:  ",GENERAL!W108))</f>
        <v>OK
ESTADO DE POSTVENTAS:  POSTVENTA CORREGIDA</v>
      </c>
      <c r="Y107" s="51" t="str">
        <f>+IF(GENERAL!Z108=GENERAL!$AI$2,GENERAL!$AI$2,CONCATENATE(OBSERVACIONES!Y107,"
ESTADO DE POSTVENTAS:  ",GENERAL!Z108))</f>
        <v>OK
ESTADO DE POSTVENTAS:  POSTVENTA CORREGIDA</v>
      </c>
      <c r="Z107" s="51" t="str">
        <f>+IF(GENERAL!AA108=GENERAL!$AI$2,GENERAL!$AI$2,CONCATENATE(OBSERVACIONES!Z107,"
ESTADO DE POSTVENTAS:  ",GENERAL!AA108))</f>
        <v>OK
ESTADO DE POSTVENTAS:  POSTVENTA CORREGIDA</v>
      </c>
      <c r="AA107" s="51" t="str">
        <f>+IF(GENERAL!AB108=GENERAL!$AI$2,GENERAL!$AI$2,CONCATENATE(OBSERVACIONES!AA107,"
ESTADO DE POSTVENTAS:  ",GENERAL!AB108))</f>
        <v>OK
ESTADO DE POSTVENTAS:  POSTVENTA CORREGIDA</v>
      </c>
      <c r="AB107" s="70" t="str">
        <f>+IF(GENERAL!AC108=GENERAL!$AI$2,GENERAL!$AI$2,CONCATENATE(OBSERVACIONES!AB107,"
ESTADO DE POSTVENTAS:  ",GENERAL!AC108))</f>
        <v>OK
ESTADO DE POSTVENTAS:  POSTVENTA CORREGIDA</v>
      </c>
      <c r="AC107" s="51" t="str">
        <f>+IF(GENERAL!AD108=GENERAL!$AI$2,GENERAL!$AI$2,CONCATENATE(OBSERVACIONES!AC107,"
ESTADO DE POSTVENTAS:  ",GENERAL!AD108))</f>
        <v>OK
ESTADO DE POSTVENTAS:  POSTVENTA CORREGIDA</v>
      </c>
      <c r="AD107" s="51" t="str">
        <f>+IF(GENERAL!AE108=GENERAL!$AI$2,GENERAL!$AI$2,CONCATENATE(OBSERVACIONES!AD107,"
ESTADO DE POSTVENTAS:  ",GENERAL!AE108))</f>
        <v>OK
ESTADO DE POSTVENTAS:  POSTVENTA CORREGIDA</v>
      </c>
      <c r="AE107" s="51" t="str">
        <f>+IF(GENERAL!AF108=GENERAL!$AI$2,GENERAL!$AI$2,CONCATENATE(OBSERVACIONES!AE107,"
ESTADO DE POSTVENTAS:  ",GENERAL!AF108))</f>
        <v>OK
ESTADO DE POSTVENTAS:  POSTVENTA CORREGIDA</v>
      </c>
      <c r="AF107" s="51" t="str">
        <f>+IF(GENERAL!AG108=GENERAL!$AI$2,GENERAL!$AI$2,CONCATENATE(OBSERVACIONES!AF107,"
ESTADO DE POSTVENTAS:  ",GENERAL!AG108))</f>
        <v>OK
ESTADO DE POSTVENTAS:  POSTVENTA CORREGIDA</v>
      </c>
      <c r="AG107" s="51" t="str">
        <f>+IF(GENERAL!AH108=GENERAL!$AI$2,GENERAL!$AI$2,CONCATENATE(OBSERVACIONES!AG104,"
ESTADO DE POSTVENTAS:  ",GENERAL!AH108))</f>
        <v>DETALLE INCRUSTACIONES
ESTADO DE POSTVENTAS:  POSTVENTA CORREGIDA</v>
      </c>
      <c r="AH107" s="51" t="str">
        <f>+IF(GENERAL!AI108=GENERAL!$AI$2,GENERAL!$AI$2,CONCATENATE(OBSERVACIONES!AH107,"
ESTADO DE POSTVENTAS:  ",GENERAL!AI108))</f>
        <v>OK
ESTADO DE POSTVENTAS:  POSTVENTA CORREGIDA</v>
      </c>
      <c r="AI107" s="51" t="str">
        <f>+IF(GENERAL!AG108=GENERAL!$AI$2,GENERAL!$AI$2,CONCATENATE(OBSERVACIONES!AF107,"
ESTADO DE POSTVENTAS:  ",GENERAL!AG108))</f>
        <v>OK
ESTADO DE POSTVENTAS:  POSTVENTA CORREGIDA</v>
      </c>
      <c r="AJ107" s="51" t="str">
        <f>+IF(GENERAL!AI108=GENERAL!$AI$2,GENERAL!$AI$2,CONCATENATE(OBSERVACIONES!AH107,"
ESTADO DE POSTVENTAS:  ",GENERAL!AI108))</f>
        <v>OK
ESTADO DE POSTVENTAS:  POSTVENTA CORREGIDA</v>
      </c>
      <c r="AK107" s="51" t="str">
        <f>+IF(GENERAL!AJ108=GENERAL!$AI$2,GENERAL!$AI$2,CONCATENATE(OBSERVACIONES!AI107,"
ESTADO DE POSTVENTAS:  ",GENERAL!AJ108))</f>
        <v>OK
ESTADO DE POSTVENTAS:  POSTVENTA CORREGIDA</v>
      </c>
      <c r="AL107" s="51" t="str">
        <f>+IF(GENERAL!AK108=GENERAL!$AI$2,GENERAL!$AI$2,CONCATENATE(OBSERVACIONES!AJ107,"
ESTADO DE POSTVENTAS:  ",GENERAL!AK108))</f>
        <v>OK
ESTADO DE POSTVENTAS:  POSTVENTA CORREGIDA</v>
      </c>
      <c r="AM107" s="51" t="str">
        <f>+IF(GENERAL!AN108=GENERAL!$AI$2,GENERAL!$AI$2,CONCATENATE(OBSERVACIONES!AM107,"
ESTADO DE POSTVENTAS:  ",GENERAL!AN108))</f>
        <v>OK
ESTADO DE POSTVENTAS:  POSTVENTA CORREGIDA</v>
      </c>
      <c r="AN107" s="37">
        <v>2</v>
      </c>
      <c r="AO107" s="37">
        <v>9</v>
      </c>
      <c r="AP107" s="37">
        <v>3</v>
      </c>
      <c r="AQ107" s="37">
        <v>1</v>
      </c>
      <c r="AR107" s="43">
        <v>13</v>
      </c>
      <c r="AS107" s="40">
        <v>12</v>
      </c>
      <c r="AT107" s="37">
        <f>COUNTIFS($D$5:$AM$5,"&lt;&gt;"&amp;CODICIONALES!$A$1,$D$5:$AM$5,"&lt;&gt;"&amp;CODICIONALES!$A$2,$D$5:$AM$5,"&lt;&gt;"&amp;CODICIONALES!$B$2,$D$5:$AM$5,"&lt;&gt;"&amp;CODICIONALES!$C$2)</f>
        <v>6</v>
      </c>
      <c r="AU107" s="43">
        <f>COUNTIFS(D107:AM107,CODICIONALES!$A$2)</f>
        <v>33</v>
      </c>
      <c r="AV107" s="40">
        <f t="shared" si="1"/>
        <v>-3</v>
      </c>
    </row>
    <row r="108" spans="1:48" ht="51" customHeight="1" x14ac:dyDescent="0.25">
      <c r="A108" s="110"/>
      <c r="B108" s="2">
        <v>104</v>
      </c>
      <c r="C108" s="21" t="s">
        <v>103</v>
      </c>
      <c r="D108" s="51" t="str">
        <f>+IF(GENERAL!E109=GENERAL!$AI$2,GENERAL!$AI$2,CONCATENATE(OBSERVACIONES!D108,"
ESTADO DE POSTVENTAS:  ",GENERAL!E109))</f>
        <v>NO ENTREGADO
ESTADO DE POSTVENTAS:  TIENE POSTVENTA</v>
      </c>
      <c r="E108" s="51" t="str">
        <f>+IF(GENERAL!F109=GENERAL!$AI$2,GENERAL!$AI$2,CONCATENATE(OBSERVACIONES!E108,"
ESTADO DE POSTVENTAS:  ",GENERAL!F109))</f>
        <v>OK
ESTADO DE POSTVENTAS:  POSTVENTA CORREGIDA</v>
      </c>
      <c r="F108" s="51" t="str">
        <f>+IF(GENERAL!G109=GENERAL!$AI$2,GENERAL!$AI$2,CONCATENATE(OBSERVACIONES!F108,"
ESTADO DE POSTVENTAS:  ",GENERAL!G109))</f>
        <v>OK
ESTADO DE POSTVENTAS:  POSTVENTA CORREGIDA</v>
      </c>
      <c r="G108" s="51" t="str">
        <f>+IF(GENERAL!H109=GENERAL!$AI$2,GENERAL!$AI$2,CONCATENATE(OBSERVACIONES!G108,"
ESTADO DE POSTVENTAS:  ",GENERAL!H109))</f>
        <v>NO ENTREGADO
ESTADO DE POSTVENTAS:  TIENE POSTVENTA</v>
      </c>
      <c r="H108" s="51" t="str">
        <f>+IF(GENERAL!I109=GENERAL!$AI$2,GENERAL!$AI$2,CONCATENATE(OBSERVACIONES!H108,"
ESTADO DE POSTVENTAS:  ",GENERAL!I109))</f>
        <v>OK
ESTADO DE POSTVENTAS:  POSTVENTA CORREGIDA</v>
      </c>
      <c r="I108" s="51" t="str">
        <f>+IF(GENERAL!J109=GENERAL!$AI$2,GENERAL!$AI$2,CONCATENATE(OBSERVACIONES!I108,"
ESTADO DE POSTVENTAS:  ",GENERAL!J109))</f>
        <v>OK
ESTADO DE POSTVENTAS:  POSTVENTA CORREGIDA</v>
      </c>
      <c r="J108" s="51" t="str">
        <f>+IF(GENERAL!K109=GENERAL!$AI$2,GENERAL!$AI$2,CONCATENATE(OBSERVACIONES!J108,"
ESTADO DE POSTVENTAS:  ",GENERAL!K109))</f>
        <v>OK
ESTADO DE POSTVENTAS:  POSTVENTA CORREGIDA</v>
      </c>
      <c r="K108" s="51" t="str">
        <f>+IF(GENERAL!L109=GENERAL!$AI$2,GENERAL!$AI$2,CONCATENATE(OBSERVACIONES!K108,"
ESTADO DE POSTVENTAS:  ",GENERAL!L109))</f>
        <v>OK
ESTADO DE POSTVENTAS:  POSTVENTA CORREGIDA</v>
      </c>
      <c r="L108" s="51" t="str">
        <f>+IF(GENERAL!M109=GENERAL!$AI$2,GENERAL!$AI$2,CONCATENATE(OBSERVACIONES!L108,"
ESTADO DE POSTVENTAS:  ",GENERAL!M109))</f>
        <v>OK
ESTADO DE POSTVENTAS:  POSTVENTA CORREGIDA</v>
      </c>
      <c r="M108" s="70" t="str">
        <f>+IF(GENERAL!N109=GENERAL!$AI$2,GENERAL!$AI$2,CONCATENATE(OBSERVACIONES!M108,"
ESTADO DE POSTVENTAS:  ",GENERAL!N109))</f>
        <v>OK
ESTADO DE POSTVENTAS:  POSTVENTA CORREGIDA</v>
      </c>
      <c r="N108" s="51" t="str">
        <f>+IF(GENERAL!O109=GENERAL!$AI$2,GENERAL!$AI$2,CONCATENATE(OBSERVACIONES!N108,"
ESTADO DE POSTVENTAS:  ",GENERAL!O109))</f>
        <v>OK
ESTADO DE POSTVENTAS:  POSTVENTA CORREGIDA</v>
      </c>
      <c r="O108" s="51" t="str">
        <f>+IF(GENERAL!P109=GENERAL!$AI$2,GENERAL!$AI$2,CONCATENATE(OBSERVACIONES!O108,"
ESTADO DE POSTVENTAS:  ",GENERAL!P109))</f>
        <v>OK
ESTADO DE POSTVENTAS:  POSTVENTA CORREGIDA</v>
      </c>
      <c r="P108" s="70" t="str">
        <f>+IF(GENERAL!Q109=GENERAL!$AI$2,GENERAL!$AI$2,CONCATENATE(OBSERVACIONES!P108,"
ESTADO DE POSTVENTAS:  ",GENERAL!Q109))</f>
        <v>OK
ESTADO DE POSTVENTAS:  POSTVENTA CORREGIDA</v>
      </c>
      <c r="Q108" s="70" t="str">
        <f>+IF(GENERAL!R109=GENERAL!$AI$2,GENERAL!$AI$2,CONCATENATE(OBSERVACIONES!Q108,"
ESTADO DE POSTVENTAS:  ",GENERAL!R109))</f>
        <v>OK
ESTADO DE POSTVENTAS:  POSTVENTA CORREGIDA</v>
      </c>
      <c r="R108" s="51" t="str">
        <f>+IF(GENERAL!S109=GENERAL!$AI$2,GENERAL!$AI$2,CONCATENATE(OBSERVACIONES!R108,"
ESTADO DE POSTVENTAS:  ",GENERAL!S109))</f>
        <v>OK
ESTADO DE POSTVENTAS:  POSTVENTA CORREGIDA</v>
      </c>
      <c r="S108" s="51" t="str">
        <f>+IF(GENERAL!T109=GENERAL!$AI$2,GENERAL!$AI$2,CONCATENATE(OBSERVACIONES!S108,"
ESTADO DE POSTVENTAS:  ",GENERAL!T109))</f>
        <v>OK
ESTADO DE POSTVENTAS:  POSTVENTA CORREGIDA</v>
      </c>
      <c r="T108" s="51" t="str">
        <f>+IF(GENERAL!U109=GENERAL!$AI$2,GENERAL!$AI$2,CONCATENATE(OBSERVACIONES!T108,"
ESTADO DE POSTVENTAS:  ",GENERAL!U109))</f>
        <v>OK
ESTADO DE POSTVENTAS:  POSTVENTA CORREGIDA</v>
      </c>
      <c r="U108" s="51" t="str">
        <f>+IF(GENERAL!V109=GENERAL!$AI$2,GENERAL!$AI$2,CONCATENATE(OBSERVACIONES!U108,"
ESTADO DE POSTVENTAS:  ",GENERAL!V109))</f>
        <v>OK
ESTADO DE POSTVENTAS:  POSTVENTA CORREGIDA</v>
      </c>
      <c r="V108" s="51" t="str">
        <f>+IF(GENERAL!W109=GENERAL!$AI$2,GENERAL!$AI$2,CONCATENATE(OBSERVACIONES!V108,"
ESTADO DE POSTVENTAS:  ",GENERAL!W109))</f>
        <v>OK
ESTADO DE POSTVENTAS:  POSTVENTA CORREGIDA</v>
      </c>
      <c r="W108" s="51" t="str">
        <f>+IF(GENERAL!V109=GENERAL!$AI$2,GENERAL!$AI$2,CONCATENATE(OBSERVACIONES!W108,"
ESTADO DE POSTVENTAS:  ",GENERAL!V109))</f>
        <v>OK
ESTADO DE POSTVENTAS:  POSTVENTA CORREGIDA</v>
      </c>
      <c r="X108" s="51" t="str">
        <f>+IF(GENERAL!W109=GENERAL!$AI$2,GENERAL!$AI$2,CONCATENATE(OBSERVACIONES!X108,"
ESTADO DE POSTVENTAS:  ",GENERAL!W109))</f>
        <v>OK
ESTADO DE POSTVENTAS:  POSTVENTA CORREGIDA</v>
      </c>
      <c r="Y108" s="51" t="str">
        <f>+IF(GENERAL!Z109=GENERAL!$AI$2,GENERAL!$AI$2,CONCATENATE(OBSERVACIONES!Y108,"
ESTADO DE POSTVENTAS:  ",GENERAL!Z109))</f>
        <v>OK
ESTADO DE POSTVENTAS:  POSTVENTA CORREGIDA</v>
      </c>
      <c r="Z108" s="51" t="str">
        <f>+IF(GENERAL!AA109=GENERAL!$AI$2,GENERAL!$AI$2,CONCATENATE(OBSERVACIONES!Z108,"
ESTADO DE POSTVENTAS:  ",GENERAL!AA109))</f>
        <v>OK
ESTADO DE POSTVENTAS:  POSTVENTA CORREGIDA</v>
      </c>
      <c r="AA108" s="70" t="str">
        <f>+IF(GENERAL!AB109=GENERAL!$AI$2,GENERAL!$AI$2,CONCATENATE(OBSERVACIONES!AA108,"
ESTADO DE POSTVENTAS:  ",GENERAL!AB109))</f>
        <v>DETALLE CAMBIO
ESTADO DE POSTVENTAS:  TIENE POSTVENTA</v>
      </c>
      <c r="AB108" s="70" t="str">
        <f>+IF(GENERAL!AC109=GENERAL!$AI$2,GENERAL!$AI$2,CONCATENATE(OBSERVACIONES!AB108,"
ESTADO DE POSTVENTAS:  ",GENERAL!AC109))</f>
        <v>OK
ESTADO DE POSTVENTAS:  POSTVENTA CORREGIDA</v>
      </c>
      <c r="AC108" s="51" t="str">
        <f>+IF(GENERAL!AD109=GENERAL!$AI$2,GENERAL!$AI$2,CONCATENATE(OBSERVACIONES!AC108,"
ESTADO DE POSTVENTAS:  ",GENERAL!AD109))</f>
        <v>OK
ESTADO DE POSTVENTAS:  POSTVENTA CORREGIDA</v>
      </c>
      <c r="AD108" s="51" t="str">
        <f>+IF(GENERAL!AE109=GENERAL!$AI$2,GENERAL!$AI$2,CONCATENATE(OBSERVACIONES!AD108,"
ESTADO DE POSTVENTAS:  ",GENERAL!AE109))</f>
        <v>OK
ESTADO DE POSTVENTAS:  POSTVENTA CORREGIDA</v>
      </c>
      <c r="AE108" s="51" t="str">
        <f>+IF(GENERAL!AF109=GENERAL!$AI$2,GENERAL!$AI$2,CONCATENATE(OBSERVACIONES!AE108,"
ESTADO DE POSTVENTAS:  ",GENERAL!AF109))</f>
        <v>OK
ESTADO DE POSTVENTAS:  POSTVENTA CORREGIDA</v>
      </c>
      <c r="AF108" s="51" t="str">
        <f>+IF(GENERAL!AG109=GENERAL!$AI$2,GENERAL!$AI$2,CONCATENATE(OBSERVACIONES!AF108,"
ESTADO DE POSTVENTAS:  ",GENERAL!AG109))</f>
        <v>OK
ESTADO DE POSTVENTAS:  POSTVENTA CORREGIDA</v>
      </c>
      <c r="AG108" s="51" t="str">
        <f>+IF(GENERAL!AH109=GENERAL!$AI$2,GENERAL!$AI$2,CONCATENATE(OBSERVACIONES!AG108,"
ESTADO DE POSTVENTAS:  ",GENERAL!AH109))</f>
        <v>OK
ESTADO DE POSTVENTAS:  POSTVENTA CORREGIDA</v>
      </c>
      <c r="AH108" s="51" t="str">
        <f>+IF(GENERAL!AI109=GENERAL!$AI$2,GENERAL!$AI$2,CONCATENATE(OBSERVACIONES!AH108,"
ESTADO DE POSTVENTAS:  ",GENERAL!AI109))</f>
        <v>OK
ESTADO DE POSTVENTAS:  POSTVENTA CORREGIDA</v>
      </c>
      <c r="AI108" s="51" t="str">
        <f>+IF(GENERAL!AG109=GENERAL!$AI$2,GENERAL!$AI$2,CONCATENATE(OBSERVACIONES!AF108,"
ESTADO DE POSTVENTAS:  ",GENERAL!AG109))</f>
        <v>OK
ESTADO DE POSTVENTAS:  POSTVENTA CORREGIDA</v>
      </c>
      <c r="AJ108" s="51" t="str">
        <f>+IF(GENERAL!AI109=GENERAL!$AI$2,GENERAL!$AI$2,CONCATENATE(OBSERVACIONES!AH108,"
ESTADO DE POSTVENTAS:  ",GENERAL!AI109))</f>
        <v>OK
ESTADO DE POSTVENTAS:  POSTVENTA CORREGIDA</v>
      </c>
      <c r="AK108" s="51" t="str">
        <f>+IF(GENERAL!AJ109=GENERAL!$AI$2,GENERAL!$AI$2,CONCATENATE(OBSERVACIONES!AI108,"
ESTADO DE POSTVENTAS:  ",GENERAL!AJ109))</f>
        <v>OK
ESTADO DE POSTVENTAS:  POSTVENTA CORREGIDA</v>
      </c>
      <c r="AL108" s="51" t="str">
        <f>+IF(GENERAL!AK109=GENERAL!$AI$2,GENERAL!$AI$2,CONCATENATE(OBSERVACIONES!AJ108,"
ESTADO DE POSTVENTAS:  ",GENERAL!AK109))</f>
        <v>OK
ESTADO DE POSTVENTAS:  POSTVENTA CORREGIDA</v>
      </c>
      <c r="AM108" s="51" t="str">
        <f>+IF(GENERAL!AN109=GENERAL!$AI$2,GENERAL!$AI$2,CONCATENATE(OBSERVACIONES!AM108,"
ESTADO DE POSTVENTAS:  ",GENERAL!AN109))</f>
        <v>OK
ESTADO DE POSTVENTAS:  POSTVENTA CORREGIDA</v>
      </c>
      <c r="AN108" s="37">
        <v>2</v>
      </c>
      <c r="AO108" s="37">
        <v>9</v>
      </c>
      <c r="AP108" s="37">
        <v>3</v>
      </c>
      <c r="AQ108" s="37">
        <v>1</v>
      </c>
      <c r="AR108" s="43">
        <v>13</v>
      </c>
      <c r="AS108" s="40">
        <v>12</v>
      </c>
      <c r="AT108" s="37">
        <f>COUNTIFS($D$5:$AM$5,"&lt;&gt;"&amp;CODICIONALES!$A$1,$D$5:$AM$5,"&lt;&gt;"&amp;CODICIONALES!$A$2,$D$5:$AM$5,"&lt;&gt;"&amp;CODICIONALES!$B$2,$D$5:$AM$5,"&lt;&gt;"&amp;CODICIONALES!$C$2)</f>
        <v>6</v>
      </c>
      <c r="AU108" s="43">
        <f>COUNTIFS(D108:AM108,CODICIONALES!$A$2)</f>
        <v>33</v>
      </c>
      <c r="AV108" s="40">
        <f t="shared" si="1"/>
        <v>-3</v>
      </c>
    </row>
    <row r="109" spans="1:48" ht="51" customHeight="1" x14ac:dyDescent="0.25">
      <c r="A109" s="110"/>
      <c r="B109" s="2">
        <v>105</v>
      </c>
      <c r="C109" s="21" t="s">
        <v>104</v>
      </c>
      <c r="D109" s="51" t="str">
        <f>+IF(GENERAL!E110=GENERAL!$AI$2,GENERAL!$AI$2,CONCATENATE(OBSERVACIONES!D109,"
ESTADO DE POSTVENTAS:  ",GENERAL!E110))</f>
        <v>NO ENTREGADO
ESTADO DE POSTVENTAS:  TIENE POSTVENTA</v>
      </c>
      <c r="E109" s="51" t="str">
        <f>+IF(GENERAL!F110=GENERAL!$AI$2,GENERAL!$AI$2,CONCATENATE(OBSERVACIONES!E109,"
ESTADO DE POSTVENTAS:  ",GENERAL!F110))</f>
        <v>OK
ESTADO DE POSTVENTAS:  POSTVENTA CORREGIDA</v>
      </c>
      <c r="F109" s="51" t="str">
        <f>+IF(GENERAL!G110=GENERAL!$AI$2,GENERAL!$AI$2,CONCATENATE(OBSERVACIONES!F109,"
ESTADO DE POSTVENTAS:  ",GENERAL!G110))</f>
        <v>OK
ESTADO DE POSTVENTAS:  POSTVENTA CORREGIDA</v>
      </c>
      <c r="G109" s="51" t="str">
        <f>+IF(GENERAL!H110=GENERAL!$AI$2,GENERAL!$AI$2,CONCATENATE(OBSERVACIONES!G109,"
ESTADO DE POSTVENTAS:  ",GENERAL!H110))</f>
        <v>NO ENTREGADO
ESTADO DE POSTVENTAS:  TIENE POSTVENTA</v>
      </c>
      <c r="H109" s="51" t="str">
        <f>+IF(GENERAL!I110=GENERAL!$AI$2,GENERAL!$AI$2,CONCATENATE(OBSERVACIONES!H109,"
ESTADO DE POSTVENTAS:  ",GENERAL!I110))</f>
        <v>OK
ESTADO DE POSTVENTAS:  POSTVENTA CORREGIDA</v>
      </c>
      <c r="I109" s="51" t="str">
        <f>+IF(GENERAL!J110=GENERAL!$AI$2,GENERAL!$AI$2,CONCATENATE(OBSERVACIONES!I109,"
ESTADO DE POSTVENTAS:  ",GENERAL!J110))</f>
        <v>OK
ESTADO DE POSTVENTAS:  POSTVENTA CORREGIDA</v>
      </c>
      <c r="J109" s="51" t="str">
        <f>+IF(GENERAL!K110=GENERAL!$AI$2,GENERAL!$AI$2,CONCATENATE(OBSERVACIONES!J109,"
ESTADO DE POSTVENTAS:  ",GENERAL!K110))</f>
        <v>OK
ESTADO DE POSTVENTAS:  POSTVENTA CORREGIDA</v>
      </c>
      <c r="K109" s="51" t="str">
        <f>+IF(GENERAL!L110=GENERAL!$AI$2,GENERAL!$AI$2,CONCATENATE(OBSERVACIONES!K109,"
ESTADO DE POSTVENTAS:  ",GENERAL!L110))</f>
        <v>OK
ESTADO DE POSTVENTAS:  POSTVENTA CORREGIDA</v>
      </c>
      <c r="L109" s="51" t="str">
        <f>+IF(GENERAL!M110=GENERAL!$AI$2,GENERAL!$AI$2,CONCATENATE(OBSERVACIONES!L109,"
ESTADO DE POSTVENTAS:  ",GENERAL!M110))</f>
        <v>OK
ESTADO DE POSTVENTAS:  POSTVENTA CORREGIDA</v>
      </c>
      <c r="M109" s="70" t="str">
        <f>+IF(GENERAL!N110=GENERAL!$AI$2,GENERAL!$AI$2,CONCATENATE(OBSERVACIONES!M109,"
ESTADO DE POSTVENTAS:  ",GENERAL!N110))</f>
        <v>OK
ESTADO DE POSTVENTAS:  POSTVENTA CORREGIDA</v>
      </c>
      <c r="N109" s="51" t="str">
        <f>+IF(GENERAL!O110=GENERAL!$AI$2,GENERAL!$AI$2,CONCATENATE(OBSERVACIONES!N109,"
ESTADO DE POSTVENTAS:  ",GENERAL!O110))</f>
        <v>OK
ESTADO DE POSTVENTAS:  POSTVENTA CORREGIDA</v>
      </c>
      <c r="O109" s="51" t="str">
        <f>+IF(GENERAL!P110=GENERAL!$AI$2,GENERAL!$AI$2,CONCATENATE(OBSERVACIONES!O109,"
ESTADO DE POSTVENTAS:  ",GENERAL!P110))</f>
        <v>OK
ESTADO DE POSTVENTAS:  POSTVENTA CORREGIDA</v>
      </c>
      <c r="P109" s="70" t="str">
        <f>+IF(GENERAL!Q110=GENERAL!$AI$2,GENERAL!$AI$2,CONCATENATE(OBSERVACIONES!P109,"
ESTADO DE POSTVENTAS:  ",GENERAL!Q110))</f>
        <v>OK
ESTADO DE POSTVENTAS:  POSTVENTA CORREGIDA</v>
      </c>
      <c r="Q109" s="70" t="str">
        <f>+IF(GENERAL!R110=GENERAL!$AI$2,GENERAL!$AI$2,CONCATENATE(OBSERVACIONES!Q109,"
ESTADO DE POSTVENTAS:  ",GENERAL!R110))</f>
        <v>OK
ESTADO DE POSTVENTAS:  POSTVENTA CORREGIDA</v>
      </c>
      <c r="R109" s="51" t="str">
        <f>+IF(GENERAL!S110=GENERAL!$AI$2,GENERAL!$AI$2,CONCATENATE(OBSERVACIONES!R109,"
ESTADO DE POSTVENTAS:  ",GENERAL!S110))</f>
        <v>OK
ESTADO DE POSTVENTAS:  POSTVENTA CORREGIDA</v>
      </c>
      <c r="S109" s="51" t="str">
        <f>+IF(GENERAL!T110=GENERAL!$AI$2,GENERAL!$AI$2,CONCATENATE(OBSERVACIONES!S109,"
ESTADO DE POSTVENTAS:  ",GENERAL!T110))</f>
        <v>OK
ESTADO DE POSTVENTAS:  POSTVENTA CORREGIDA</v>
      </c>
      <c r="T109" s="51" t="str">
        <f>+IF(GENERAL!U110=GENERAL!$AI$2,GENERAL!$AI$2,CONCATENATE(OBSERVACIONES!T109,"
ESTADO DE POSTVENTAS:  ",GENERAL!U110))</f>
        <v>OK
ESTADO DE POSTVENTAS:  POSTVENTA CORREGIDA</v>
      </c>
      <c r="U109" s="51" t="str">
        <f>+IF(GENERAL!V110=GENERAL!$AI$2,GENERAL!$AI$2,CONCATENATE(OBSERVACIONES!U109,"
ESTADO DE POSTVENTAS:  ",GENERAL!V110))</f>
        <v>OK
ESTADO DE POSTVENTAS:  POSTVENTA CORREGIDA</v>
      </c>
      <c r="V109" s="51" t="str">
        <f>+IF(GENERAL!W110=GENERAL!$AI$2,GENERAL!$AI$2,CONCATENATE(OBSERVACIONES!V109,"
ESTADO DE POSTVENTAS:  ",GENERAL!W110))</f>
        <v>OK
ESTADO DE POSTVENTAS:  POSTVENTA CORREGIDA</v>
      </c>
      <c r="W109" s="51" t="str">
        <f>+IF(GENERAL!V110=GENERAL!$AI$2,GENERAL!$AI$2,CONCATENATE(OBSERVACIONES!W109,"
ESTADO DE POSTVENTAS:  ",GENERAL!V110))</f>
        <v>OK
ESTADO DE POSTVENTAS:  POSTVENTA CORREGIDA</v>
      </c>
      <c r="X109" s="51" t="str">
        <f>+IF(GENERAL!W110=GENERAL!$AI$2,GENERAL!$AI$2,CONCATENATE(OBSERVACIONES!X109,"
ESTADO DE POSTVENTAS:  ",GENERAL!W110))</f>
        <v>OK
ESTADO DE POSTVENTAS:  POSTVENTA CORREGIDA</v>
      </c>
      <c r="Y109" s="51" t="str">
        <f>+IF(GENERAL!Z110=GENERAL!$AI$2,GENERAL!$AI$2,CONCATENATE(OBSERVACIONES!Y109,"
ESTADO DE POSTVENTAS:  ",GENERAL!Z110))</f>
        <v>OK
ESTADO DE POSTVENTAS:  POSTVENTA CORREGIDA</v>
      </c>
      <c r="Z109" s="51" t="str">
        <f>+IF(GENERAL!AA110=GENERAL!$AI$2,GENERAL!$AI$2,CONCATENATE(OBSERVACIONES!Z109,"
ESTADO DE POSTVENTAS:  ",GENERAL!AA110))</f>
        <v>OK
ESTADO DE POSTVENTAS:  POSTVENTA CORREGIDA</v>
      </c>
      <c r="AA109" s="51" t="str">
        <f>+IF(GENERAL!AB110=GENERAL!$AI$2,GENERAL!$AI$2,CONCATENATE(OBSERVACIONES!AA109,"
ESTADO DE POSTVENTAS:  ",GENERAL!AB110))</f>
        <v>OK
ESTADO DE POSTVENTAS:  POSTVENTA CORREGIDA</v>
      </c>
      <c r="AB109" s="51" t="str">
        <f>+IF(GENERAL!AC110=GENERAL!$AI$2,GENERAL!$AI$2,CONCATENATE(OBSERVACIONES!AB109,"
ESTADO DE POSTVENTAS:  ",GENERAL!AC110))</f>
        <v>OK
ESTADO DE POSTVENTAS:  POSTVENTA CORREGIDA</v>
      </c>
      <c r="AC109" s="51" t="str">
        <f>+IF(GENERAL!AD110=GENERAL!$AI$2,GENERAL!$AI$2,CONCATENATE(OBSERVACIONES!AC109,"
ESTADO DE POSTVENTAS:  ",GENERAL!AD110))</f>
        <v>OK
ESTADO DE POSTVENTAS:  POSTVENTA CORREGIDA</v>
      </c>
      <c r="AD109" s="51" t="str">
        <f>+IF(GENERAL!AE110=GENERAL!$AI$2,GENERAL!$AI$2,CONCATENATE(OBSERVACIONES!AD109,"
ESTADO DE POSTVENTAS:  ",GENERAL!AE110))</f>
        <v>OK
ESTADO DE POSTVENTAS:  POSTVENTA CORREGIDA</v>
      </c>
      <c r="AE109" s="51" t="str">
        <f>+IF(GENERAL!AF110=GENERAL!$AI$2,GENERAL!$AI$2,CONCATENATE(OBSERVACIONES!AE109,"
ESTADO DE POSTVENTAS:  ",GENERAL!AF110))</f>
        <v>OK
ESTADO DE POSTVENTAS:  POSTVENTA CORREGIDA</v>
      </c>
      <c r="AF109" s="51" t="str">
        <f>+IF(GENERAL!AG110=GENERAL!$AI$2,GENERAL!$AI$2,CONCATENATE(OBSERVACIONES!AF109,"
ESTADO DE POSTVENTAS:  ",GENERAL!AG110))</f>
        <v>OK
ESTADO DE POSTVENTAS:  POSTVENTA CORREGIDA</v>
      </c>
      <c r="AG109" s="51" t="str">
        <f>+IF(GENERAL!AH110=GENERAL!$AI$2,GENERAL!$AI$2,CONCATENATE(OBSERVACIONES!AG109,"
ESTADO DE POSTVENTAS:  ",GENERAL!AH110))</f>
        <v>OK
ESTADO DE POSTVENTAS:  POSTVENTA CORREGIDA</v>
      </c>
      <c r="AH109" s="51" t="str">
        <f>+IF(GENERAL!AI110=GENERAL!$AI$2,GENERAL!$AI$2,CONCATENATE(OBSERVACIONES!AH109,"
ESTADO DE POSTVENTAS:  ",GENERAL!AI110))</f>
        <v>OK
ESTADO DE POSTVENTAS:  POSTVENTA CORREGIDA</v>
      </c>
      <c r="AI109" s="51" t="str">
        <f>+IF(GENERAL!AG110=GENERAL!$AI$2,GENERAL!$AI$2,CONCATENATE(OBSERVACIONES!AF109,"
ESTADO DE POSTVENTAS:  ",GENERAL!AG110))</f>
        <v>OK
ESTADO DE POSTVENTAS:  POSTVENTA CORREGIDA</v>
      </c>
      <c r="AJ109" s="51" t="str">
        <f>+IF(GENERAL!AI110=GENERAL!$AI$2,GENERAL!$AI$2,CONCATENATE(OBSERVACIONES!AH109,"
ESTADO DE POSTVENTAS:  ",GENERAL!AI110))</f>
        <v>OK
ESTADO DE POSTVENTAS:  POSTVENTA CORREGIDA</v>
      </c>
      <c r="AK109" s="51" t="str">
        <f>+IF(GENERAL!AJ110=GENERAL!$AI$2,GENERAL!$AI$2,CONCATENATE(OBSERVACIONES!AI109,"
ESTADO DE POSTVENTAS:  ",GENERAL!AJ110))</f>
        <v>OK
ESTADO DE POSTVENTAS:  POSTVENTA CORREGIDA</v>
      </c>
      <c r="AL109" s="51" t="str">
        <f>+IF(GENERAL!AK110=GENERAL!$AI$2,GENERAL!$AI$2,CONCATENATE(OBSERVACIONES!AJ109,"
ESTADO DE POSTVENTAS:  ",GENERAL!AK110))</f>
        <v>OK
ESTADO DE POSTVENTAS:  POSTVENTA CORREGIDA</v>
      </c>
      <c r="AM109" s="51" t="str">
        <f>+IF(GENERAL!AN110=GENERAL!$AI$2,GENERAL!$AI$2,CONCATENATE(OBSERVACIONES!AM109,"
ESTADO DE POSTVENTAS:  ",GENERAL!AN110))</f>
        <v>OK
ESTADO DE POSTVENTAS:  POSTVENTA CORREGIDA</v>
      </c>
      <c r="AN109" s="37">
        <v>0</v>
      </c>
      <c r="AO109" s="37">
        <v>11</v>
      </c>
      <c r="AP109" s="37">
        <v>3</v>
      </c>
      <c r="AQ109" s="37">
        <v>0</v>
      </c>
      <c r="AR109" s="43">
        <v>14</v>
      </c>
      <c r="AS109" s="40">
        <v>12</v>
      </c>
      <c r="AT109" s="37">
        <f>COUNTIFS($D$5:$AM$5,"&lt;&gt;"&amp;CODICIONALES!$A$1,$D$5:$AM$5,"&lt;&gt;"&amp;CODICIONALES!$A$2,$D$5:$AM$5,"&lt;&gt;"&amp;CODICIONALES!$B$2,$D$5:$AM$5,"&lt;&gt;"&amp;CODICIONALES!$C$2)</f>
        <v>6</v>
      </c>
      <c r="AU109" s="43">
        <f>COUNTIFS(D109:AM109,CODICIONALES!$A$2)</f>
        <v>34</v>
      </c>
      <c r="AV109" s="40">
        <f t="shared" si="1"/>
        <v>-4</v>
      </c>
    </row>
    <row r="110" spans="1:48" ht="51" customHeight="1" x14ac:dyDescent="0.25">
      <c r="A110" s="110"/>
      <c r="B110" s="2">
        <v>106</v>
      </c>
      <c r="C110" s="21" t="s">
        <v>105</v>
      </c>
      <c r="D110" s="51" t="str">
        <f>+IF(GENERAL!E111=GENERAL!$AI$2,GENERAL!$AI$2,CONCATENATE(OBSERVACIONES!D110,"
ESTADO DE POSTVENTAS:  ",GENERAL!E111))</f>
        <v>NO ENTREGADO
ESTADO DE POSTVENTAS:  TIENE POSTVENTA</v>
      </c>
      <c r="E110" s="51" t="str">
        <f>+IF(GENERAL!F111=GENERAL!$AI$2,GENERAL!$AI$2,CONCATENATE(OBSERVACIONES!E110,"
ESTADO DE POSTVENTAS:  ",GENERAL!F111))</f>
        <v>OK
ESTADO DE POSTVENTAS:  POSTVENTA CORREGIDA</v>
      </c>
      <c r="F110" s="51" t="str">
        <f>+IF(GENERAL!G111=GENERAL!$AI$2,GENERAL!$AI$2,CONCATENATE(OBSERVACIONES!F110,"
ESTADO DE POSTVENTAS:  ",GENERAL!G111))</f>
        <v>OK
ESTADO DE POSTVENTAS:  POSTVENTA CORREGIDA</v>
      </c>
      <c r="G110" s="51" t="str">
        <f>+IF(GENERAL!H111=GENERAL!$AI$2,GENERAL!$AI$2,CONCATENATE(OBSERVACIONES!G110,"
ESTADO DE POSTVENTAS:  ",GENERAL!H111))</f>
        <v>NO ENTREGADO
ESTADO DE POSTVENTAS:  TIENE POSTVENTA</v>
      </c>
      <c r="H110" s="51" t="str">
        <f>+IF(GENERAL!I111=GENERAL!$AI$2,GENERAL!$AI$2,CONCATENATE(OBSERVACIONES!H110,"
ESTADO DE POSTVENTAS:  ",GENERAL!I111))</f>
        <v>OK
ESTADO DE POSTVENTAS:  POSTVENTA CORREGIDA</v>
      </c>
      <c r="I110" s="51" t="str">
        <f>+IF(GENERAL!J111=GENERAL!$AI$2,GENERAL!$AI$2,CONCATENATE(OBSERVACIONES!I110,"
ESTADO DE POSTVENTAS:  ",GENERAL!J111))</f>
        <v>OK
ESTADO DE POSTVENTAS:  POSTVENTA CORREGIDA</v>
      </c>
      <c r="J110" s="51" t="str">
        <f>+IF(GENERAL!K111=GENERAL!$AI$2,GENERAL!$AI$2,CONCATENATE(OBSERVACIONES!J110,"
ESTADO DE POSTVENTAS:  ",GENERAL!K111))</f>
        <v>OK
ESTADO DE POSTVENTAS:  POSTVENTA CORREGIDA</v>
      </c>
      <c r="K110" s="51" t="str">
        <f>+IF(GENERAL!L111=GENERAL!$AI$2,GENERAL!$AI$2,CONCATENATE(OBSERVACIONES!K110,"
ESTADO DE POSTVENTAS:  ",GENERAL!L111))</f>
        <v>OK
ESTADO DE POSTVENTAS:  POSTVENTA CORREGIDA</v>
      </c>
      <c r="L110" s="51" t="str">
        <f>+IF(GENERAL!M111=GENERAL!$AI$2,GENERAL!$AI$2,CONCATENATE(OBSERVACIONES!L110,"
ESTADO DE POSTVENTAS:  ",GENERAL!M111))</f>
        <v>OK
ESTADO DE POSTVENTAS:  POSTVENTA CORREGIDA</v>
      </c>
      <c r="M110" s="70" t="str">
        <f>+IF(GENERAL!N111=GENERAL!$AI$2,GENERAL!$AI$2,CONCATENATE(OBSERVACIONES!M110,"
ESTADO DE POSTVENTAS:  ",GENERAL!N111))</f>
        <v>OK
ESTADO DE POSTVENTAS:  POSTVENTA CORREGIDA</v>
      </c>
      <c r="N110" s="51" t="str">
        <f>+IF(GENERAL!O111=GENERAL!$AI$2,GENERAL!$AI$2,CONCATENATE(OBSERVACIONES!N110,"
ESTADO DE POSTVENTAS:  ",GENERAL!O111))</f>
        <v>OK
ESTADO DE POSTVENTAS:  POSTVENTA CORREGIDA</v>
      </c>
      <c r="O110" s="70" t="str">
        <f>+IF(GENERAL!P111=GENERAL!$AI$2,GENERAL!$AI$2,CONCATENATE(OBSERVACIONES!O110,"
ESTADO DE POSTVENTAS:  ",GENERAL!P111))</f>
        <v>OK
ESTADO DE POSTVENTAS:  POSTVENTA CORREGIDA</v>
      </c>
      <c r="P110" s="70" t="str">
        <f>+IF(GENERAL!Q111=GENERAL!$AI$2,GENERAL!$AI$2,CONCATENATE(OBSERVACIONES!P110,"
ESTADO DE POSTVENTAS:  ",GENERAL!Q111))</f>
        <v>OK
ESTADO DE POSTVENTAS:  POSTVENTA CORREGIDA</v>
      </c>
      <c r="Q110" s="70" t="str">
        <f>+IF(GENERAL!R111=GENERAL!$AI$2,GENERAL!$AI$2,CONCATENATE(OBSERVACIONES!Q110,"
ESTADO DE POSTVENTAS:  ",GENERAL!R111))</f>
        <v>OK
ESTADO DE POSTVENTAS:  POSTVENTA CORREGIDA</v>
      </c>
      <c r="R110" s="51" t="str">
        <f>+IF(GENERAL!S111=GENERAL!$AI$2,GENERAL!$AI$2,CONCATENATE(OBSERVACIONES!R110,"
ESTADO DE POSTVENTAS:  ",GENERAL!S111))</f>
        <v>OK
ESTADO DE POSTVENTAS:  POSTVENTA CORREGIDA</v>
      </c>
      <c r="S110" s="51" t="str">
        <f>+IF(GENERAL!T111=GENERAL!$AI$2,GENERAL!$AI$2,CONCATENATE(OBSERVACIONES!S110,"
ESTADO DE POSTVENTAS:  ",GENERAL!T111))</f>
        <v>OK
ESTADO DE POSTVENTAS:  POSTVENTA CORREGIDA</v>
      </c>
      <c r="T110" s="51" t="str">
        <f>+IF(GENERAL!U111=GENERAL!$AI$2,GENERAL!$AI$2,CONCATENATE(OBSERVACIONES!T110,"
ESTADO DE POSTVENTAS:  ",GENERAL!U111))</f>
        <v>OK
ESTADO DE POSTVENTAS:  POSTVENTA CORREGIDA</v>
      </c>
      <c r="U110" s="51" t="str">
        <f>+IF(GENERAL!V111=GENERAL!$AI$2,GENERAL!$AI$2,CONCATENATE(OBSERVACIONES!U110,"
ESTADO DE POSTVENTAS:  ",GENERAL!V111))</f>
        <v>OK
ESTADO DE POSTVENTAS:  POSTVENTA CORREGIDA</v>
      </c>
      <c r="V110" s="51" t="str">
        <f>+IF(GENERAL!W111=GENERAL!$AI$2,GENERAL!$AI$2,CONCATENATE(OBSERVACIONES!V110,"
ESTADO DE POSTVENTAS:  ",GENERAL!W111))</f>
        <v>OK
ESTADO DE POSTVENTAS:  POSTVENTA CORREGIDA</v>
      </c>
      <c r="W110" s="51" t="str">
        <f>+IF(GENERAL!V111=GENERAL!$AI$2,GENERAL!$AI$2,CONCATENATE(OBSERVACIONES!W110,"
ESTADO DE POSTVENTAS:  ",GENERAL!V111))</f>
        <v>OK
ESTADO DE POSTVENTAS:  POSTVENTA CORREGIDA</v>
      </c>
      <c r="X110" s="51" t="str">
        <f>+IF(GENERAL!W111=GENERAL!$AI$2,GENERAL!$AI$2,CONCATENATE(OBSERVACIONES!X110,"
ESTADO DE POSTVENTAS:  ",GENERAL!W111))</f>
        <v>OK
ESTADO DE POSTVENTAS:  POSTVENTA CORREGIDA</v>
      </c>
      <c r="Y110" s="51" t="str">
        <f>+IF(GENERAL!Z111=GENERAL!$AI$2,GENERAL!$AI$2,CONCATENATE(OBSERVACIONES!Y110,"
ESTADO DE POSTVENTAS:  ",GENERAL!Z111))</f>
        <v>OK
ESTADO DE POSTVENTAS:  POSTVENTA CORREGIDA</v>
      </c>
      <c r="Z110" s="51" t="str">
        <f>+IF(GENERAL!AA111=GENERAL!$AI$2,GENERAL!$AI$2,CONCATENATE(OBSERVACIONES!Z110,"
ESTADO DE POSTVENTAS:  ",GENERAL!AA111))</f>
        <v>OK
ESTADO DE POSTVENTAS:  POSTVENTA CORREGIDA</v>
      </c>
      <c r="AA110" s="51" t="str">
        <f>+IF(GENERAL!AB111=GENERAL!$AI$2,GENERAL!$AI$2,CONCATENATE(OBSERVACIONES!AA110,"
ESTADO DE POSTVENTAS:  ",GENERAL!AB111))</f>
        <v>OK
ESTADO DE POSTVENTAS:  POSTVENTA CORREGIDA</v>
      </c>
      <c r="AB110" s="51" t="str">
        <f>+IF(GENERAL!AC111=GENERAL!$AI$2,GENERAL!$AI$2,CONCATENATE(OBSERVACIONES!AB110,"
ESTADO DE POSTVENTAS:  ",GENERAL!AC111))</f>
        <v>OK
ESTADO DE POSTVENTAS:  POSTVENTA CORREGIDA</v>
      </c>
      <c r="AC110" s="51" t="str">
        <f>+IF(GENERAL!AD111=GENERAL!$AI$2,GENERAL!$AI$2,CONCATENATE(OBSERVACIONES!AC110,"
ESTADO DE POSTVENTAS:  ",GENERAL!AD111))</f>
        <v>OK
ESTADO DE POSTVENTAS:  POSTVENTA CORREGIDA</v>
      </c>
      <c r="AD110" s="51" t="str">
        <f>+IF(GENERAL!AE111=GENERAL!$AI$2,GENERAL!$AI$2,CONCATENATE(OBSERVACIONES!AD110,"
ESTADO DE POSTVENTAS:  ",GENERAL!AE111))</f>
        <v>OK
ESTADO DE POSTVENTAS:  POSTVENTA CORREGIDA</v>
      </c>
      <c r="AE110" s="51" t="str">
        <f>+IF(GENERAL!AF111=GENERAL!$AI$2,GENERAL!$AI$2,CONCATENATE(OBSERVACIONES!AE110,"
ESTADO DE POSTVENTAS:  ",GENERAL!AF111))</f>
        <v>OK
ESTADO DE POSTVENTAS:  POSTVENTA CORREGIDA</v>
      </c>
      <c r="AF110" s="51" t="str">
        <f>+IF(GENERAL!AG111=GENERAL!$AI$2,GENERAL!$AI$2,CONCATENATE(OBSERVACIONES!AF110,"
ESTADO DE POSTVENTAS:  ",GENERAL!AG111))</f>
        <v>OK
ESTADO DE POSTVENTAS:  POSTVENTA CORREGIDA</v>
      </c>
      <c r="AG110" s="51" t="str">
        <f>+IF(GENERAL!AH111=GENERAL!$AI$2,GENERAL!$AI$2,CONCATENATE(OBSERVACIONES!AG110,"
ESTADO DE POSTVENTAS:  ",GENERAL!AH111))</f>
        <v>DETALLES FIJADO
ESTADO DE POSTVENTAS:  TIENE POSTVENTA</v>
      </c>
      <c r="AH110" s="51" t="str">
        <f>+IF(GENERAL!AI111=GENERAL!$AI$2,GENERAL!$AI$2,CONCATENATE(OBSERVACIONES!AH110,"
ESTADO DE POSTVENTAS:  ",GENERAL!AI111))</f>
        <v>OK
ESTADO DE POSTVENTAS:  POSTVENTA CORREGIDA</v>
      </c>
      <c r="AI110" s="51" t="str">
        <f>+IF(GENERAL!AG111=GENERAL!$AI$2,GENERAL!$AI$2,CONCATENATE(OBSERVACIONES!AF110,"
ESTADO DE POSTVENTAS:  ",GENERAL!AG111))</f>
        <v>OK
ESTADO DE POSTVENTAS:  POSTVENTA CORREGIDA</v>
      </c>
      <c r="AJ110" s="51" t="str">
        <f>+IF(GENERAL!AI111=GENERAL!$AI$2,GENERAL!$AI$2,CONCATENATE(OBSERVACIONES!AH110,"
ESTADO DE POSTVENTAS:  ",GENERAL!AI111))</f>
        <v>OK
ESTADO DE POSTVENTAS:  POSTVENTA CORREGIDA</v>
      </c>
      <c r="AK110" s="51" t="str">
        <f>+IF(GENERAL!AJ111=GENERAL!$AI$2,GENERAL!$AI$2,CONCATENATE(OBSERVACIONES!AI110,"
ESTADO DE POSTVENTAS:  ",GENERAL!AJ111))</f>
        <v>OK
ESTADO DE POSTVENTAS:  POSTVENTA CORREGIDA</v>
      </c>
      <c r="AL110" s="51" t="str">
        <f>+IF(GENERAL!AK111=GENERAL!$AI$2,GENERAL!$AI$2,CONCATENATE(OBSERVACIONES!AJ110,"
ESTADO DE POSTVENTAS:  ",GENERAL!AK111))</f>
        <v>OK
ESTADO DE POSTVENTAS:  POSTVENTA CORREGIDA</v>
      </c>
      <c r="AM110" s="70" t="str">
        <f>+IF(GENERAL!AN111=GENERAL!$AI$2,GENERAL!$AI$2,CONCATENATE(OBSERVACIONES!AM110,"
ESTADO DE POSTVENTAS:  ",GENERAL!AN111))</f>
        <v>DETALLE FIJADO
ESTADO DE POSTVENTAS:  TIENE POSTVENTA</v>
      </c>
      <c r="AN110" s="37">
        <v>3</v>
      </c>
      <c r="AO110" s="37">
        <v>8</v>
      </c>
      <c r="AP110" s="37">
        <v>3</v>
      </c>
      <c r="AQ110" s="37">
        <v>0</v>
      </c>
      <c r="AR110" s="43">
        <v>14</v>
      </c>
      <c r="AS110" s="40">
        <v>12</v>
      </c>
      <c r="AT110" s="37">
        <f>COUNTIFS($D$5:$AM$5,"&lt;&gt;"&amp;CODICIONALES!$A$1,$D$5:$AM$5,"&lt;&gt;"&amp;CODICIONALES!$A$2,$D$5:$AM$5,"&lt;&gt;"&amp;CODICIONALES!$B$2,$D$5:$AM$5,"&lt;&gt;"&amp;CODICIONALES!$C$2)</f>
        <v>6</v>
      </c>
      <c r="AU110" s="43">
        <f>COUNTIFS(D110:AM110,CODICIONALES!$A$2)</f>
        <v>32</v>
      </c>
      <c r="AV110" s="40">
        <f t="shared" si="1"/>
        <v>-2</v>
      </c>
    </row>
    <row r="111" spans="1:48" ht="51" customHeight="1" x14ac:dyDescent="0.25">
      <c r="A111" s="111"/>
      <c r="B111" s="2">
        <v>107</v>
      </c>
      <c r="C111" s="26" t="s">
        <v>78</v>
      </c>
      <c r="D111" s="51" t="str">
        <f>+IF(GENERAL!E112=GENERAL!$AI$2,GENERAL!$AI$2,CONCATENATE(OBSERVACIONES!D111,"
ESTADO DE POSTVENTAS:  ",GENERAL!E112))</f>
        <v>NO ENTREGADO
ESTADO DE POSTVENTAS:  TIENE POSTVENTA</v>
      </c>
      <c r="E111" s="51" t="str">
        <f>+IF(GENERAL!F112=GENERAL!$AI$2,GENERAL!$AI$2,CONCATENATE(OBSERVACIONES!E111,"
ESTADO DE POSTVENTAS:  ",GENERAL!F112))</f>
        <v>OK
ESTADO DE POSTVENTAS:  POSTVENTA CORREGIDA</v>
      </c>
      <c r="F111" s="51" t="str">
        <f>+IF(GENERAL!G112=GENERAL!$AI$2,GENERAL!$AI$2,CONCATENATE(OBSERVACIONES!F111,"
ESTADO DE POSTVENTAS:  ",GENERAL!G112))</f>
        <v>OK
ESTADO DE POSTVENTAS:  POSTVENTA CORREGIDA</v>
      </c>
      <c r="G111" s="51" t="str">
        <f>+IF(GENERAL!H112=GENERAL!$AI$2,GENERAL!$AI$2,CONCATENATE(OBSERVACIONES!G111,"
ESTADO DE POSTVENTAS:  ",GENERAL!H112))</f>
        <v>NO ENTREGADO
ESTADO DE POSTVENTAS:  TIENE POSTVENTA</v>
      </c>
      <c r="H111" s="51" t="str">
        <f>+IF(GENERAL!I112=GENERAL!$AI$2,GENERAL!$AI$2,CONCATENATE(OBSERVACIONES!H111,"
ESTADO DE POSTVENTAS:  ",GENERAL!I112))</f>
        <v>OK
ESTADO DE POSTVENTAS:  POSTVENTA CORREGIDA</v>
      </c>
      <c r="I111" s="51" t="str">
        <f>+IF(GENERAL!J112=GENERAL!$AI$2,GENERAL!$AI$2,CONCATENATE(OBSERVACIONES!I111,"
ESTADO DE POSTVENTAS:  ",GENERAL!J112))</f>
        <v>OK
ESTADO DE POSTVENTAS:  POSTVENTA CORREGIDA</v>
      </c>
      <c r="J111" s="51" t="str">
        <f>+IF(GENERAL!K112=GENERAL!$AI$2,GENERAL!$AI$2,CONCATENATE(OBSERVACIONES!J111,"
ESTADO DE POSTVENTAS:  ",GENERAL!K112))</f>
        <v>OK
ESTADO DE POSTVENTAS:  POSTVENTA CORREGIDA</v>
      </c>
      <c r="K111" s="51" t="str">
        <f>+IF(GENERAL!L112=GENERAL!$AI$2,GENERAL!$AI$2,CONCATENATE(OBSERVACIONES!K111,"
ESTADO DE POSTVENTAS:  ",GENERAL!L112))</f>
        <v>OK
ESTADO DE POSTVENTAS:  POSTVENTA CORREGIDA</v>
      </c>
      <c r="L111" s="51" t="str">
        <f>+IF(GENERAL!M112=GENERAL!$AI$2,GENERAL!$AI$2,CONCATENATE(OBSERVACIONES!L111,"
ESTADO DE POSTVENTAS:  ",GENERAL!M112))</f>
        <v>OK
ESTADO DE POSTVENTAS:  POSTVENTA CORREGIDA</v>
      </c>
      <c r="M111" s="70" t="str">
        <f>+IF(GENERAL!N112=GENERAL!$AI$2,GENERAL!$AI$2,CONCATENATE(OBSERVACIONES!M111,"
ESTADO DE POSTVENTAS:  ",GENERAL!N112))</f>
        <v>OK
ESTADO DE POSTVENTAS:  POSTVENTA CORREGIDA</v>
      </c>
      <c r="N111" s="51" t="str">
        <f>+IF(GENERAL!O112=GENERAL!$AI$2,GENERAL!$AI$2,CONCATENATE(OBSERVACIONES!N111,"
ESTADO DE POSTVENTAS:  ",GENERAL!O112))</f>
        <v>OK
ESTADO DE POSTVENTAS:  POSTVENTA CORREGIDA</v>
      </c>
      <c r="O111" s="51" t="str">
        <f>+IF(GENERAL!P112=GENERAL!$AI$2,GENERAL!$AI$2,CONCATENATE(OBSERVACIONES!O111,"
ESTADO DE POSTVENTAS:  ",GENERAL!P112))</f>
        <v>OK
ESTADO DE POSTVENTAS:  POSTVENTA CORREGIDA</v>
      </c>
      <c r="P111" s="70" t="str">
        <f>+IF(GENERAL!Q112=GENERAL!$AI$2,GENERAL!$AI$2,CONCATENATE(OBSERVACIONES!P111,"
ESTADO DE POSTVENTAS:  ",GENERAL!Q112))</f>
        <v>OK
ESTADO DE POSTVENTAS:  POSTVENTA CORREGIDA</v>
      </c>
      <c r="Q111" s="70" t="str">
        <f>+IF(GENERAL!R112=GENERAL!$AI$2,GENERAL!$AI$2,CONCATENATE(OBSERVACIONES!Q111,"
ESTADO DE POSTVENTAS:  ",GENERAL!R112))</f>
        <v>OK
ESTADO DE POSTVENTAS:  POSTVENTA CORREGIDA</v>
      </c>
      <c r="R111" s="51" t="str">
        <f>+IF(GENERAL!S112=GENERAL!$AI$2,GENERAL!$AI$2,CONCATENATE(OBSERVACIONES!R111,"
ESTADO DE POSTVENTAS:  ",GENERAL!S112))</f>
        <v>OK
ESTADO DE POSTVENTAS:  POSTVENTA CORREGIDA</v>
      </c>
      <c r="S111" s="51" t="str">
        <f>+IF(GENERAL!T112=GENERAL!$AI$2,GENERAL!$AI$2,CONCATENATE(OBSERVACIONES!S111,"
ESTADO DE POSTVENTAS:  ",GENERAL!T112))</f>
        <v>OK
ESTADO DE POSTVENTAS:  POSTVENTA CORREGIDA</v>
      </c>
      <c r="T111" s="51" t="str">
        <f>+IF(GENERAL!U112=GENERAL!$AI$2,GENERAL!$AI$2,CONCATENATE(OBSERVACIONES!T111,"
ESTADO DE POSTVENTAS:  ",GENERAL!U112))</f>
        <v>OK
ESTADO DE POSTVENTAS:  POSTVENTA CORREGIDA</v>
      </c>
      <c r="U111" s="51" t="str">
        <f>+IF(GENERAL!V112=GENERAL!$AI$2,GENERAL!$AI$2,CONCATENATE(OBSERVACIONES!U111,"
ESTADO DE POSTVENTAS:  ",GENERAL!V112))</f>
        <v>OK
ESTADO DE POSTVENTAS:  POSTVENTA CORREGIDA</v>
      </c>
      <c r="V111" s="51" t="str">
        <f>+IF(GENERAL!W112=GENERAL!$AI$2,GENERAL!$AI$2,CONCATENATE(OBSERVACIONES!V111,"
ESTADO DE POSTVENTAS:  ",GENERAL!W112))</f>
        <v>OK
ESTADO DE POSTVENTAS:  POSTVENTA CORREGIDA</v>
      </c>
      <c r="W111" s="51" t="str">
        <f>+IF(GENERAL!V112=GENERAL!$AI$2,GENERAL!$AI$2,CONCATENATE(OBSERVACIONES!W111,"
ESTADO DE POSTVENTAS:  ",GENERAL!V112))</f>
        <v>OK
ESTADO DE POSTVENTAS:  POSTVENTA CORREGIDA</v>
      </c>
      <c r="X111" s="51" t="str">
        <f>+IF(GENERAL!W112=GENERAL!$AI$2,GENERAL!$AI$2,CONCATENATE(OBSERVACIONES!X111,"
ESTADO DE POSTVENTAS:  ",GENERAL!W112))</f>
        <v>OK
ESTADO DE POSTVENTAS:  POSTVENTA CORREGIDA</v>
      </c>
      <c r="Y111" s="51" t="str">
        <f>+IF(GENERAL!Z112=GENERAL!$AI$2,GENERAL!$AI$2,CONCATENATE(OBSERVACIONES!Y111,"
ESTADO DE POSTVENTAS:  ",GENERAL!Z112))</f>
        <v>OK
ESTADO DE POSTVENTAS:  POSTVENTA CORREGIDA</v>
      </c>
      <c r="Z111" s="51" t="str">
        <f>+IF(GENERAL!AA112=GENERAL!$AI$2,GENERAL!$AI$2,CONCATENATE(OBSERVACIONES!Z111,"
ESTADO DE POSTVENTAS:  ",GENERAL!AA112))</f>
        <v>OK
ESTADO DE POSTVENTAS:  POSTVENTA CORREGIDA</v>
      </c>
      <c r="AA111" s="51" t="str">
        <f>+IF(GENERAL!AB112=GENERAL!$AI$2,GENERAL!$AI$2,CONCATENATE(OBSERVACIONES!AA111,"
ESTADO DE POSTVENTAS:  ",GENERAL!AB112))</f>
        <v>OK
ESTADO DE POSTVENTAS:  POSTVENTA CORREGIDA</v>
      </c>
      <c r="AB111" s="51" t="str">
        <f>+IF(GENERAL!AC112=GENERAL!$AI$2,GENERAL!$AI$2,CONCATENATE(OBSERVACIONES!AB111,"
ESTADO DE POSTVENTAS:  ",GENERAL!AC112))</f>
        <v>OK
ESTADO DE POSTVENTAS:  POSTVENTA CORREGIDA</v>
      </c>
      <c r="AC111" s="51" t="str">
        <f>+IF(GENERAL!AD112=GENERAL!$AI$2,GENERAL!$AI$2,CONCATENATE(OBSERVACIONES!AC111,"
ESTADO DE POSTVENTAS:  ",GENERAL!AD112))</f>
        <v>OK
ESTADO DE POSTVENTAS:  POSTVENTA CORREGIDA</v>
      </c>
      <c r="AD111" s="51" t="str">
        <f>+IF(GENERAL!AE112=GENERAL!$AI$2,GENERAL!$AI$2,CONCATENATE(OBSERVACIONES!AD111,"
ESTADO DE POSTVENTAS:  ",GENERAL!AE112))</f>
        <v>OK
ESTADO DE POSTVENTAS:  POSTVENTA CORREGIDA</v>
      </c>
      <c r="AE111" s="51" t="str">
        <f>+IF(GENERAL!AF112=GENERAL!$AI$2,GENERAL!$AI$2,CONCATENATE(OBSERVACIONES!AE111,"
ESTADO DE POSTVENTAS:  ",GENERAL!AF112))</f>
        <v>OK
ESTADO DE POSTVENTAS:  POSTVENTA CORREGIDA</v>
      </c>
      <c r="AF111" s="51" t="str">
        <f>+IF(GENERAL!AG112=GENERAL!$AI$2,GENERAL!$AI$2,CONCATENATE(OBSERVACIONES!AF111,"
ESTADO DE POSTVENTAS:  ",GENERAL!AG112))</f>
        <v>OK
ESTADO DE POSTVENTAS:  POSTVENTA CORREGIDA</v>
      </c>
      <c r="AG111" s="51" t="str">
        <f>+IF(GENERAL!AH112=GENERAL!$AI$2,GENERAL!$AI$2,CONCATENATE(OBSERVACIONES!AG111,"
ESTADO DE POSTVENTAS:  ",GENERAL!AH112))</f>
        <v>OK
ESTADO DE POSTVENTAS:  POSTVENTA CORREGIDA</v>
      </c>
      <c r="AH111" s="51" t="str">
        <f>+IF(GENERAL!AI112=GENERAL!$AI$2,GENERAL!$AI$2,CONCATENATE(OBSERVACIONES!AH111,"
ESTADO DE POSTVENTAS:  ",GENERAL!AI112))</f>
        <v>OK
ESTADO DE POSTVENTAS:  POSTVENTA CORREGIDA</v>
      </c>
      <c r="AI111" s="51" t="str">
        <f>+IF(GENERAL!AG112=GENERAL!$AI$2,GENERAL!$AI$2,CONCATENATE(OBSERVACIONES!AF111,"
ESTADO DE POSTVENTAS:  ",GENERAL!AG112))</f>
        <v>OK
ESTADO DE POSTVENTAS:  POSTVENTA CORREGIDA</v>
      </c>
      <c r="AJ111" s="51" t="str">
        <f>+IF(GENERAL!AI112=GENERAL!$AI$2,GENERAL!$AI$2,CONCATENATE(OBSERVACIONES!AH111,"
ESTADO DE POSTVENTAS:  ",GENERAL!AI112))</f>
        <v>OK
ESTADO DE POSTVENTAS:  POSTVENTA CORREGIDA</v>
      </c>
      <c r="AK111" s="51" t="str">
        <f>+IF(GENERAL!AJ112=GENERAL!$AI$2,GENERAL!$AI$2,CONCATENATE(OBSERVACIONES!AI111,"
ESTADO DE POSTVENTAS:  ",GENERAL!AJ112))</f>
        <v>OK
ESTADO DE POSTVENTAS:  POSTVENTA CORREGIDA</v>
      </c>
      <c r="AL111" s="51" t="str">
        <f>+IF(GENERAL!AK112=GENERAL!$AI$2,GENERAL!$AI$2,CONCATENATE(OBSERVACIONES!AJ111,"
ESTADO DE POSTVENTAS:  ",GENERAL!AK112))</f>
        <v>OK
ESTADO DE POSTVENTAS:  POSTVENTA CORREGIDA</v>
      </c>
      <c r="AM111" s="51" t="str">
        <f>+IF(GENERAL!AN112=GENERAL!$AI$2,GENERAL!$AI$2,CONCATENATE(OBSERVACIONES!AM111,"
ESTADO DE POSTVENTAS:  ",GENERAL!AN112))</f>
        <v>OK
ESTADO DE POSTVENTAS:  POSTVENTA CORREGIDA</v>
      </c>
      <c r="AN111" s="37">
        <v>1</v>
      </c>
      <c r="AO111" s="37">
        <v>10</v>
      </c>
      <c r="AP111" s="37">
        <v>3</v>
      </c>
      <c r="AQ111" s="37">
        <v>0</v>
      </c>
      <c r="AR111" s="43">
        <v>14</v>
      </c>
      <c r="AS111" s="40">
        <v>12</v>
      </c>
      <c r="AT111" s="37">
        <f>COUNTIFS($D$5:$AM$5,"&lt;&gt;"&amp;CODICIONALES!$A$1,$D$5:$AM$5,"&lt;&gt;"&amp;CODICIONALES!$A$2,$D$5:$AM$5,"&lt;&gt;"&amp;CODICIONALES!$B$2,$D$5:$AM$5,"&lt;&gt;"&amp;CODICIONALES!$C$2)</f>
        <v>6</v>
      </c>
      <c r="AU111" s="43">
        <f>COUNTIFS(D111:AM111,CODICIONALES!$A$2)</f>
        <v>34</v>
      </c>
      <c r="AV111" s="40">
        <f t="shared" si="1"/>
        <v>-4</v>
      </c>
    </row>
    <row r="112" spans="1:48" ht="51" customHeight="1" x14ac:dyDescent="0.25">
      <c r="A112" s="112" t="s">
        <v>106</v>
      </c>
      <c r="B112" s="2">
        <v>108</v>
      </c>
      <c r="C112" s="25" t="s">
        <v>99</v>
      </c>
      <c r="D112" s="51" t="str">
        <f>+IF(GENERAL!E113=GENERAL!$AI$2,GENERAL!$AI$2,CONCATENATE(OBSERVACIONES!D112,"
ESTADO DE POSTVENTAS:  ",GENERAL!E113))</f>
        <v>NO ENTREGADO
ESTADO DE POSTVENTAS:  TIENE POSTVENTA</v>
      </c>
      <c r="E112" s="70" t="str">
        <f>+IF(GENERAL!F113=GENERAL!$AI$2,GENERAL!$AI$2,CONCATENATE(OBSERVACIONES!E112,"
ESTADO DE POSTVENTAS:  ",GENERAL!F113))</f>
        <v>OK
ESTADO DE POSTVENTAS:  POSTVENTA CORREGIDA</v>
      </c>
      <c r="F112" s="70" t="str">
        <f>+IF(GENERAL!G113=GENERAL!$AI$2,GENERAL!$AI$2,CONCATENATE(OBSERVACIONES!F112,"
ESTADO DE POSTVENTAS:  ",GENERAL!G113))</f>
        <v>DETALLES PUERTAS
ESTADO DE POSTVENTAS:  TIENE POSTVENTA</v>
      </c>
      <c r="G112" s="51" t="str">
        <f>+IF(GENERAL!H113=GENERAL!$AI$2,GENERAL!$AI$2,CONCATENATE(OBSERVACIONES!G112,"
ESTADO DE POSTVENTAS:  ",GENERAL!H113))</f>
        <v>NO ENTREGADO
ESTADO DE POSTVENTAS:  TIENE POSTVENTA</v>
      </c>
      <c r="H112" s="70" t="str">
        <f>+IF(GENERAL!I113=GENERAL!$AI$2,GENERAL!$AI$2,CONCATENATE(OBSERVACIONES!H112,"
ESTADO DE POSTVENTAS:  ",GENERAL!I113))</f>
        <v>DETALLE CAMBIO
ESTADO DE POSTVENTAS:  TIENE POSTVENTA</v>
      </c>
      <c r="I112" s="51" t="str">
        <f>+IF(GENERAL!J113=GENERAL!$AI$2,GENERAL!$AI$2,CONCATENATE(OBSERVACIONES!I112,"
ESTADO DE POSTVENTAS:  ",GENERAL!J113))</f>
        <v>OK
ESTADO DE POSTVENTAS:  POSTVENTA CORREGIDA</v>
      </c>
      <c r="J112" s="51" t="str">
        <f>+IF(GENERAL!K113=GENERAL!$AI$2,GENERAL!$AI$2,CONCATENATE(OBSERVACIONES!J112,"
ESTADO DE POSTVENTAS:  ",GENERAL!K113))</f>
        <v>OK
ESTADO DE POSTVENTAS:  POSTVENTA CORREGIDA</v>
      </c>
      <c r="K112" s="51" t="str">
        <f>+IF(GENERAL!L113=GENERAL!$AI$2,GENERAL!$AI$2,CONCATENATE(OBSERVACIONES!K112,"
ESTADO DE POSTVENTAS:  ",GENERAL!L113))</f>
        <v>OK
ESTADO DE POSTVENTAS:  POSTVENTA CORREGIDA</v>
      </c>
      <c r="L112" s="51" t="str">
        <f>+IF(GENERAL!M113=GENERAL!$AI$2,GENERAL!$AI$2,CONCATENATE(OBSERVACIONES!L112,"
ESTADO DE POSTVENTAS:  ",GENERAL!M113))</f>
        <v>DETALLE FIJADO
ESTADO DE POSTVENTAS:  TIENE POSTVENTA</v>
      </c>
      <c r="M112" s="70" t="str">
        <f>+IF(GENERAL!N113=GENERAL!$AI$2,GENERAL!$AI$2,CONCATENATE(OBSERVACIONES!M112,"
ESTADO DE POSTVENTAS:  ",GENERAL!N113))</f>
        <v>OK
ESTADO DE POSTVENTAS:  POSTVENTA CORREGIDA</v>
      </c>
      <c r="N112" s="51" t="str">
        <f>+IF(GENERAL!O113=GENERAL!$AI$2,GENERAL!$AI$2,CONCATENATE(OBSERVACIONES!N112,"
ESTADO DE POSTVENTAS:  ",GENERAL!O113))</f>
        <v>OK
ESTADO DE POSTVENTAS:  POSTVENTA CORREGIDA</v>
      </c>
      <c r="O112" s="51" t="str">
        <f>+IF(GENERAL!P113=GENERAL!$AI$2,GENERAL!$AI$2,CONCATENATE(OBSERVACIONES!O112,"
ESTADO DE POSTVENTAS:  ",GENERAL!P113))</f>
        <v>OK
ESTADO DE POSTVENTAS:  POSTVENTA CORREGIDA</v>
      </c>
      <c r="P112" s="70" t="str">
        <f>+IF(GENERAL!Q113=GENERAL!$AI$2,GENERAL!$AI$2,CONCATENATE(OBSERVACIONES!P112,"
ESTADO DE POSTVENTAS:  ",GENERAL!Q113))</f>
        <v>OK
ESTADO DE POSTVENTAS:  POSTVENTA CORREGIDA</v>
      </c>
      <c r="Q112" s="70" t="str">
        <f>+IF(GENERAL!R113=GENERAL!$AI$2,GENERAL!$AI$2,CONCATENATE(OBSERVACIONES!Q112,"
ESTADO DE POSTVENTAS:  ",GENERAL!R113))</f>
        <v>OK
ESTADO DE POSTVENTAS:  POSTVENTA CORREGIDA</v>
      </c>
      <c r="R112" s="51" t="str">
        <f>+IF(GENERAL!S113=GENERAL!$AI$2,GENERAL!$AI$2,CONCATENATE(OBSERVACIONES!R112,"
ESTADO DE POSTVENTAS:  ",GENERAL!S113))</f>
        <v>OK
ESTADO DE POSTVENTAS:  POSTVENTA CORREGIDA</v>
      </c>
      <c r="S112" s="51" t="str">
        <f>+IF(GENERAL!T113=GENERAL!$AI$2,GENERAL!$AI$2,CONCATENATE(OBSERVACIONES!S112,"
ESTADO DE POSTVENTAS:  ",GENERAL!T113))</f>
        <v>OK
ESTADO DE POSTVENTAS:  POSTVENTA CORREGIDA</v>
      </c>
      <c r="T112" s="51" t="str">
        <f>+IF(GENERAL!U113=GENERAL!$AI$2,GENERAL!$AI$2,CONCATENATE(OBSERVACIONES!T112,"
ESTADO DE POSTVENTAS:  ",GENERAL!U113))</f>
        <v>OK
ESTADO DE POSTVENTAS:  POSTVENTA CORREGIDA</v>
      </c>
      <c r="U112" s="51" t="str">
        <f>+IF(GENERAL!V113=GENERAL!$AI$2,GENERAL!$AI$2,CONCATENATE(OBSERVACIONES!U112,"
ESTADO DE POSTVENTAS:  ",GENERAL!V113))</f>
        <v>OK
ESTADO DE POSTVENTAS:  POSTVENTA CORREGIDA</v>
      </c>
      <c r="V112" s="51" t="str">
        <f>+IF(GENERAL!W113=GENERAL!$AI$2,GENERAL!$AI$2,CONCATENATE(OBSERVACIONES!V112,"
ESTADO DE POSTVENTAS:  ",GENERAL!W113))</f>
        <v>OK
ESTADO DE POSTVENTAS:  POSTVENTA CORREGIDA</v>
      </c>
      <c r="W112" s="51" t="str">
        <f>+IF(GENERAL!V113=GENERAL!$AI$2,GENERAL!$AI$2,CONCATENATE(OBSERVACIONES!W112,"
ESTADO DE POSTVENTAS:  ",GENERAL!V113))</f>
        <v>OK
ESTADO DE POSTVENTAS:  POSTVENTA CORREGIDA</v>
      </c>
      <c r="X112" s="51" t="str">
        <f>+IF(GENERAL!W113=GENERAL!$AI$2,GENERAL!$AI$2,CONCATENATE(OBSERVACIONES!X112,"
ESTADO DE POSTVENTAS:  ",GENERAL!W113))</f>
        <v>OK
ESTADO DE POSTVENTAS:  POSTVENTA CORREGIDA</v>
      </c>
      <c r="Y112" s="51" t="str">
        <f>+IF(GENERAL!Z113=GENERAL!$AI$2,GENERAL!$AI$2,CONCATENATE(OBSERVACIONES!Y112,"
ESTADO DE POSTVENTAS:  ",GENERAL!Z113))</f>
        <v>OK
ESTADO DE POSTVENTAS:  POSTVENTA CORREGIDA</v>
      </c>
      <c r="Z112" s="51" t="str">
        <f>+IF(GENERAL!AA113=GENERAL!$AI$2,GENERAL!$AI$2,CONCATENATE(OBSERVACIONES!Z112,"
ESTADO DE POSTVENTAS:  ",GENERAL!AA113))</f>
        <v>OK
ESTADO DE POSTVENTAS:  POSTVENTA CORREGIDA</v>
      </c>
      <c r="AA112" s="51" t="str">
        <f>+IF(GENERAL!AB113=GENERAL!$AI$2,GENERAL!$AI$2,CONCATENATE(OBSERVACIONES!AA112,"
ESTADO DE POSTVENTAS:  ",GENERAL!AB113))</f>
        <v>OK
ESTADO DE POSTVENTAS:  POSTVENTA CORREGIDA</v>
      </c>
      <c r="AB112" s="51" t="str">
        <f>+IF(GENERAL!AC113=GENERAL!$AI$2,GENERAL!$AI$2,CONCATENATE(OBSERVACIONES!AB112,"
ESTADO DE POSTVENTAS:  ",GENERAL!AC113))</f>
        <v>OK
ESTADO DE POSTVENTAS:  POSTVENTA CORREGIDA</v>
      </c>
      <c r="AC112" s="51" t="str">
        <f>+IF(GENERAL!AD113=GENERAL!$AI$2,GENERAL!$AI$2,CONCATENATE(OBSERVACIONES!AC112,"
ESTADO DE POSTVENTAS:  ",GENERAL!AD113))</f>
        <v>OK
ESTADO DE POSTVENTAS:  POSTVENTA CORREGIDA</v>
      </c>
      <c r="AD112" s="51" t="str">
        <f>+IF(GENERAL!AE113=GENERAL!$AI$2,GENERAL!$AI$2,CONCATENATE(OBSERVACIONES!AD112,"
ESTADO DE POSTVENTAS:  ",GENERAL!AE113))</f>
        <v>OK
ESTADO DE POSTVENTAS:  POSTVENTA CORREGIDA</v>
      </c>
      <c r="AE112" s="51" t="str">
        <f>+IF(GENERAL!AF113=GENERAL!$AI$2,GENERAL!$AI$2,CONCATENATE(OBSERVACIONES!AE112,"
ESTADO DE POSTVENTAS:  ",GENERAL!AF113))</f>
        <v>OK
ESTADO DE POSTVENTAS:  POSTVENTA CORREGIDA</v>
      </c>
      <c r="AF112" s="51" t="str">
        <f>+IF(GENERAL!AG113=GENERAL!$AI$2,GENERAL!$AI$2,CONCATENATE(OBSERVACIONES!AF112,"
ESTADO DE POSTVENTAS:  ",GENERAL!AG113))</f>
        <v>OK
ESTADO DE POSTVENTAS:  POSTVENTA CORREGIDA</v>
      </c>
      <c r="AG112" s="51" t="str">
        <f>+IF(GENERAL!AH113=GENERAL!$AI$2,GENERAL!$AI$2,CONCATENATE(OBSERVACIONES!AG112,"
ESTADO DE POSTVENTAS:  ",GENERAL!AH113))</f>
        <v>DETALEL PUERTAS
ESTADO DE POSTVENTAS:  TIENE POSTVENTA</v>
      </c>
      <c r="AH112" s="51" t="str">
        <f>+IF(GENERAL!AI113=GENERAL!$AI$2,GENERAL!$AI$2,CONCATENATE(OBSERVACIONES!AH112,"
ESTADO DE POSTVENTAS:  ",GENERAL!AI113))</f>
        <v>OK
ESTADO DE POSTVENTAS:  POSTVENTA CORREGIDA</v>
      </c>
      <c r="AI112" s="51" t="str">
        <f>+IF(GENERAL!AG113=GENERAL!$AI$2,GENERAL!$AI$2,CONCATENATE(OBSERVACIONES!AF112,"
ESTADO DE POSTVENTAS:  ",GENERAL!AG113))</f>
        <v>OK
ESTADO DE POSTVENTAS:  POSTVENTA CORREGIDA</v>
      </c>
      <c r="AJ112" s="51" t="str">
        <f>+IF(GENERAL!AI113=GENERAL!$AI$2,GENERAL!$AI$2,CONCATENATE(OBSERVACIONES!AH112,"
ESTADO DE POSTVENTAS:  ",GENERAL!AI113))</f>
        <v>OK
ESTADO DE POSTVENTAS:  POSTVENTA CORREGIDA</v>
      </c>
      <c r="AK112" s="51" t="str">
        <f>+IF(GENERAL!AJ113=GENERAL!$AI$2,GENERAL!$AI$2,CONCATENATE(OBSERVACIONES!AI112,"
ESTADO DE POSTVENTAS:  ",GENERAL!AJ113))</f>
        <v>OK
ESTADO DE POSTVENTAS:  POSTVENTA CORREGIDA</v>
      </c>
      <c r="AL112" s="51" t="str">
        <f>+IF(GENERAL!AK113=GENERAL!$AI$2,GENERAL!$AI$2,CONCATENATE(OBSERVACIONES!AJ112,"
ESTADO DE POSTVENTAS:  ",GENERAL!AK113))</f>
        <v>OK
ESTADO DE POSTVENTAS:  POSTVENTA CORREGIDA</v>
      </c>
      <c r="AM112" s="51" t="str">
        <f>+IF(GENERAL!AN113=GENERAL!$AI$2,GENERAL!$AI$2,CONCATENATE(OBSERVACIONES!AM112,"
ESTADO DE POSTVENTAS:  ",GENERAL!AN113))</f>
        <v>OK
ESTADO DE POSTVENTAS:  POSTVENTA CORREGIDA</v>
      </c>
      <c r="AN112" s="37">
        <v>1</v>
      </c>
      <c r="AO112" s="37">
        <v>10</v>
      </c>
      <c r="AP112" s="37">
        <v>3</v>
      </c>
      <c r="AQ112" s="37">
        <v>1</v>
      </c>
      <c r="AR112" s="43">
        <v>14</v>
      </c>
      <c r="AS112" s="40">
        <v>11</v>
      </c>
      <c r="AT112" s="37">
        <f>COUNTIFS($D$5:$AM$5,"&lt;&gt;"&amp;CODICIONALES!$A$1,$D$5:$AM$5,"&lt;&gt;"&amp;CODICIONALES!$A$2,$D$5:$AM$5,"&lt;&gt;"&amp;CODICIONALES!$B$2,$D$5:$AM$5,"&lt;&gt;"&amp;CODICIONALES!$C$2)</f>
        <v>6</v>
      </c>
      <c r="AU112" s="43">
        <f>COUNTIFS(D112:AM112,CODICIONALES!$A$2)</f>
        <v>30</v>
      </c>
      <c r="AV112" s="40">
        <f t="shared" si="1"/>
        <v>0</v>
      </c>
    </row>
    <row r="113" spans="1:48" ht="51" customHeight="1" x14ac:dyDescent="0.25">
      <c r="A113" s="110"/>
      <c r="B113" s="2">
        <v>109</v>
      </c>
      <c r="C113" s="21" t="s">
        <v>100</v>
      </c>
      <c r="D113" s="51" t="str">
        <f>+IF(GENERAL!E114=GENERAL!$AI$2,GENERAL!$AI$2,CONCATENATE(OBSERVACIONES!D113,"
ESTADO DE POSTVENTAS:  ",GENERAL!E114))</f>
        <v>NO ENTREGADO
ESTADO DE POSTVENTAS:  TIENE POSTVENTA</v>
      </c>
      <c r="E113" s="51" t="str">
        <f>+IF(GENERAL!F114=GENERAL!$AI$2,GENERAL!$AI$2,CONCATENATE(OBSERVACIONES!E113,"
ESTADO DE POSTVENTAS:  ",GENERAL!F114))</f>
        <v>OK
ESTADO DE POSTVENTAS:  POSTVENTA CORREGIDA</v>
      </c>
      <c r="F113" s="51" t="str">
        <f>+IF(GENERAL!G114=GENERAL!$AI$2,GENERAL!$AI$2,CONCATENATE(OBSERVACIONES!F113,"
ESTADO DE POSTVENTAS:  ",GENERAL!G114))</f>
        <v>OK
ESTADO DE POSTVENTAS:  POSTVENTA CORREGIDA</v>
      </c>
      <c r="G113" s="51" t="str">
        <f>+IF(GENERAL!H114=GENERAL!$AI$2,GENERAL!$AI$2,CONCATENATE(OBSERVACIONES!G113,"
ESTADO DE POSTVENTAS:  ",GENERAL!H114))</f>
        <v>NO ENTREGADO
ESTADO DE POSTVENTAS:  TIENE POSTVENTA</v>
      </c>
      <c r="H113" s="51" t="str">
        <f>+IF(GENERAL!I114=GENERAL!$AI$2,GENERAL!$AI$2,CONCATENATE(OBSERVACIONES!H113,"
ESTADO DE POSTVENTAS:  ",GENERAL!I114))</f>
        <v>OK
ESTADO DE POSTVENTAS:  POSTVENTA CORREGIDA</v>
      </c>
      <c r="I113" s="51" t="str">
        <f>+IF(GENERAL!J114=GENERAL!$AI$2,GENERAL!$AI$2,CONCATENATE(OBSERVACIONES!I113,"
ESTADO DE POSTVENTAS:  ",GENERAL!J114))</f>
        <v>OK
ESTADO DE POSTVENTAS:  POSTVENTA CORREGIDA</v>
      </c>
      <c r="J113" s="51" t="str">
        <f>+IF(GENERAL!K114=GENERAL!$AI$2,GENERAL!$AI$2,CONCATENATE(OBSERVACIONES!J113,"
ESTADO DE POSTVENTAS:  ",GENERAL!K114))</f>
        <v>OK
ESTADO DE POSTVENTAS:  POSTVENTA CORREGIDA</v>
      </c>
      <c r="K113" s="51" t="str">
        <f>+IF(GENERAL!L114=GENERAL!$AI$2,GENERAL!$AI$2,CONCATENATE(OBSERVACIONES!K113,"
ESTADO DE POSTVENTAS:  ",GENERAL!L114))</f>
        <v>OK
ESTADO DE POSTVENTAS:  POSTVENTA CORREGIDA</v>
      </c>
      <c r="L113" s="51" t="str">
        <f>+IF(GENERAL!M114=GENERAL!$AI$2,GENERAL!$AI$2,CONCATENATE(OBSERVACIONES!L113,"
ESTADO DE POSTVENTAS:  ",GENERAL!M114))</f>
        <v>OK
ESTADO DE POSTVENTAS:  POSTVENTA CORREGIDA</v>
      </c>
      <c r="M113" s="70" t="str">
        <f>+IF(GENERAL!N114=GENERAL!$AI$2,GENERAL!$AI$2,CONCATENATE(OBSERVACIONES!M113,"
ESTADO DE POSTVENTAS:  ",GENERAL!N114))</f>
        <v>OK
ESTADO DE POSTVENTAS:  POSTVENTA CORREGIDA</v>
      </c>
      <c r="N113" s="51" t="str">
        <f>+IF(GENERAL!O114=GENERAL!$AI$2,GENERAL!$AI$2,CONCATENATE(OBSERVACIONES!N113,"
ESTADO DE POSTVENTAS:  ",GENERAL!O114))</f>
        <v>OK
ESTADO DE POSTVENTAS:  POSTVENTA CORREGIDA</v>
      </c>
      <c r="O113" s="51" t="str">
        <f>+IF(GENERAL!P114=GENERAL!$AI$2,GENERAL!$AI$2,CONCATENATE(OBSERVACIONES!O113,"
ESTADO DE POSTVENTAS:  ",GENERAL!P114))</f>
        <v>OK
ESTADO DE POSTVENTAS:  POSTVENTA CORREGIDA</v>
      </c>
      <c r="P113" s="70" t="str">
        <f>+IF(GENERAL!Q114=GENERAL!$AI$2,GENERAL!$AI$2,CONCATENATE(OBSERVACIONES!P113,"
ESTADO DE POSTVENTAS:  ",GENERAL!Q114))</f>
        <v>OK
ESTADO DE POSTVENTAS:  POSTVENTA CORREGIDA</v>
      </c>
      <c r="Q113" s="70" t="str">
        <f>+IF(GENERAL!R114=GENERAL!$AI$2,GENERAL!$AI$2,CONCATENATE(OBSERVACIONES!Q113,"
ESTADO DE POSTVENTAS:  ",GENERAL!R114))</f>
        <v>OK
ESTADO DE POSTVENTAS:  POSTVENTA CORREGIDA</v>
      </c>
      <c r="R113" s="51" t="str">
        <f>+IF(GENERAL!S114=GENERAL!$AI$2,GENERAL!$AI$2,CONCATENATE(OBSERVACIONES!R113,"
ESTADO DE POSTVENTAS:  ",GENERAL!S114))</f>
        <v>OK
ESTADO DE POSTVENTAS:  POSTVENTA CORREGIDA</v>
      </c>
      <c r="S113" s="51" t="str">
        <f>+IF(GENERAL!T114=GENERAL!$AI$2,GENERAL!$AI$2,CONCATENATE(OBSERVACIONES!S113,"
ESTADO DE POSTVENTAS:  ",GENERAL!T114))</f>
        <v>OK
ESTADO DE POSTVENTAS:  POSTVENTA CORREGIDA</v>
      </c>
      <c r="T113" s="51" t="str">
        <f>+IF(GENERAL!U114=GENERAL!$AI$2,GENERAL!$AI$2,CONCATENATE(OBSERVACIONES!T113,"
ESTADO DE POSTVENTAS:  ",GENERAL!U114))</f>
        <v>OK
ESTADO DE POSTVENTAS:  POSTVENTA CORREGIDA</v>
      </c>
      <c r="U113" s="51" t="str">
        <f>+IF(GENERAL!V114=GENERAL!$AI$2,GENERAL!$AI$2,CONCATENATE(OBSERVACIONES!U113,"
ESTADO DE POSTVENTAS:  ",GENERAL!V114))</f>
        <v>OK
ESTADO DE POSTVENTAS:  POSTVENTA CORREGIDA</v>
      </c>
      <c r="V113" s="51" t="str">
        <f>+IF(GENERAL!W114=GENERAL!$AI$2,GENERAL!$AI$2,CONCATENATE(OBSERVACIONES!V113,"
ESTADO DE POSTVENTAS:  ",GENERAL!W114))</f>
        <v>OK
ESTADO DE POSTVENTAS:  POSTVENTA CORREGIDA</v>
      </c>
      <c r="W113" s="51" t="str">
        <f>+IF(GENERAL!V114=GENERAL!$AI$2,GENERAL!$AI$2,CONCATENATE(OBSERVACIONES!W113,"
ESTADO DE POSTVENTAS:  ",GENERAL!V114))</f>
        <v>OK
ESTADO DE POSTVENTAS:  POSTVENTA CORREGIDA</v>
      </c>
      <c r="X113" s="51" t="str">
        <f>+IF(GENERAL!W114=GENERAL!$AI$2,GENERAL!$AI$2,CONCATENATE(OBSERVACIONES!X113,"
ESTADO DE POSTVENTAS:  ",GENERAL!W114))</f>
        <v>OK
ESTADO DE POSTVENTAS:  POSTVENTA CORREGIDA</v>
      </c>
      <c r="Y113" s="51" t="str">
        <f>+IF(GENERAL!Z114=GENERAL!$AI$2,GENERAL!$AI$2,CONCATENATE(OBSERVACIONES!Y113,"
ESTADO DE POSTVENTAS:  ",GENERAL!Z114))</f>
        <v>OK
ESTADO DE POSTVENTAS:  POSTVENTA CORREGIDA</v>
      </c>
      <c r="Z113" s="51" t="str">
        <f>+IF(GENERAL!AA114=GENERAL!$AI$2,GENERAL!$AI$2,CONCATENATE(OBSERVACIONES!Z113,"
ESTADO DE POSTVENTAS:  ",GENERAL!AA114))</f>
        <v>OK
ESTADO DE POSTVENTAS:  POSTVENTA CORREGIDA</v>
      </c>
      <c r="AA113" s="51" t="str">
        <f>+IF(GENERAL!AB114=GENERAL!$AI$2,GENERAL!$AI$2,CONCATENATE(OBSERVACIONES!AA113,"
ESTADO DE POSTVENTAS:  ",GENERAL!AB114))</f>
        <v>OK
ESTADO DE POSTVENTAS:  POSTVENTA CORREGIDA</v>
      </c>
      <c r="AB113" s="51" t="str">
        <f>+IF(GENERAL!AC114=GENERAL!$AI$2,GENERAL!$AI$2,CONCATENATE(OBSERVACIONES!AB113,"
ESTADO DE POSTVENTAS:  ",GENERAL!AC114))</f>
        <v>OK
ESTADO DE POSTVENTAS:  POSTVENTA CORREGIDA</v>
      </c>
      <c r="AC113" s="51" t="str">
        <f>+IF(GENERAL!AD114=GENERAL!$AI$2,GENERAL!$AI$2,CONCATENATE(OBSERVACIONES!AC113,"
ESTADO DE POSTVENTAS:  ",GENERAL!AD114))</f>
        <v>OK
ESTADO DE POSTVENTAS:  POSTVENTA CORREGIDA</v>
      </c>
      <c r="AD113" s="51" t="str">
        <f>+IF(GENERAL!AE114=GENERAL!$AI$2,GENERAL!$AI$2,CONCATENATE(OBSERVACIONES!AD113,"
ESTADO DE POSTVENTAS:  ",GENERAL!AE114))</f>
        <v>OK
ESTADO DE POSTVENTAS:  POSTVENTA CORREGIDA</v>
      </c>
      <c r="AE113" s="51" t="str">
        <f>+IF(GENERAL!AF114=GENERAL!$AI$2,GENERAL!$AI$2,CONCATENATE(OBSERVACIONES!AE113,"
ESTADO DE POSTVENTAS:  ",GENERAL!AF114))</f>
        <v>OK
ESTADO DE POSTVENTAS:  POSTVENTA CORREGIDA</v>
      </c>
      <c r="AF113" s="51" t="str">
        <f>+IF(GENERAL!AG114=GENERAL!$AI$2,GENERAL!$AI$2,CONCATENATE(OBSERVACIONES!AF113,"
ESTADO DE POSTVENTAS:  ",GENERAL!AG114))</f>
        <v>OK
ESTADO DE POSTVENTAS:  POSTVENTA CORREGIDA</v>
      </c>
      <c r="AG113" s="51" t="str">
        <f>+IF(GENERAL!AH114=GENERAL!$AI$2,GENERAL!$AI$2,CONCATENATE(OBSERVACIONES!AG113,"
ESTADO DE POSTVENTAS:  ",GENERAL!AH114))</f>
        <v>OK
ESTADO DE POSTVENTAS:  POSTVENTA CORREGIDA</v>
      </c>
      <c r="AH113" s="51" t="str">
        <f>+IF(GENERAL!AI114=GENERAL!$AI$2,GENERAL!$AI$2,CONCATENATE(OBSERVACIONES!AH113,"
ESTADO DE POSTVENTAS:  ",GENERAL!AI114))</f>
        <v>OK
ESTADO DE POSTVENTAS:  POSTVENTA CORREGIDA</v>
      </c>
      <c r="AI113" s="51" t="str">
        <f>+IF(GENERAL!AG114=GENERAL!$AI$2,GENERAL!$AI$2,CONCATENATE(OBSERVACIONES!AF113,"
ESTADO DE POSTVENTAS:  ",GENERAL!AG114))</f>
        <v>OK
ESTADO DE POSTVENTAS:  POSTVENTA CORREGIDA</v>
      </c>
      <c r="AJ113" s="51" t="str">
        <f>+IF(GENERAL!AI114=GENERAL!$AI$2,GENERAL!$AI$2,CONCATENATE(OBSERVACIONES!AH113,"
ESTADO DE POSTVENTAS:  ",GENERAL!AI114))</f>
        <v>OK
ESTADO DE POSTVENTAS:  POSTVENTA CORREGIDA</v>
      </c>
      <c r="AK113" s="51" t="str">
        <f>+IF(GENERAL!AJ114=GENERAL!$AI$2,GENERAL!$AI$2,CONCATENATE(OBSERVACIONES!AI113,"
ESTADO DE POSTVENTAS:  ",GENERAL!AJ114))</f>
        <v>OK
ESTADO DE POSTVENTAS:  POSTVENTA CORREGIDA</v>
      </c>
      <c r="AL113" s="51" t="str">
        <f>+IF(GENERAL!AK114=GENERAL!$AI$2,GENERAL!$AI$2,CONCATENATE(OBSERVACIONES!AJ113,"
ESTADO DE POSTVENTAS:  ",GENERAL!AK114))</f>
        <v>OK
ESTADO DE POSTVENTAS:  POSTVENTA CORREGIDA</v>
      </c>
      <c r="AM113" s="51" t="str">
        <f>+IF(GENERAL!AN114=GENERAL!$AI$2,GENERAL!$AI$2,CONCATENATE(OBSERVACIONES!AM113,"
ESTADO DE POSTVENTAS:  ",GENERAL!AN114))</f>
        <v>OK
ESTADO DE POSTVENTAS:  POSTVENTA CORREGIDA</v>
      </c>
      <c r="AN113" s="37">
        <v>0</v>
      </c>
      <c r="AO113" s="37">
        <v>11</v>
      </c>
      <c r="AP113" s="37">
        <v>3</v>
      </c>
      <c r="AQ113" s="37">
        <v>0</v>
      </c>
      <c r="AR113" s="43">
        <v>14</v>
      </c>
      <c r="AS113" s="40">
        <v>12</v>
      </c>
      <c r="AT113" s="37">
        <f>COUNTIFS($D$5:$AM$5,"&lt;&gt;"&amp;CODICIONALES!$A$1,$D$5:$AM$5,"&lt;&gt;"&amp;CODICIONALES!$A$2,$D$5:$AM$5,"&lt;&gt;"&amp;CODICIONALES!$B$2,$D$5:$AM$5,"&lt;&gt;"&amp;CODICIONALES!$C$2)</f>
        <v>6</v>
      </c>
      <c r="AU113" s="43">
        <f>COUNTIFS(D113:AM113,CODICIONALES!$A$2)</f>
        <v>34</v>
      </c>
      <c r="AV113" s="40">
        <f t="shared" si="1"/>
        <v>-4</v>
      </c>
    </row>
    <row r="114" spans="1:48" ht="51" customHeight="1" x14ac:dyDescent="0.25">
      <c r="A114" s="110"/>
      <c r="B114" s="2">
        <v>110</v>
      </c>
      <c r="C114" s="20" t="s">
        <v>42</v>
      </c>
      <c r="D114" s="51" t="str">
        <f>+IF(GENERAL!E115=GENERAL!$AI$2,GENERAL!$AI$2,CONCATENATE(OBSERVACIONES!D114,"
ESTADO DE POSTVENTAS:  ",GENERAL!E115))</f>
        <v>NO ENTREGADO
ESTADO DE POSTVENTAS:  TIENE POSTVENTA</v>
      </c>
      <c r="E114" s="51" t="str">
        <f>+IF(GENERAL!F115=GENERAL!$AI$2,GENERAL!$AI$2,CONCATENATE(OBSERVACIONES!E114,"
ESTADO DE POSTVENTAS:  ",GENERAL!F115))</f>
        <v>OK
ESTADO DE POSTVENTAS:  POSTVENTA CORREGIDA</v>
      </c>
      <c r="F114" s="51" t="str">
        <f>+IF(GENERAL!G115=GENERAL!$AI$2,GENERAL!$AI$2,CONCATENATE(OBSERVACIONES!F114,"
ESTADO DE POSTVENTAS:  ",GENERAL!G115))</f>
        <v>OK
ESTADO DE POSTVENTAS:  POSTVENTA CORREGIDA</v>
      </c>
      <c r="G114" s="51" t="str">
        <f>+IF(GENERAL!H115=GENERAL!$AI$2,GENERAL!$AI$2,CONCATENATE(OBSERVACIONES!G114,"
ESTADO DE POSTVENTAS:  ",GENERAL!H115))</f>
        <v>NO ENTREGADO
ESTADO DE POSTVENTAS:  TIENE POSTVENTA</v>
      </c>
      <c r="H114" s="51" t="str">
        <f>+IF(GENERAL!I115=GENERAL!$AI$2,GENERAL!$AI$2,CONCATENATE(OBSERVACIONES!H114,"
ESTADO DE POSTVENTAS:  ",GENERAL!I115))</f>
        <v>OK
ESTADO DE POSTVENTAS:  POSTVENTA CORREGIDA</v>
      </c>
      <c r="I114" s="51" t="str">
        <f>+IF(GENERAL!J115=GENERAL!$AI$2,GENERAL!$AI$2,CONCATENATE(OBSERVACIONES!I114,"
ESTADO DE POSTVENTAS:  ",GENERAL!J115))</f>
        <v>OK
ESTADO DE POSTVENTAS:  POSTVENTA CORREGIDA</v>
      </c>
      <c r="J114" s="51" t="str">
        <f>+IF(GENERAL!K115=GENERAL!$AI$2,GENERAL!$AI$2,CONCATENATE(OBSERVACIONES!J114,"
ESTADO DE POSTVENTAS:  ",GENERAL!K115))</f>
        <v>OK
ESTADO DE POSTVENTAS:  POSTVENTA CORREGIDA</v>
      </c>
      <c r="K114" s="51" t="str">
        <f>+IF(GENERAL!L115=GENERAL!$AI$2,GENERAL!$AI$2,CONCATENATE(OBSERVACIONES!K114,"
ESTADO DE POSTVENTAS:  ",GENERAL!L115))</f>
        <v>OK
ESTADO DE POSTVENTAS:  POSTVENTA CORREGIDA</v>
      </c>
      <c r="L114" s="51" t="str">
        <f>+IF(GENERAL!M115=GENERAL!$AI$2,GENERAL!$AI$2,CONCATENATE(OBSERVACIONES!L114,"
ESTADO DE POSTVENTAS:  ",GENERAL!M115))</f>
        <v>OK
ESTADO DE POSTVENTAS:  POSTVENTA CORREGIDA</v>
      </c>
      <c r="M114" s="70" t="str">
        <f>+IF(GENERAL!N115=GENERAL!$AI$2,GENERAL!$AI$2,CONCATENATE(OBSERVACIONES!M114,"
ESTADO DE POSTVENTAS:  ",GENERAL!N115))</f>
        <v>OK
ESTADO DE POSTVENTAS:  POSTVENTA CORREGIDA</v>
      </c>
      <c r="N114" s="51" t="str">
        <f>+IF(GENERAL!O115=GENERAL!$AI$2,GENERAL!$AI$2,CONCATENATE(OBSERVACIONES!N114,"
ESTADO DE POSTVENTAS:  ",GENERAL!O115))</f>
        <v>OK
ESTADO DE POSTVENTAS:  POSTVENTA CORREGIDA</v>
      </c>
      <c r="O114" s="51" t="str">
        <f>+IF(GENERAL!P115=GENERAL!$AI$2,GENERAL!$AI$2,CONCATENATE(OBSERVACIONES!O114,"
ESTADO DE POSTVENTAS:  ",GENERAL!P115))</f>
        <v>OK
ESTADO DE POSTVENTAS:  POSTVENTA CORREGIDA</v>
      </c>
      <c r="P114" s="70" t="str">
        <f>+IF(GENERAL!Q115=GENERAL!$AI$2,GENERAL!$AI$2,CONCATENATE(OBSERVACIONES!P114,"
ESTADO DE POSTVENTAS:  ",GENERAL!Q115))</f>
        <v>OK
ESTADO DE POSTVENTAS:  POSTVENTA CORREGIDA</v>
      </c>
      <c r="Q114" s="70" t="str">
        <f>+IF(GENERAL!R115=GENERAL!$AI$2,GENERAL!$AI$2,CONCATENATE(OBSERVACIONES!Q114,"
ESTADO DE POSTVENTAS:  ",GENERAL!R115))</f>
        <v>OK
ESTADO DE POSTVENTAS:  POSTVENTA CORREGIDA</v>
      </c>
      <c r="R114" s="51" t="str">
        <f>+IF(GENERAL!S115=GENERAL!$AI$2,GENERAL!$AI$2,CONCATENATE(OBSERVACIONES!R114,"
ESTADO DE POSTVENTAS:  ",GENERAL!S115))</f>
        <v>OK
ESTADO DE POSTVENTAS:  POSTVENTA CORREGIDA</v>
      </c>
      <c r="S114" s="51" t="str">
        <f>+IF(GENERAL!T115=GENERAL!$AI$2,GENERAL!$AI$2,CONCATENATE(OBSERVACIONES!S114,"
ESTADO DE POSTVENTAS:  ",GENERAL!T115))</f>
        <v>OK
ESTADO DE POSTVENTAS:  POSTVENTA CORREGIDA</v>
      </c>
      <c r="T114" s="51" t="str">
        <f>+IF(GENERAL!U115=GENERAL!$AI$2,GENERAL!$AI$2,CONCATENATE(OBSERVACIONES!T114,"
ESTADO DE POSTVENTAS:  ",GENERAL!U115))</f>
        <v>OK
ESTADO DE POSTVENTAS:  POSTVENTA CORREGIDA</v>
      </c>
      <c r="U114" s="51" t="str">
        <f>+IF(GENERAL!V115=GENERAL!$AI$2,GENERAL!$AI$2,CONCATENATE(OBSERVACIONES!U114,"
ESTADO DE POSTVENTAS:  ",GENERAL!V115))</f>
        <v>OK
ESTADO DE POSTVENTAS:  POSTVENTA CORREGIDA</v>
      </c>
      <c r="V114" s="51" t="str">
        <f>+IF(GENERAL!W115=GENERAL!$AI$2,GENERAL!$AI$2,CONCATENATE(OBSERVACIONES!V114,"
ESTADO DE POSTVENTAS:  ",GENERAL!W115))</f>
        <v>OK
ESTADO DE POSTVENTAS:  POSTVENTA CORREGIDA</v>
      </c>
      <c r="W114" s="51" t="str">
        <f>+IF(GENERAL!V115=GENERAL!$AI$2,GENERAL!$AI$2,CONCATENATE(OBSERVACIONES!W114,"
ESTADO DE POSTVENTAS:  ",GENERAL!V115))</f>
        <v>OK
ESTADO DE POSTVENTAS:  POSTVENTA CORREGIDA</v>
      </c>
      <c r="X114" s="51" t="str">
        <f>+IF(GENERAL!W115=GENERAL!$AI$2,GENERAL!$AI$2,CONCATENATE(OBSERVACIONES!X114,"
ESTADO DE POSTVENTAS:  ",GENERAL!W115))</f>
        <v>OK
ESTADO DE POSTVENTAS:  POSTVENTA CORREGIDA</v>
      </c>
      <c r="Y114" s="51" t="str">
        <f>+IF(GENERAL!Z115=GENERAL!$AI$2,GENERAL!$AI$2,CONCATENATE(OBSERVACIONES!Y114,"
ESTADO DE POSTVENTAS:  ",GENERAL!Z115))</f>
        <v>OK
ESTADO DE POSTVENTAS:  POSTVENTA CORREGIDA</v>
      </c>
      <c r="Z114" s="51" t="str">
        <f>+IF(GENERAL!AA115=GENERAL!$AI$2,GENERAL!$AI$2,CONCATENATE(OBSERVACIONES!Z114,"
ESTADO DE POSTVENTAS:  ",GENERAL!AA115))</f>
        <v>OK
ESTADO DE POSTVENTAS:  POSTVENTA CORREGIDA</v>
      </c>
      <c r="AA114" s="51" t="str">
        <f>+IF(GENERAL!AB115=GENERAL!$AI$2,GENERAL!$AI$2,CONCATENATE(OBSERVACIONES!AA114,"
ESTADO DE POSTVENTAS:  ",GENERAL!AB115))</f>
        <v>OK
ESTADO DE POSTVENTAS:  POSTVENTA CORREGIDA</v>
      </c>
      <c r="AB114" s="51" t="str">
        <f>+IF(GENERAL!AC115=GENERAL!$AI$2,GENERAL!$AI$2,CONCATENATE(OBSERVACIONES!AB114,"
ESTADO DE POSTVENTAS:  ",GENERAL!AC115))</f>
        <v>OK
ESTADO DE POSTVENTAS:  POSTVENTA CORREGIDA</v>
      </c>
      <c r="AC114" s="51" t="str">
        <f>+IF(GENERAL!AD115=GENERAL!$AI$2,GENERAL!$AI$2,CONCATENATE(OBSERVACIONES!AC114,"
ESTADO DE POSTVENTAS:  ",GENERAL!AD115))</f>
        <v>OK
ESTADO DE POSTVENTAS:  POSTVENTA CORREGIDA</v>
      </c>
      <c r="AD114" s="51" t="str">
        <f>+IF(GENERAL!AE115=GENERAL!$AI$2,GENERAL!$AI$2,CONCATENATE(OBSERVACIONES!AD114,"
ESTADO DE POSTVENTAS:  ",GENERAL!AE115))</f>
        <v>OK
ESTADO DE POSTVENTAS:  POSTVENTA CORREGIDA</v>
      </c>
      <c r="AE114" s="51" t="str">
        <f>+IF(GENERAL!AF115=GENERAL!$AI$2,GENERAL!$AI$2,CONCATENATE(OBSERVACIONES!AE114,"
ESTADO DE POSTVENTAS:  ",GENERAL!AF115))</f>
        <v>OK
ESTADO DE POSTVENTAS:  POSTVENTA CORREGIDA</v>
      </c>
      <c r="AF114" s="51" t="str">
        <f>+IF(GENERAL!AG115=GENERAL!$AI$2,GENERAL!$AI$2,CONCATENATE(OBSERVACIONES!AF114,"
ESTADO DE POSTVENTAS:  ",GENERAL!AG115))</f>
        <v>OK
ESTADO DE POSTVENTAS:  POSTVENTA CORREGIDA</v>
      </c>
      <c r="AG114" s="51" t="str">
        <f>+IF(GENERAL!AH115=GENERAL!$AI$2,GENERAL!$AI$2,CONCATENATE(OBSERVACIONES!AG114,"
ESTADO DE POSTVENTAS:  ",GENERAL!AH115))</f>
        <v>OK
ESTADO DE POSTVENTAS:  POSTVENTA CORREGIDA</v>
      </c>
      <c r="AH114" s="51" t="str">
        <f>+IF(GENERAL!AI115=GENERAL!$AI$2,GENERAL!$AI$2,CONCATENATE(OBSERVACIONES!AH114,"
ESTADO DE POSTVENTAS:  ",GENERAL!AI115))</f>
        <v>OK
ESTADO DE POSTVENTAS:  POSTVENTA CORREGIDA</v>
      </c>
      <c r="AI114" s="51" t="str">
        <f>+IF(GENERAL!AG115=GENERAL!$AI$2,GENERAL!$AI$2,CONCATENATE(OBSERVACIONES!AF114,"
ESTADO DE POSTVENTAS:  ",GENERAL!AG115))</f>
        <v>OK
ESTADO DE POSTVENTAS:  POSTVENTA CORREGIDA</v>
      </c>
      <c r="AJ114" s="51" t="str">
        <f>+IF(GENERAL!AI115=GENERAL!$AI$2,GENERAL!$AI$2,CONCATENATE(OBSERVACIONES!AH114,"
ESTADO DE POSTVENTAS:  ",GENERAL!AI115))</f>
        <v>OK
ESTADO DE POSTVENTAS:  POSTVENTA CORREGIDA</v>
      </c>
      <c r="AK114" s="51" t="str">
        <f>+IF(GENERAL!AJ115=GENERAL!$AI$2,GENERAL!$AI$2,CONCATENATE(OBSERVACIONES!AI114,"
ESTADO DE POSTVENTAS:  ",GENERAL!AJ115))</f>
        <v>OK
ESTADO DE POSTVENTAS:  POSTVENTA CORREGIDA</v>
      </c>
      <c r="AL114" s="51" t="str">
        <f>+IF(GENERAL!AK115=GENERAL!$AI$2,GENERAL!$AI$2,CONCATENATE(OBSERVACIONES!AJ114,"
ESTADO DE POSTVENTAS:  ",GENERAL!AK115))</f>
        <v>OK
ESTADO DE POSTVENTAS:  POSTVENTA CORREGIDA</v>
      </c>
      <c r="AM114" s="51" t="str">
        <f>+IF(GENERAL!AN115=GENERAL!$AI$2,GENERAL!$AI$2,CONCATENATE(OBSERVACIONES!AM114,"
ESTADO DE POSTVENTAS:  ",GENERAL!AN115))</f>
        <v>OK
ESTADO DE POSTVENTAS:  POSTVENTA CORREGIDA</v>
      </c>
      <c r="AN114" s="37">
        <v>0</v>
      </c>
      <c r="AO114" s="37">
        <v>11</v>
      </c>
      <c r="AP114" s="37">
        <v>3</v>
      </c>
      <c r="AQ114" s="37">
        <v>0</v>
      </c>
      <c r="AR114" s="43">
        <v>14</v>
      </c>
      <c r="AS114" s="40">
        <v>12</v>
      </c>
      <c r="AT114" s="37">
        <f>COUNTIFS($D$5:$AM$5,"&lt;&gt;"&amp;CODICIONALES!$A$1,$D$5:$AM$5,"&lt;&gt;"&amp;CODICIONALES!$A$2,$D$5:$AM$5,"&lt;&gt;"&amp;CODICIONALES!$B$2,$D$5:$AM$5,"&lt;&gt;"&amp;CODICIONALES!$C$2)</f>
        <v>6</v>
      </c>
      <c r="AU114" s="43">
        <f>COUNTIFS(D114:AM114,CODICIONALES!$A$2)</f>
        <v>34</v>
      </c>
      <c r="AV114" s="40">
        <f t="shared" si="1"/>
        <v>-4</v>
      </c>
    </row>
    <row r="115" spans="1:48" ht="51" customHeight="1" x14ac:dyDescent="0.25">
      <c r="A115" s="110"/>
      <c r="B115" s="2">
        <v>111</v>
      </c>
      <c r="C115" s="21" t="s">
        <v>45</v>
      </c>
      <c r="D115" s="51" t="str">
        <f>+IF(GENERAL!E116=GENERAL!$AI$2,GENERAL!$AI$2,CONCATENATE(OBSERVACIONES!D115,"
ESTADO DE POSTVENTAS:  ",GENERAL!E116))</f>
        <v>NO ENTREGADO
ESTADO DE POSTVENTAS:  TIENE POSTVENTA</v>
      </c>
      <c r="E115" s="51" t="str">
        <f>+IF(GENERAL!F116=GENERAL!$AI$2,GENERAL!$AI$2,CONCATENATE(OBSERVACIONES!E115,"
ESTADO DE POSTVENTAS:  ",GENERAL!F116))</f>
        <v>OK
ESTADO DE POSTVENTAS:  POSTVENTA CORREGIDA</v>
      </c>
      <c r="F115" s="51" t="str">
        <f>+IF(GENERAL!G116=GENERAL!$AI$2,GENERAL!$AI$2,CONCATENATE(OBSERVACIONES!F115,"
ESTADO DE POSTVENTAS:  ",GENERAL!G116))</f>
        <v>OK
ESTADO DE POSTVENTAS:  POSTVENTA CORREGIDA</v>
      </c>
      <c r="G115" s="51" t="str">
        <f>+IF(GENERAL!H116=GENERAL!$AI$2,GENERAL!$AI$2,CONCATENATE(OBSERVACIONES!G115,"
ESTADO DE POSTVENTAS:  ",GENERAL!H116))</f>
        <v>NO ENTREGADO
ESTADO DE POSTVENTAS:  TIENE POSTVENTA</v>
      </c>
      <c r="H115" s="51" t="str">
        <f>+IF(GENERAL!I116=GENERAL!$AI$2,GENERAL!$AI$2,CONCATENATE(OBSERVACIONES!H115,"
ESTADO DE POSTVENTAS:  ",GENERAL!I116))</f>
        <v>OK
ESTADO DE POSTVENTAS:  POSTVENTA CORREGIDA</v>
      </c>
      <c r="I115" s="51" t="str">
        <f>+IF(GENERAL!J116=GENERAL!$AI$2,GENERAL!$AI$2,CONCATENATE(OBSERVACIONES!I115,"
ESTADO DE POSTVENTAS:  ",GENERAL!J116))</f>
        <v>OK
ESTADO DE POSTVENTAS:  POSTVENTA CORREGIDA</v>
      </c>
      <c r="J115" s="51" t="str">
        <f>+IF(GENERAL!K116=GENERAL!$AI$2,GENERAL!$AI$2,CONCATENATE(OBSERVACIONES!J115,"
ESTADO DE POSTVENTAS:  ",GENERAL!K116))</f>
        <v>OK
ESTADO DE POSTVENTAS:  POSTVENTA CORREGIDA</v>
      </c>
      <c r="K115" s="51" t="str">
        <f>+IF(GENERAL!L116=GENERAL!$AI$2,GENERAL!$AI$2,CONCATENATE(OBSERVACIONES!K115,"
ESTADO DE POSTVENTAS:  ",GENERAL!L116))</f>
        <v>OK
ESTADO DE POSTVENTAS:  POSTVENTA CORREGIDA</v>
      </c>
      <c r="L115" s="51" t="str">
        <f>+IF(GENERAL!M116=GENERAL!$AI$2,GENERAL!$AI$2,CONCATENATE(OBSERVACIONES!L115,"
ESTADO DE POSTVENTAS:  ",GENERAL!M116))</f>
        <v>OK
ESTADO DE POSTVENTAS:  POSTVENTA CORREGIDA</v>
      </c>
      <c r="M115" s="70" t="str">
        <f>+IF(GENERAL!N116=GENERAL!$AI$2,GENERAL!$AI$2,CONCATENATE(OBSERVACIONES!M115,"
ESTADO DE POSTVENTAS:  ",GENERAL!N116))</f>
        <v>OK
ESTADO DE POSTVENTAS:  POSTVENTA CORREGIDA</v>
      </c>
      <c r="N115" s="51" t="str">
        <f>+IF(GENERAL!O116=GENERAL!$AI$2,GENERAL!$AI$2,CONCATENATE(OBSERVACIONES!N115,"
ESTADO DE POSTVENTAS:  ",GENERAL!O116))</f>
        <v>OK
ESTADO DE POSTVENTAS:  POSTVENTA CORREGIDA</v>
      </c>
      <c r="O115" s="51" t="str">
        <f>+IF(GENERAL!P116=GENERAL!$AI$2,GENERAL!$AI$2,CONCATENATE(OBSERVACIONES!O115,"
ESTADO DE POSTVENTAS:  ",GENERAL!P116))</f>
        <v>OK
ESTADO DE POSTVENTAS:  POSTVENTA CORREGIDA</v>
      </c>
      <c r="P115" s="70" t="str">
        <f>+IF(GENERAL!Q116=GENERAL!$AI$2,GENERAL!$AI$2,CONCATENATE(OBSERVACIONES!P115,"
ESTADO DE POSTVENTAS:  ",GENERAL!Q116))</f>
        <v>OK
ESTADO DE POSTVENTAS:  POSTVENTA CORREGIDA</v>
      </c>
      <c r="Q115" s="70" t="str">
        <f>+IF(GENERAL!R116=GENERAL!$AI$2,GENERAL!$AI$2,CONCATENATE(OBSERVACIONES!Q115,"
ESTADO DE POSTVENTAS:  ",GENERAL!R116))</f>
        <v>OK
ESTADO DE POSTVENTAS:  POSTVENTA CORREGIDA</v>
      </c>
      <c r="R115" s="51" t="str">
        <f>+IF(GENERAL!S116=GENERAL!$AI$2,GENERAL!$AI$2,CONCATENATE(OBSERVACIONES!R115,"
ESTADO DE POSTVENTAS:  ",GENERAL!S116))</f>
        <v>OK
ESTADO DE POSTVENTAS:  POSTVENTA CORREGIDA</v>
      </c>
      <c r="S115" s="51" t="str">
        <f>+IF(GENERAL!T116=GENERAL!$AI$2,GENERAL!$AI$2,CONCATENATE(OBSERVACIONES!S115,"
ESTADO DE POSTVENTAS:  ",GENERAL!T116))</f>
        <v>OK
ESTADO DE POSTVENTAS:  POSTVENTA CORREGIDA</v>
      </c>
      <c r="T115" s="51" t="str">
        <f>+IF(GENERAL!U116=GENERAL!$AI$2,GENERAL!$AI$2,CONCATENATE(OBSERVACIONES!T115,"
ESTADO DE POSTVENTAS:  ",GENERAL!U116))</f>
        <v>OK
ESTADO DE POSTVENTAS:  POSTVENTA CORREGIDA</v>
      </c>
      <c r="U115" s="51" t="str">
        <f>+IF(GENERAL!V116=GENERAL!$AI$2,GENERAL!$AI$2,CONCATENATE(OBSERVACIONES!U115,"
ESTADO DE POSTVENTAS:  ",GENERAL!V116))</f>
        <v>OK
ESTADO DE POSTVENTAS:  POSTVENTA CORREGIDA</v>
      </c>
      <c r="V115" s="51" t="str">
        <f>+IF(GENERAL!W116=GENERAL!$AI$2,GENERAL!$AI$2,CONCATENATE(OBSERVACIONES!V115,"
ESTADO DE POSTVENTAS:  ",GENERAL!W116))</f>
        <v>OK
ESTADO DE POSTVENTAS:  POSTVENTA CORREGIDA</v>
      </c>
      <c r="W115" s="51" t="str">
        <f>+IF(GENERAL!V116=GENERAL!$AI$2,GENERAL!$AI$2,CONCATENATE(OBSERVACIONES!W115,"
ESTADO DE POSTVENTAS:  ",GENERAL!V116))</f>
        <v>OK
ESTADO DE POSTVENTAS:  POSTVENTA CORREGIDA</v>
      </c>
      <c r="X115" s="51" t="str">
        <f>+IF(GENERAL!W116=GENERAL!$AI$2,GENERAL!$AI$2,CONCATENATE(OBSERVACIONES!X115,"
ESTADO DE POSTVENTAS:  ",GENERAL!W116))</f>
        <v>OK
ESTADO DE POSTVENTAS:  POSTVENTA CORREGIDA</v>
      </c>
      <c r="Y115" s="51" t="str">
        <f>+IF(GENERAL!Z116=GENERAL!$AI$2,GENERAL!$AI$2,CONCATENATE(OBSERVACIONES!Y115,"
ESTADO DE POSTVENTAS:  ",GENERAL!Z116))</f>
        <v>OK
ESTADO DE POSTVENTAS:  POSTVENTA CORREGIDA</v>
      </c>
      <c r="Z115" s="51" t="str">
        <f>+IF(GENERAL!AA116=GENERAL!$AI$2,GENERAL!$AI$2,CONCATENATE(OBSERVACIONES!Z115,"
ESTADO DE POSTVENTAS:  ",GENERAL!AA116))</f>
        <v>OK
ESTADO DE POSTVENTAS:  POSTVENTA CORREGIDA</v>
      </c>
      <c r="AA115" s="51" t="str">
        <f>+IF(GENERAL!AB116=GENERAL!$AI$2,GENERAL!$AI$2,CONCATENATE(OBSERVACIONES!AA115,"
ESTADO DE POSTVENTAS:  ",GENERAL!AB116))</f>
        <v>OK
ESTADO DE POSTVENTAS:  POSTVENTA CORREGIDA</v>
      </c>
      <c r="AB115" s="51" t="str">
        <f>+IF(GENERAL!AC116=GENERAL!$AI$2,GENERAL!$AI$2,CONCATENATE(OBSERVACIONES!AB115,"
ESTADO DE POSTVENTAS:  ",GENERAL!AC116))</f>
        <v>OK
ESTADO DE POSTVENTAS:  POSTVENTA CORREGIDA</v>
      </c>
      <c r="AC115" s="51" t="str">
        <f>+IF(GENERAL!AD116=GENERAL!$AI$2,GENERAL!$AI$2,CONCATENATE(OBSERVACIONES!AC115,"
ESTADO DE POSTVENTAS:  ",GENERAL!AD116))</f>
        <v>OK
ESTADO DE POSTVENTAS:  POSTVENTA CORREGIDA</v>
      </c>
      <c r="AD115" s="51" t="str">
        <f>+IF(GENERAL!AE116=GENERAL!$AI$2,GENERAL!$AI$2,CONCATENATE(OBSERVACIONES!AD115,"
ESTADO DE POSTVENTAS:  ",GENERAL!AE116))</f>
        <v>OK
ESTADO DE POSTVENTAS:  POSTVENTA CORREGIDA</v>
      </c>
      <c r="AE115" s="51" t="str">
        <f>+IF(GENERAL!AF116=GENERAL!$AI$2,GENERAL!$AI$2,CONCATENATE(OBSERVACIONES!AE115,"
ESTADO DE POSTVENTAS:  ",GENERAL!AF116))</f>
        <v>OK
ESTADO DE POSTVENTAS:  POSTVENTA CORREGIDA</v>
      </c>
      <c r="AF115" s="51" t="str">
        <f>+IF(GENERAL!AG116=GENERAL!$AI$2,GENERAL!$AI$2,CONCATENATE(OBSERVACIONES!AF115,"
ESTADO DE POSTVENTAS:  ",GENERAL!AG116))</f>
        <v>OK
ESTADO DE POSTVENTAS:  POSTVENTA CORREGIDA</v>
      </c>
      <c r="AG115" s="51" t="str">
        <f>+IF(GENERAL!AH116=GENERAL!$AI$2,GENERAL!$AI$2,CONCATENATE(OBSERVACIONES!AG115,"
ESTADO DE POSTVENTAS:  ",GENERAL!AH116))</f>
        <v>OK
ESTADO DE POSTVENTAS:  POSTVENTA CORREGIDA</v>
      </c>
      <c r="AH115" s="51" t="str">
        <f>+IF(GENERAL!AI116=GENERAL!$AI$2,GENERAL!$AI$2,CONCATENATE(OBSERVACIONES!AH115,"
ESTADO DE POSTVENTAS:  ",GENERAL!AI116))</f>
        <v>OK
ESTADO DE POSTVENTAS:  POSTVENTA CORREGIDA</v>
      </c>
      <c r="AI115" s="51" t="str">
        <f>+IF(GENERAL!AG116=GENERAL!$AI$2,GENERAL!$AI$2,CONCATENATE(OBSERVACIONES!AF115,"
ESTADO DE POSTVENTAS:  ",GENERAL!AG116))</f>
        <v>OK
ESTADO DE POSTVENTAS:  POSTVENTA CORREGIDA</v>
      </c>
      <c r="AJ115" s="51" t="str">
        <f>+IF(GENERAL!AI116=GENERAL!$AI$2,GENERAL!$AI$2,CONCATENATE(OBSERVACIONES!AH115,"
ESTADO DE POSTVENTAS:  ",GENERAL!AI116))</f>
        <v>OK
ESTADO DE POSTVENTAS:  POSTVENTA CORREGIDA</v>
      </c>
      <c r="AK115" s="51" t="str">
        <f>+IF(GENERAL!AJ116=GENERAL!$AI$2,GENERAL!$AI$2,CONCATENATE(OBSERVACIONES!AI115,"
ESTADO DE POSTVENTAS:  ",GENERAL!AJ116))</f>
        <v>OK
ESTADO DE POSTVENTAS:  POSTVENTA CORREGIDA</v>
      </c>
      <c r="AL115" s="51" t="str">
        <f>+IF(GENERAL!AK116=GENERAL!$AI$2,GENERAL!$AI$2,CONCATENATE(OBSERVACIONES!AJ115,"
ESTADO DE POSTVENTAS:  ",GENERAL!AK116))</f>
        <v>OK
ESTADO DE POSTVENTAS:  POSTVENTA CORREGIDA</v>
      </c>
      <c r="AM115" s="51" t="str">
        <f>+IF(GENERAL!AN116=GENERAL!$AI$2,GENERAL!$AI$2,CONCATENATE(OBSERVACIONES!AM115,"
ESTADO DE POSTVENTAS:  ",GENERAL!AN116))</f>
        <v>OK
ESTADO DE POSTVENTAS:  POSTVENTA CORREGIDA</v>
      </c>
      <c r="AN115" s="37">
        <v>1</v>
      </c>
      <c r="AO115" s="37">
        <v>10</v>
      </c>
      <c r="AP115" s="37">
        <v>3</v>
      </c>
      <c r="AQ115" s="37">
        <v>1</v>
      </c>
      <c r="AR115" s="43">
        <v>13</v>
      </c>
      <c r="AS115" s="40">
        <v>12</v>
      </c>
      <c r="AT115" s="37">
        <f>COUNTIFS($D$5:$AM$5,"&lt;&gt;"&amp;CODICIONALES!$A$1,$D$5:$AM$5,"&lt;&gt;"&amp;CODICIONALES!$A$2,$D$5:$AM$5,"&lt;&gt;"&amp;CODICIONALES!$B$2,$D$5:$AM$5,"&lt;&gt;"&amp;CODICIONALES!$C$2)</f>
        <v>6</v>
      </c>
      <c r="AU115" s="43">
        <f>COUNTIFS(D115:AM115,CODICIONALES!$A$2)</f>
        <v>34</v>
      </c>
      <c r="AV115" s="40">
        <f t="shared" si="1"/>
        <v>-4</v>
      </c>
    </row>
    <row r="116" spans="1:48" ht="51" customHeight="1" x14ac:dyDescent="0.25">
      <c r="A116" s="110"/>
      <c r="B116" s="2">
        <v>112</v>
      </c>
      <c r="C116" s="21" t="s">
        <v>46</v>
      </c>
      <c r="D116" s="51" t="str">
        <f>+IF(GENERAL!E117=GENERAL!$AI$2,GENERAL!$AI$2,CONCATENATE(OBSERVACIONES!D116,"
ESTADO DE POSTVENTAS:  ",GENERAL!E117))</f>
        <v>NO ENTREGADO
ESTADO DE POSTVENTAS:  TIENE POSTVENTA</v>
      </c>
      <c r="E116" s="51" t="str">
        <f>+IF(GENERAL!F117=GENERAL!$AI$2,GENERAL!$AI$2,CONCATENATE(OBSERVACIONES!E116,"
ESTADO DE POSTVENTAS:  ",GENERAL!F117))</f>
        <v>OK
ESTADO DE POSTVENTAS:  POSTVENTA CORREGIDA</v>
      </c>
      <c r="F116" s="51" t="str">
        <f>+IF(GENERAL!G117=GENERAL!$AI$2,GENERAL!$AI$2,CONCATENATE(OBSERVACIONES!F116,"
ESTADO DE POSTVENTAS:  ",GENERAL!G117))</f>
        <v>OK
ESTADO DE POSTVENTAS:  POSTVENTA CORREGIDA</v>
      </c>
      <c r="G116" s="51" t="str">
        <f>+IF(GENERAL!H117=GENERAL!$AI$2,GENERAL!$AI$2,CONCATENATE(OBSERVACIONES!G116,"
ESTADO DE POSTVENTAS:  ",GENERAL!H117))</f>
        <v>NO ENTREGADO
ESTADO DE POSTVENTAS:  TIENE POSTVENTA</v>
      </c>
      <c r="H116" s="51" t="str">
        <f>+IF(GENERAL!I117=GENERAL!$AI$2,GENERAL!$AI$2,CONCATENATE(OBSERVACIONES!H116,"
ESTADO DE POSTVENTAS:  ",GENERAL!I117))</f>
        <v>OK
ESTADO DE POSTVENTAS:  POSTVENTA CORREGIDA</v>
      </c>
      <c r="I116" s="51" t="str">
        <f>+IF(GENERAL!J117=GENERAL!$AI$2,GENERAL!$AI$2,CONCATENATE(OBSERVACIONES!I116,"
ESTADO DE POSTVENTAS:  ",GENERAL!J117))</f>
        <v>OK
ESTADO DE POSTVENTAS:  POSTVENTA CORREGIDA</v>
      </c>
      <c r="J116" s="51" t="str">
        <f>+IF(GENERAL!K117=GENERAL!$AI$2,GENERAL!$AI$2,CONCATENATE(OBSERVACIONES!J116,"
ESTADO DE POSTVENTAS:  ",GENERAL!K117))</f>
        <v>OK
ESTADO DE POSTVENTAS:  POSTVENTA CORREGIDA</v>
      </c>
      <c r="K116" s="51" t="str">
        <f>+IF(GENERAL!L117=GENERAL!$AI$2,GENERAL!$AI$2,CONCATENATE(OBSERVACIONES!K116,"
ESTADO DE POSTVENTAS:  ",GENERAL!L117))</f>
        <v>OK
ESTADO DE POSTVENTAS:  POSTVENTA CORREGIDA</v>
      </c>
      <c r="L116" s="51" t="str">
        <f>+IF(GENERAL!M117=GENERAL!$AI$2,GENERAL!$AI$2,CONCATENATE(OBSERVACIONES!L116,"
ESTADO DE POSTVENTAS:  ",GENERAL!M117))</f>
        <v>OK
ESTADO DE POSTVENTAS:  POSTVENTA CORREGIDA</v>
      </c>
      <c r="M116" s="70" t="str">
        <f>+IF(GENERAL!N117=GENERAL!$AI$2,GENERAL!$AI$2,CONCATENATE(OBSERVACIONES!M116,"
ESTADO DE POSTVENTAS:  ",GENERAL!N117))</f>
        <v>DETALLE ACABADO
ESTADO DE POSTVENTAS:  TIENE POSTVENTA</v>
      </c>
      <c r="N116" s="51" t="str">
        <f>+IF(GENERAL!O117=GENERAL!$AI$2,GENERAL!$AI$2,CONCATENATE(OBSERVACIONES!N116,"
ESTADO DE POSTVENTAS:  ",GENERAL!O117))</f>
        <v>OK
ESTADO DE POSTVENTAS:  POSTVENTA CORREGIDA</v>
      </c>
      <c r="O116" s="51" t="str">
        <f>+IF(GENERAL!P117=GENERAL!$AI$2,GENERAL!$AI$2,CONCATENATE(OBSERVACIONES!O116,"
ESTADO DE POSTVENTAS:  ",GENERAL!P117))</f>
        <v>OK
ESTADO DE POSTVENTAS:  POSTVENTA CORREGIDA</v>
      </c>
      <c r="P116" s="70" t="str">
        <f>+IF(GENERAL!Q117=GENERAL!$AI$2,GENERAL!$AI$2,CONCATENATE(OBSERVACIONES!P116,"
ESTADO DE POSTVENTAS:  ",GENERAL!Q117))</f>
        <v>OK
ESTADO DE POSTVENTAS:  POSTVENTA CORREGIDA</v>
      </c>
      <c r="Q116" s="70" t="str">
        <f>+IF(GENERAL!R117=GENERAL!$AI$2,GENERAL!$AI$2,CONCATENATE(OBSERVACIONES!Q116,"
ESTADO DE POSTVENTAS:  ",GENERAL!R117))</f>
        <v>OK
ESTADO DE POSTVENTAS:  POSTVENTA CORREGIDA</v>
      </c>
      <c r="R116" s="51" t="str">
        <f>+IF(GENERAL!S117=GENERAL!$AI$2,GENERAL!$AI$2,CONCATENATE(OBSERVACIONES!R116,"
ESTADO DE POSTVENTAS:  ",GENERAL!S117))</f>
        <v>OK
ESTADO DE POSTVENTAS:  POSTVENTA CORREGIDA</v>
      </c>
      <c r="S116" s="51" t="str">
        <f>+IF(GENERAL!T117=GENERAL!$AI$2,GENERAL!$AI$2,CONCATENATE(OBSERVACIONES!S116,"
ESTADO DE POSTVENTAS:  ",GENERAL!T117))</f>
        <v>OK
ESTADO DE POSTVENTAS:  POSTVENTA CORREGIDA</v>
      </c>
      <c r="T116" s="51" t="str">
        <f>+IF(GENERAL!U117=GENERAL!$AI$2,GENERAL!$AI$2,CONCATENATE(OBSERVACIONES!T116,"
ESTADO DE POSTVENTAS:  ",GENERAL!U117))</f>
        <v>OK
ESTADO DE POSTVENTAS:  POSTVENTA CORREGIDA</v>
      </c>
      <c r="U116" s="51" t="str">
        <f>+IF(GENERAL!V117=GENERAL!$AI$2,GENERAL!$AI$2,CONCATENATE(OBSERVACIONES!U116,"
ESTADO DE POSTVENTAS:  ",GENERAL!V117))</f>
        <v>OK
ESTADO DE POSTVENTAS:  POSTVENTA CORREGIDA</v>
      </c>
      <c r="V116" s="51" t="str">
        <f>+IF(GENERAL!W117=GENERAL!$AI$2,GENERAL!$AI$2,CONCATENATE(OBSERVACIONES!V116,"
ESTADO DE POSTVENTAS:  ",GENERAL!W117))</f>
        <v>OK
ESTADO DE POSTVENTAS:  POSTVENTA CORREGIDA</v>
      </c>
      <c r="W116" s="51" t="str">
        <f>+IF(GENERAL!V117=GENERAL!$AI$2,GENERAL!$AI$2,CONCATENATE(OBSERVACIONES!W116,"
ESTADO DE POSTVENTAS:  ",GENERAL!V117))</f>
        <v>OK
ESTADO DE POSTVENTAS:  POSTVENTA CORREGIDA</v>
      </c>
      <c r="X116" s="51" t="str">
        <f>+IF(GENERAL!W117=GENERAL!$AI$2,GENERAL!$AI$2,CONCATENATE(OBSERVACIONES!X116,"
ESTADO DE POSTVENTAS:  ",GENERAL!W117))</f>
        <v>OK
ESTADO DE POSTVENTAS:  POSTVENTA CORREGIDA</v>
      </c>
      <c r="Y116" s="51" t="str">
        <f>+IF(GENERAL!Z117=GENERAL!$AI$2,GENERAL!$AI$2,CONCATENATE(OBSERVACIONES!Y116,"
ESTADO DE POSTVENTAS:  ",GENERAL!Z117))</f>
        <v>OK
ESTADO DE POSTVENTAS:  POSTVENTA CORREGIDA</v>
      </c>
      <c r="Z116" s="51" t="str">
        <f>+IF(GENERAL!AA117=GENERAL!$AI$2,GENERAL!$AI$2,CONCATENATE(OBSERVACIONES!Z116,"
ESTADO DE POSTVENTAS:  ",GENERAL!AA117))</f>
        <v>OK
ESTADO DE POSTVENTAS:  POSTVENTA CORREGIDA</v>
      </c>
      <c r="AA116" s="51" t="str">
        <f>+IF(GENERAL!AB117=GENERAL!$AI$2,GENERAL!$AI$2,CONCATENATE(OBSERVACIONES!AA116,"
ESTADO DE POSTVENTAS:  ",GENERAL!AB117))</f>
        <v>OK
ESTADO DE POSTVENTAS:  POSTVENTA CORREGIDA</v>
      </c>
      <c r="AB116" s="51" t="str">
        <f>+IF(GENERAL!AC117=GENERAL!$AI$2,GENERAL!$AI$2,CONCATENATE(OBSERVACIONES!AB116,"
ESTADO DE POSTVENTAS:  ",GENERAL!AC117))</f>
        <v>OK
ESTADO DE POSTVENTAS:  POSTVENTA CORREGIDA</v>
      </c>
      <c r="AC116" s="51" t="str">
        <f>+IF(GENERAL!AD117=GENERAL!$AI$2,GENERAL!$AI$2,CONCATENATE(OBSERVACIONES!AC116,"
ESTADO DE POSTVENTAS:  ",GENERAL!AD117))</f>
        <v>OK
ESTADO DE POSTVENTAS:  POSTVENTA CORREGIDA</v>
      </c>
      <c r="AD116" s="51" t="str">
        <f>+IF(GENERAL!AE117=GENERAL!$AI$2,GENERAL!$AI$2,CONCATENATE(OBSERVACIONES!AD116,"
ESTADO DE POSTVENTAS:  ",GENERAL!AE117))</f>
        <v>OK
ESTADO DE POSTVENTAS:  POSTVENTA CORREGIDA</v>
      </c>
      <c r="AE116" s="51" t="str">
        <f>+IF(GENERAL!AF117=GENERAL!$AI$2,GENERAL!$AI$2,CONCATENATE(OBSERVACIONES!AE116,"
ESTADO DE POSTVENTAS:  ",GENERAL!AF117))</f>
        <v>OK
ESTADO DE POSTVENTAS:  POSTVENTA CORREGIDA</v>
      </c>
      <c r="AF116" s="51" t="str">
        <f>+IF(GENERAL!AG117=GENERAL!$AI$2,GENERAL!$AI$2,CONCATENATE(OBSERVACIONES!AF116,"
ESTADO DE POSTVENTAS:  ",GENERAL!AG117))</f>
        <v>OK
ESTADO DE POSTVENTAS:  POSTVENTA CORREGIDA</v>
      </c>
      <c r="AG116" s="51" t="str">
        <f>+IF(GENERAL!AH117=GENERAL!$AI$2,GENERAL!$AI$2,CONCATENATE(OBSERVACIONES!AG116,"
ESTADO DE POSTVENTAS:  ",GENERAL!AH117))</f>
        <v>OK
ESTADO DE POSTVENTAS:  POSTVENTA CORREGIDA</v>
      </c>
      <c r="AH116" s="51" t="str">
        <f>+IF(GENERAL!AI117=GENERAL!$AI$2,GENERAL!$AI$2,CONCATENATE(OBSERVACIONES!AH116,"
ESTADO DE POSTVENTAS:  ",GENERAL!AI117))</f>
        <v>OK
ESTADO DE POSTVENTAS:  POSTVENTA CORREGIDA</v>
      </c>
      <c r="AI116" s="51" t="str">
        <f>+IF(GENERAL!AG117=GENERAL!$AI$2,GENERAL!$AI$2,CONCATENATE(OBSERVACIONES!AF116,"
ESTADO DE POSTVENTAS:  ",GENERAL!AG117))</f>
        <v>OK
ESTADO DE POSTVENTAS:  POSTVENTA CORREGIDA</v>
      </c>
      <c r="AJ116" s="51" t="str">
        <f>+IF(GENERAL!AI117=GENERAL!$AI$2,GENERAL!$AI$2,CONCATENATE(OBSERVACIONES!AH116,"
ESTADO DE POSTVENTAS:  ",GENERAL!AI117))</f>
        <v>OK
ESTADO DE POSTVENTAS:  POSTVENTA CORREGIDA</v>
      </c>
      <c r="AK116" s="51" t="str">
        <f>+IF(GENERAL!AJ117=GENERAL!$AI$2,GENERAL!$AI$2,CONCATENATE(OBSERVACIONES!AI116,"
ESTADO DE POSTVENTAS:  ",GENERAL!AJ117))</f>
        <v>OK
ESTADO DE POSTVENTAS:  POSTVENTA CORREGIDA</v>
      </c>
      <c r="AL116" s="51" t="str">
        <f>+IF(GENERAL!AK117=GENERAL!$AI$2,GENERAL!$AI$2,CONCATENATE(OBSERVACIONES!AJ116,"
ESTADO DE POSTVENTAS:  ",GENERAL!AK117))</f>
        <v>OK
ESTADO DE POSTVENTAS:  POSTVENTA CORREGIDA</v>
      </c>
      <c r="AM116" s="51" t="str">
        <f>+IF(GENERAL!AN117=GENERAL!$AI$2,GENERAL!$AI$2,CONCATENATE(OBSERVACIONES!AM116,"
ESTADO DE POSTVENTAS:  ",GENERAL!AN117))</f>
        <v>OK
ESTADO DE POSTVENTAS:  POSTVENTA CORREGIDA</v>
      </c>
      <c r="AN116" s="37">
        <v>2</v>
      </c>
      <c r="AO116" s="37">
        <v>9</v>
      </c>
      <c r="AP116" s="37">
        <v>3</v>
      </c>
      <c r="AQ116" s="37">
        <v>0</v>
      </c>
      <c r="AR116" s="43">
        <v>14</v>
      </c>
      <c r="AS116" s="40">
        <v>12</v>
      </c>
      <c r="AT116" s="37">
        <f>COUNTIFS($D$5:$AM$5,"&lt;&gt;"&amp;CODICIONALES!$A$1,$D$5:$AM$5,"&lt;&gt;"&amp;CODICIONALES!$A$2,$D$5:$AM$5,"&lt;&gt;"&amp;CODICIONALES!$B$2,$D$5:$AM$5,"&lt;&gt;"&amp;CODICIONALES!$C$2)</f>
        <v>6</v>
      </c>
      <c r="AU116" s="43">
        <f>COUNTIFS(D116:AM116,CODICIONALES!$A$2)</f>
        <v>33</v>
      </c>
      <c r="AV116" s="40">
        <f t="shared" si="1"/>
        <v>-3</v>
      </c>
    </row>
    <row r="117" spans="1:48" ht="51" customHeight="1" x14ac:dyDescent="0.25">
      <c r="A117" s="110"/>
      <c r="B117" s="2">
        <v>113</v>
      </c>
      <c r="C117" s="21" t="s">
        <v>47</v>
      </c>
      <c r="D117" s="51" t="str">
        <f>+IF(GENERAL!E118=GENERAL!$AI$2,GENERAL!$AI$2,CONCATENATE(OBSERVACIONES!D117,"
ESTADO DE POSTVENTAS:  ",GENERAL!E118))</f>
        <v>NO ENTREGADO
ESTADO DE POSTVENTAS:  TIENE POSTVENTA</v>
      </c>
      <c r="E117" s="51" t="str">
        <f>+IF(GENERAL!F118=GENERAL!$AI$2,GENERAL!$AI$2,CONCATENATE(OBSERVACIONES!E117,"
ESTADO DE POSTVENTAS:  ",GENERAL!F118))</f>
        <v>OK
ESTADO DE POSTVENTAS:  POSTVENTA CORREGIDA</v>
      </c>
      <c r="F117" s="51" t="str">
        <f>+IF(GENERAL!G118=GENERAL!$AI$2,GENERAL!$AI$2,CONCATENATE(OBSERVACIONES!F117,"
ESTADO DE POSTVENTAS:  ",GENERAL!G118))</f>
        <v>OK
ESTADO DE POSTVENTAS:  POSTVENTA CORREGIDA</v>
      </c>
      <c r="G117" s="51" t="str">
        <f>+IF(GENERAL!H118=GENERAL!$AI$2,GENERAL!$AI$2,CONCATENATE(OBSERVACIONES!G117,"
ESTADO DE POSTVENTAS:  ",GENERAL!H118))</f>
        <v>NO ENTREGADO
ESTADO DE POSTVENTAS:  TIENE POSTVENTA</v>
      </c>
      <c r="H117" s="51" t="str">
        <f>+IF(GENERAL!I118=GENERAL!$AI$2,GENERAL!$AI$2,CONCATENATE(OBSERVACIONES!H117,"
ESTADO DE POSTVENTAS:  ",GENERAL!I118))</f>
        <v>OK
ESTADO DE POSTVENTAS:  POSTVENTA CORREGIDA</v>
      </c>
      <c r="I117" s="51" t="str">
        <f>+IF(GENERAL!J118=GENERAL!$AI$2,GENERAL!$AI$2,CONCATENATE(OBSERVACIONES!I117,"
ESTADO DE POSTVENTAS:  ",GENERAL!J118))</f>
        <v>OK
ESTADO DE POSTVENTAS:  POSTVENTA CORREGIDA</v>
      </c>
      <c r="J117" s="51" t="str">
        <f>+IF(GENERAL!K118=GENERAL!$AI$2,GENERAL!$AI$2,CONCATENATE(OBSERVACIONES!J117,"
ESTADO DE POSTVENTAS:  ",GENERAL!K118))</f>
        <v>OK
ESTADO DE POSTVENTAS:  POSTVENTA CORREGIDA</v>
      </c>
      <c r="K117" s="51" t="str">
        <f>+IF(GENERAL!L118=GENERAL!$AI$2,GENERAL!$AI$2,CONCATENATE(OBSERVACIONES!K117,"
ESTADO DE POSTVENTAS:  ",GENERAL!L118))</f>
        <v>OK
ESTADO DE POSTVENTAS:  POSTVENTA CORREGIDA</v>
      </c>
      <c r="L117" s="51" t="str">
        <f>+IF(GENERAL!M118=GENERAL!$AI$2,GENERAL!$AI$2,CONCATENATE(OBSERVACIONES!L117,"
ESTADO DE POSTVENTAS:  ",GENERAL!M118))</f>
        <v>OK
ESTADO DE POSTVENTAS:  POSTVENTA CORREGIDA</v>
      </c>
      <c r="M117" s="70" t="str">
        <f>+IF(GENERAL!N118=GENERAL!$AI$2,GENERAL!$AI$2,CONCATENATE(OBSERVACIONES!M117,"
ESTADO DE POSTVENTAS:  ",GENERAL!N118))</f>
        <v>OK
ESTADO DE POSTVENTAS:  POSTVENTA CORREGIDA</v>
      </c>
      <c r="N117" s="51" t="str">
        <f>+IF(GENERAL!O118=GENERAL!$AI$2,GENERAL!$AI$2,CONCATENATE(OBSERVACIONES!N117,"
ESTADO DE POSTVENTAS:  ",GENERAL!O118))</f>
        <v>OK
ESTADO DE POSTVENTAS:  POSTVENTA CORREGIDA</v>
      </c>
      <c r="O117" s="51" t="str">
        <f>+IF(GENERAL!P118=GENERAL!$AI$2,GENERAL!$AI$2,CONCATENATE(OBSERVACIONES!O117,"
ESTADO DE POSTVENTAS:  ",GENERAL!P118))</f>
        <v>OK
ESTADO DE POSTVENTAS:  POSTVENTA CORREGIDA</v>
      </c>
      <c r="P117" s="70" t="str">
        <f>+IF(GENERAL!Q118=GENERAL!$AI$2,GENERAL!$AI$2,CONCATENATE(OBSERVACIONES!P117,"
ESTADO DE POSTVENTAS:  ",GENERAL!Q118))</f>
        <v>OK
ESTADO DE POSTVENTAS:  POSTVENTA CORREGIDA</v>
      </c>
      <c r="Q117" s="70" t="str">
        <f>+IF(GENERAL!R118=GENERAL!$AI$2,GENERAL!$AI$2,CONCATENATE(OBSERVACIONES!Q117,"
ESTADO DE POSTVENTAS:  ",GENERAL!R118))</f>
        <v>OK
ESTADO DE POSTVENTAS:  POSTVENTA CORREGIDA</v>
      </c>
      <c r="R117" s="51" t="str">
        <f>+IF(GENERAL!S118=GENERAL!$AI$2,GENERAL!$AI$2,CONCATENATE(OBSERVACIONES!R117,"
ESTADO DE POSTVENTAS:  ",GENERAL!S118))</f>
        <v>OK
ESTADO DE POSTVENTAS:  POSTVENTA CORREGIDA</v>
      </c>
      <c r="S117" s="51" t="str">
        <f>+IF(GENERAL!T118=GENERAL!$AI$2,GENERAL!$AI$2,CONCATENATE(OBSERVACIONES!S117,"
ESTADO DE POSTVENTAS:  ",GENERAL!T118))</f>
        <v>OK
ESTADO DE POSTVENTAS:  POSTVENTA CORREGIDA</v>
      </c>
      <c r="T117" s="51" t="str">
        <f>+IF(GENERAL!U118=GENERAL!$AI$2,GENERAL!$AI$2,CONCATENATE(OBSERVACIONES!T117,"
ESTADO DE POSTVENTAS:  ",GENERAL!U118))</f>
        <v>OK
ESTADO DE POSTVENTAS:  POSTVENTA CORREGIDA</v>
      </c>
      <c r="U117" s="51" t="str">
        <f>+IF(GENERAL!V118=GENERAL!$AI$2,GENERAL!$AI$2,CONCATENATE(OBSERVACIONES!U117,"
ESTADO DE POSTVENTAS:  ",GENERAL!V118))</f>
        <v>OK
ESTADO DE POSTVENTAS:  POSTVENTA CORREGIDA</v>
      </c>
      <c r="V117" s="51" t="str">
        <f>+IF(GENERAL!W118=GENERAL!$AI$2,GENERAL!$AI$2,CONCATENATE(OBSERVACIONES!V117,"
ESTADO DE POSTVENTAS:  ",GENERAL!W118))</f>
        <v>OK
ESTADO DE POSTVENTAS:  POSTVENTA CORREGIDA</v>
      </c>
      <c r="W117" s="51" t="str">
        <f>+IF(GENERAL!V118=GENERAL!$AI$2,GENERAL!$AI$2,CONCATENATE(OBSERVACIONES!W117,"
ESTADO DE POSTVENTAS:  ",GENERAL!V118))</f>
        <v>OK
ESTADO DE POSTVENTAS:  POSTVENTA CORREGIDA</v>
      </c>
      <c r="X117" s="51" t="str">
        <f>+IF(GENERAL!W118=GENERAL!$AI$2,GENERAL!$AI$2,CONCATENATE(OBSERVACIONES!X117,"
ESTADO DE POSTVENTAS:  ",GENERAL!W118))</f>
        <v>OK
ESTADO DE POSTVENTAS:  POSTVENTA CORREGIDA</v>
      </c>
      <c r="Y117" s="51" t="str">
        <f>+IF(GENERAL!Z118=GENERAL!$AI$2,GENERAL!$AI$2,CONCATENATE(OBSERVACIONES!Y117,"
ESTADO DE POSTVENTAS:  ",GENERAL!Z118))</f>
        <v>OK
ESTADO DE POSTVENTAS:  POSTVENTA CORREGIDA</v>
      </c>
      <c r="Z117" s="51" t="str">
        <f>+IF(GENERAL!AA118=GENERAL!$AI$2,GENERAL!$AI$2,CONCATENATE(OBSERVACIONES!Z117,"
ESTADO DE POSTVENTAS:  ",GENERAL!AA118))</f>
        <v>OK
ESTADO DE POSTVENTAS:  POSTVENTA CORREGIDA</v>
      </c>
      <c r="AA117" s="51" t="str">
        <f>+IF(GENERAL!AB118=GENERAL!$AI$2,GENERAL!$AI$2,CONCATENATE(OBSERVACIONES!AA117,"
ESTADO DE POSTVENTAS:  ",GENERAL!AB118))</f>
        <v>OK
ESTADO DE POSTVENTAS:  POSTVENTA CORREGIDA</v>
      </c>
      <c r="AB117" s="51" t="str">
        <f>+IF(GENERAL!AC118=GENERAL!$AI$2,GENERAL!$AI$2,CONCATENATE(OBSERVACIONES!AB117,"
ESTADO DE POSTVENTAS:  ",GENERAL!AC118))</f>
        <v>OK
ESTADO DE POSTVENTAS:  POSTVENTA CORREGIDA</v>
      </c>
      <c r="AC117" s="51" t="str">
        <f>+IF(GENERAL!AD118=GENERAL!$AI$2,GENERAL!$AI$2,CONCATENATE(OBSERVACIONES!AC117,"
ESTADO DE POSTVENTAS:  ",GENERAL!AD118))</f>
        <v>OK
ESTADO DE POSTVENTAS:  POSTVENTA CORREGIDA</v>
      </c>
      <c r="AD117" s="51" t="str">
        <f>+IF(GENERAL!AE118=GENERAL!$AI$2,GENERAL!$AI$2,CONCATENATE(OBSERVACIONES!AD117,"
ESTADO DE POSTVENTAS:  ",GENERAL!AE118))</f>
        <v>OK
ESTADO DE POSTVENTAS:  POSTVENTA CORREGIDA</v>
      </c>
      <c r="AE117" s="51" t="str">
        <f>+IF(GENERAL!AF118=GENERAL!$AI$2,GENERAL!$AI$2,CONCATENATE(OBSERVACIONES!AE117,"
ESTADO DE POSTVENTAS:  ",GENERAL!AF118))</f>
        <v>OK
ESTADO DE POSTVENTAS:  POSTVENTA CORREGIDA</v>
      </c>
      <c r="AF117" s="51" t="str">
        <f>+IF(GENERAL!AG118=GENERAL!$AI$2,GENERAL!$AI$2,CONCATENATE(OBSERVACIONES!AF117,"
ESTADO DE POSTVENTAS:  ",GENERAL!AG118))</f>
        <v>OK
ESTADO DE POSTVENTAS:  POSTVENTA CORREGIDA</v>
      </c>
      <c r="AG117" s="51" t="str">
        <f>+IF(GENERAL!AH118=GENERAL!$AI$2,GENERAL!$AI$2,CONCATENATE(OBSERVACIONES!AG117,"
ESTADO DE POSTVENTAS:  ",GENERAL!AH118))</f>
        <v>OK
ESTADO DE POSTVENTAS:  POSTVENTA CORREGIDA</v>
      </c>
      <c r="AH117" s="51" t="str">
        <f>+IF(GENERAL!AI118=GENERAL!$AI$2,GENERAL!$AI$2,CONCATENATE(OBSERVACIONES!AH117,"
ESTADO DE POSTVENTAS:  ",GENERAL!AI118))</f>
        <v>OK
ESTADO DE POSTVENTAS:  POSTVENTA CORREGIDA</v>
      </c>
      <c r="AI117" s="51" t="str">
        <f>+IF(GENERAL!AG118=GENERAL!$AI$2,GENERAL!$AI$2,CONCATENATE(OBSERVACIONES!AF117,"
ESTADO DE POSTVENTAS:  ",GENERAL!AG118))</f>
        <v>OK
ESTADO DE POSTVENTAS:  POSTVENTA CORREGIDA</v>
      </c>
      <c r="AJ117" s="51" t="str">
        <f>+IF(GENERAL!AI118=GENERAL!$AI$2,GENERAL!$AI$2,CONCATENATE(OBSERVACIONES!AH117,"
ESTADO DE POSTVENTAS:  ",GENERAL!AI118))</f>
        <v>OK
ESTADO DE POSTVENTAS:  POSTVENTA CORREGIDA</v>
      </c>
      <c r="AK117" s="51" t="str">
        <f>+IF(GENERAL!AJ118=GENERAL!$AI$2,GENERAL!$AI$2,CONCATENATE(OBSERVACIONES!AI117,"
ESTADO DE POSTVENTAS:  ",GENERAL!AJ118))</f>
        <v>OK
ESTADO DE POSTVENTAS:  POSTVENTA CORREGIDA</v>
      </c>
      <c r="AL117" s="51" t="str">
        <f>+IF(GENERAL!AK118=GENERAL!$AI$2,GENERAL!$AI$2,CONCATENATE(OBSERVACIONES!AJ117,"
ESTADO DE POSTVENTAS:  ",GENERAL!AK118))</f>
        <v>OK
ESTADO DE POSTVENTAS:  POSTVENTA CORREGIDA</v>
      </c>
      <c r="AM117" s="51" t="str">
        <f>+IF(GENERAL!AN118=GENERAL!$AI$2,GENERAL!$AI$2,CONCATENATE(OBSERVACIONES!AM117,"
ESTADO DE POSTVENTAS:  ",GENERAL!AN118))</f>
        <v>OK
ESTADO DE POSTVENTAS:  POSTVENTA CORREGIDA</v>
      </c>
      <c r="AN117" s="37">
        <v>2</v>
      </c>
      <c r="AO117" s="37">
        <v>9</v>
      </c>
      <c r="AP117" s="37">
        <v>3</v>
      </c>
      <c r="AQ117" s="37">
        <v>0</v>
      </c>
      <c r="AR117" s="43">
        <v>14</v>
      </c>
      <c r="AS117" s="40">
        <v>12</v>
      </c>
      <c r="AT117" s="37">
        <f>COUNTIFS($D$5:$AM$5,"&lt;&gt;"&amp;CODICIONALES!$A$1,$D$5:$AM$5,"&lt;&gt;"&amp;CODICIONALES!$A$2,$D$5:$AM$5,"&lt;&gt;"&amp;CODICIONALES!$B$2,$D$5:$AM$5,"&lt;&gt;"&amp;CODICIONALES!$C$2)</f>
        <v>6</v>
      </c>
      <c r="AU117" s="43">
        <f>COUNTIFS(D117:AM117,CODICIONALES!$A$2)</f>
        <v>34</v>
      </c>
      <c r="AV117" s="40">
        <f t="shared" si="1"/>
        <v>-4</v>
      </c>
    </row>
    <row r="118" spans="1:48" ht="51" customHeight="1" x14ac:dyDescent="0.25">
      <c r="A118" s="110"/>
      <c r="B118" s="2">
        <v>114</v>
      </c>
      <c r="C118" s="21" t="s">
        <v>49</v>
      </c>
      <c r="D118" s="51" t="str">
        <f>+IF(GENERAL!E119=GENERAL!$AI$2,GENERAL!$AI$2,CONCATENATE(OBSERVACIONES!D118,"
ESTADO DE POSTVENTAS:  ",GENERAL!E119))</f>
        <v>NO ENTREGADO
ESTADO DE POSTVENTAS:  TIENE POSTVENTA</v>
      </c>
      <c r="E118" s="51" t="str">
        <f>+IF(GENERAL!F119=GENERAL!$AI$2,GENERAL!$AI$2,CONCATENATE(OBSERVACIONES!E118,"
ESTADO DE POSTVENTAS:  ",GENERAL!F119))</f>
        <v>OK
ESTADO DE POSTVENTAS:  POSTVENTA CORREGIDA</v>
      </c>
      <c r="F118" s="51" t="str">
        <f>+IF(GENERAL!G119=GENERAL!$AI$2,GENERAL!$AI$2,CONCATENATE(OBSERVACIONES!F118,"
ESTADO DE POSTVENTAS:  ",GENERAL!G119))</f>
        <v>OK
ESTADO DE POSTVENTAS:  POSTVENTA CORREGIDA</v>
      </c>
      <c r="G118" s="51" t="str">
        <f>+IF(GENERAL!H119=GENERAL!$AI$2,GENERAL!$AI$2,CONCATENATE(OBSERVACIONES!G118,"
ESTADO DE POSTVENTAS:  ",GENERAL!H119))</f>
        <v>NO ENTREGADO
ESTADO DE POSTVENTAS:  TIENE POSTVENTA</v>
      </c>
      <c r="H118" s="51" t="str">
        <f>+IF(GENERAL!I119=GENERAL!$AI$2,GENERAL!$AI$2,CONCATENATE(OBSERVACIONES!H118,"
ESTADO DE POSTVENTAS:  ",GENERAL!I119))</f>
        <v>OK
ESTADO DE POSTVENTAS:  POSTVENTA CORREGIDA</v>
      </c>
      <c r="I118" s="51" t="str">
        <f>+IF(GENERAL!J119=GENERAL!$AI$2,GENERAL!$AI$2,CONCATENATE(OBSERVACIONES!I118,"
ESTADO DE POSTVENTAS:  ",GENERAL!J119))</f>
        <v>OK
ESTADO DE POSTVENTAS:  POSTVENTA CORREGIDA</v>
      </c>
      <c r="J118" s="51" t="str">
        <f>+IF(GENERAL!K119=GENERAL!$AI$2,GENERAL!$AI$2,CONCATENATE(OBSERVACIONES!J118,"
ESTADO DE POSTVENTAS:  ",GENERAL!K119))</f>
        <v>OK
ESTADO DE POSTVENTAS:  POSTVENTA CORREGIDA</v>
      </c>
      <c r="K118" s="51" t="str">
        <f>+IF(GENERAL!L119=GENERAL!$AI$2,GENERAL!$AI$2,CONCATENATE(OBSERVACIONES!K118,"
ESTADO DE POSTVENTAS:  ",GENERAL!L119))</f>
        <v>OK
ESTADO DE POSTVENTAS:  POSTVENTA CORREGIDA</v>
      </c>
      <c r="L118" s="51" t="str">
        <f>+IF(GENERAL!M119=GENERAL!$AI$2,GENERAL!$AI$2,CONCATENATE(OBSERVACIONES!L118,"
ESTADO DE POSTVENTAS:  ",GENERAL!M119))</f>
        <v>OK
ESTADO DE POSTVENTAS:  POSTVENTA CORREGIDA</v>
      </c>
      <c r="M118" s="70" t="str">
        <f>+IF(GENERAL!N119=GENERAL!$AI$2,GENERAL!$AI$2,CONCATENATE(OBSERVACIONES!M118,"
ESTADO DE POSTVENTAS:  ",GENERAL!N119))</f>
        <v>OK
ESTADO DE POSTVENTAS:  POSTVENTA CORREGIDA</v>
      </c>
      <c r="N118" s="51" t="str">
        <f>+IF(GENERAL!O119=GENERAL!$AI$2,GENERAL!$AI$2,CONCATENATE(OBSERVACIONES!N118,"
ESTADO DE POSTVENTAS:  ",GENERAL!O119))</f>
        <v>OK
ESTADO DE POSTVENTAS:  POSTVENTA CORREGIDA</v>
      </c>
      <c r="O118" s="51" t="str">
        <f>+IF(GENERAL!P119=GENERAL!$AI$2,GENERAL!$AI$2,CONCATENATE(OBSERVACIONES!O118,"
ESTADO DE POSTVENTAS:  ",GENERAL!P119))</f>
        <v>OK
ESTADO DE POSTVENTAS:  POSTVENTA CORREGIDA</v>
      </c>
      <c r="P118" s="70" t="str">
        <f>+IF(GENERAL!Q119=GENERAL!$AI$2,GENERAL!$AI$2,CONCATENATE(OBSERVACIONES!P118,"
ESTADO DE POSTVENTAS:  ",GENERAL!Q119))</f>
        <v>OK
ESTADO DE POSTVENTAS:  POSTVENTA CORREGIDA</v>
      </c>
      <c r="Q118" s="70" t="str">
        <f>+IF(GENERAL!R119=GENERAL!$AI$2,GENERAL!$AI$2,CONCATENATE(OBSERVACIONES!Q118,"
ESTADO DE POSTVENTAS:  ",GENERAL!R119))</f>
        <v>OK
ESTADO DE POSTVENTAS:  POSTVENTA CORREGIDA</v>
      </c>
      <c r="R118" s="51" t="str">
        <f>+IF(GENERAL!S119=GENERAL!$AI$2,GENERAL!$AI$2,CONCATENATE(OBSERVACIONES!R118,"
ESTADO DE POSTVENTAS:  ",GENERAL!S119))</f>
        <v>OK
ESTADO DE POSTVENTAS:  POSTVENTA CORREGIDA</v>
      </c>
      <c r="S118" s="51" t="str">
        <f>+IF(GENERAL!T119=GENERAL!$AI$2,GENERAL!$AI$2,CONCATENATE(OBSERVACIONES!S118,"
ESTADO DE POSTVENTAS:  ",GENERAL!T119))</f>
        <v>OK
ESTADO DE POSTVENTAS:  POSTVENTA CORREGIDA</v>
      </c>
      <c r="T118" s="51" t="str">
        <f>+IF(GENERAL!U119=GENERAL!$AI$2,GENERAL!$AI$2,CONCATENATE(OBSERVACIONES!T118,"
ESTADO DE POSTVENTAS:  ",GENERAL!U119))</f>
        <v>OK
ESTADO DE POSTVENTAS:  POSTVENTA CORREGIDA</v>
      </c>
      <c r="U118" s="51" t="str">
        <f>+IF(GENERAL!V119=GENERAL!$AI$2,GENERAL!$AI$2,CONCATENATE(OBSERVACIONES!U118,"
ESTADO DE POSTVENTAS:  ",GENERAL!V119))</f>
        <v>OK
ESTADO DE POSTVENTAS:  POSTVENTA CORREGIDA</v>
      </c>
      <c r="V118" s="51" t="str">
        <f>+IF(GENERAL!W119=GENERAL!$AI$2,GENERAL!$AI$2,CONCATENATE(OBSERVACIONES!V118,"
ESTADO DE POSTVENTAS:  ",GENERAL!W119))</f>
        <v>OK
ESTADO DE POSTVENTAS:  POSTVENTA CORREGIDA</v>
      </c>
      <c r="W118" s="51" t="str">
        <f>+IF(GENERAL!V119=GENERAL!$AI$2,GENERAL!$AI$2,CONCATENATE(OBSERVACIONES!W118,"
ESTADO DE POSTVENTAS:  ",GENERAL!V119))</f>
        <v>OK
ESTADO DE POSTVENTAS:  POSTVENTA CORREGIDA</v>
      </c>
      <c r="X118" s="51" t="str">
        <f>+IF(GENERAL!W119=GENERAL!$AI$2,GENERAL!$AI$2,CONCATENATE(OBSERVACIONES!X118,"
ESTADO DE POSTVENTAS:  ",GENERAL!W119))</f>
        <v>OK
ESTADO DE POSTVENTAS:  POSTVENTA CORREGIDA</v>
      </c>
      <c r="Y118" s="51" t="str">
        <f>+IF(GENERAL!Z119=GENERAL!$AI$2,GENERAL!$AI$2,CONCATENATE(OBSERVACIONES!Y118,"
ESTADO DE POSTVENTAS:  ",GENERAL!Z119))</f>
        <v>OK
ESTADO DE POSTVENTAS:  POSTVENTA CORREGIDA</v>
      </c>
      <c r="Z118" s="51" t="str">
        <f>+IF(GENERAL!AA119=GENERAL!$AI$2,GENERAL!$AI$2,CONCATENATE(OBSERVACIONES!Z118,"
ESTADO DE POSTVENTAS:  ",GENERAL!AA119))</f>
        <v>OK
ESTADO DE POSTVENTAS:  POSTVENTA CORREGIDA</v>
      </c>
      <c r="AA118" s="51" t="str">
        <f>+IF(GENERAL!AB119=GENERAL!$AI$2,GENERAL!$AI$2,CONCATENATE(OBSERVACIONES!AA118,"
ESTADO DE POSTVENTAS:  ",GENERAL!AB119))</f>
        <v>OK
ESTADO DE POSTVENTAS:  POSTVENTA CORREGIDA</v>
      </c>
      <c r="AB118" s="51" t="str">
        <f>+IF(GENERAL!AC119=GENERAL!$AI$2,GENERAL!$AI$2,CONCATENATE(OBSERVACIONES!AB118,"
ESTADO DE POSTVENTAS:  ",GENERAL!AC119))</f>
        <v>OK
ESTADO DE POSTVENTAS:  POSTVENTA CORREGIDA</v>
      </c>
      <c r="AC118" s="51" t="str">
        <f>+IF(GENERAL!AD119=GENERAL!$AI$2,GENERAL!$AI$2,CONCATENATE(OBSERVACIONES!AC118,"
ESTADO DE POSTVENTAS:  ",GENERAL!AD119))</f>
        <v>OK
ESTADO DE POSTVENTAS:  POSTVENTA CORREGIDA</v>
      </c>
      <c r="AD118" s="51" t="str">
        <f>+IF(GENERAL!AE119=GENERAL!$AI$2,GENERAL!$AI$2,CONCATENATE(OBSERVACIONES!AD118,"
ESTADO DE POSTVENTAS:  ",GENERAL!AE119))</f>
        <v>OK
ESTADO DE POSTVENTAS:  POSTVENTA CORREGIDA</v>
      </c>
      <c r="AE118" s="51" t="str">
        <f>+IF(GENERAL!AF119=GENERAL!$AI$2,GENERAL!$AI$2,CONCATENATE(OBSERVACIONES!AE118,"
ESTADO DE POSTVENTAS:  ",GENERAL!AF119))</f>
        <v>OK
ESTADO DE POSTVENTAS:  POSTVENTA CORREGIDA</v>
      </c>
      <c r="AF118" s="51" t="str">
        <f>+IF(GENERAL!AG119=GENERAL!$AI$2,GENERAL!$AI$2,CONCATENATE(OBSERVACIONES!AF118,"
ESTADO DE POSTVENTAS:  ",GENERAL!AG119))</f>
        <v>OK
ESTADO DE POSTVENTAS:  POSTVENTA CORREGIDA</v>
      </c>
      <c r="AG118" s="51" t="str">
        <f>+IF(GENERAL!AH119=GENERAL!$AI$2,GENERAL!$AI$2,CONCATENATE(OBSERVACIONES!AG118,"
ESTADO DE POSTVENTAS:  ",GENERAL!AH119))</f>
        <v>OK
ESTADO DE POSTVENTAS:  POSTVENTA CORREGIDA</v>
      </c>
      <c r="AH118" s="51" t="str">
        <f>+IF(GENERAL!AI119=GENERAL!$AI$2,GENERAL!$AI$2,CONCATENATE(OBSERVACIONES!AH118,"
ESTADO DE POSTVENTAS:  ",GENERAL!AI119))</f>
        <v>OK
ESTADO DE POSTVENTAS:  POSTVENTA CORREGIDA</v>
      </c>
      <c r="AI118" s="51" t="str">
        <f>+IF(GENERAL!AG119=GENERAL!$AI$2,GENERAL!$AI$2,CONCATENATE(OBSERVACIONES!AF118,"
ESTADO DE POSTVENTAS:  ",GENERAL!AG119))</f>
        <v>OK
ESTADO DE POSTVENTAS:  POSTVENTA CORREGIDA</v>
      </c>
      <c r="AJ118" s="51" t="str">
        <f>+IF(GENERAL!AI119=GENERAL!$AI$2,GENERAL!$AI$2,CONCATENATE(OBSERVACIONES!AH118,"
ESTADO DE POSTVENTAS:  ",GENERAL!AI119))</f>
        <v>OK
ESTADO DE POSTVENTAS:  POSTVENTA CORREGIDA</v>
      </c>
      <c r="AK118" s="51" t="str">
        <f>+IF(GENERAL!AJ119=GENERAL!$AI$2,GENERAL!$AI$2,CONCATENATE(OBSERVACIONES!AI118,"
ESTADO DE POSTVENTAS:  ",GENERAL!AJ119))</f>
        <v>OK
ESTADO DE POSTVENTAS:  POSTVENTA CORREGIDA</v>
      </c>
      <c r="AL118" s="51" t="str">
        <f>+IF(GENERAL!AK119=GENERAL!$AI$2,GENERAL!$AI$2,CONCATENATE(OBSERVACIONES!AJ118,"
ESTADO DE POSTVENTAS:  ",GENERAL!AK119))</f>
        <v>OK
ESTADO DE POSTVENTAS:  POSTVENTA CORREGIDA</v>
      </c>
      <c r="AM118" s="51" t="str">
        <f>+IF(GENERAL!AN119=GENERAL!$AI$2,GENERAL!$AI$2,CONCATENATE(OBSERVACIONES!AM118,"
ESTADO DE POSTVENTAS:  ",GENERAL!AN119))</f>
        <v>OK
ESTADO DE POSTVENTAS:  POSTVENTA CORREGIDA</v>
      </c>
      <c r="AN118" s="37">
        <v>0</v>
      </c>
      <c r="AO118" s="37">
        <v>11</v>
      </c>
      <c r="AP118" s="37">
        <v>3</v>
      </c>
      <c r="AQ118" s="37">
        <v>0</v>
      </c>
      <c r="AR118" s="43">
        <v>14</v>
      </c>
      <c r="AS118" s="40">
        <v>12</v>
      </c>
      <c r="AT118" s="37">
        <f>COUNTIFS($D$5:$AM$5,"&lt;&gt;"&amp;CODICIONALES!$A$1,$D$5:$AM$5,"&lt;&gt;"&amp;CODICIONALES!$A$2,$D$5:$AM$5,"&lt;&gt;"&amp;CODICIONALES!$B$2,$D$5:$AM$5,"&lt;&gt;"&amp;CODICIONALES!$C$2)</f>
        <v>6</v>
      </c>
      <c r="AU118" s="43">
        <f>COUNTIFS(D118:AM118,CODICIONALES!$A$2)</f>
        <v>34</v>
      </c>
      <c r="AV118" s="40">
        <f t="shared" si="1"/>
        <v>-4</v>
      </c>
    </row>
    <row r="119" spans="1:48" ht="51" customHeight="1" x14ac:dyDescent="0.25">
      <c r="A119" s="110"/>
      <c r="B119" s="2">
        <v>115</v>
      </c>
      <c r="C119" s="21" t="s">
        <v>52</v>
      </c>
      <c r="D119" s="51" t="str">
        <f>+IF(GENERAL!E120=GENERAL!$AI$2,GENERAL!$AI$2,CONCATENATE(OBSERVACIONES!D119,"
ESTADO DE POSTVENTAS:  ",GENERAL!E120))</f>
        <v>NO ENTREGADO
ESTADO DE POSTVENTAS:  TIENE POSTVENTA</v>
      </c>
      <c r="E119" s="51" t="str">
        <f>+IF(GENERAL!F120=GENERAL!$AI$2,GENERAL!$AI$2,CONCATENATE(OBSERVACIONES!E119,"
ESTADO DE POSTVENTAS:  ",GENERAL!F120))</f>
        <v>OK
ESTADO DE POSTVENTAS:  POSTVENTA CORREGIDA</v>
      </c>
      <c r="F119" s="51" t="str">
        <f>+IF(GENERAL!G120=GENERAL!$AI$2,GENERAL!$AI$2,CONCATENATE(OBSERVACIONES!F119,"
ESTADO DE POSTVENTAS:  ",GENERAL!G120))</f>
        <v>OK
ESTADO DE POSTVENTAS:  POSTVENTA CORREGIDA</v>
      </c>
      <c r="G119" s="51" t="str">
        <f>+IF(GENERAL!H120=GENERAL!$AI$2,GENERAL!$AI$2,CONCATENATE(OBSERVACIONES!G119,"
ESTADO DE POSTVENTAS:  ",GENERAL!H120))</f>
        <v>NO ENTREGADO
ESTADO DE POSTVENTAS:  TIENE POSTVENTA</v>
      </c>
      <c r="H119" s="51" t="str">
        <f>+IF(GENERAL!I120=GENERAL!$AI$2,GENERAL!$AI$2,CONCATENATE(OBSERVACIONES!H119,"
ESTADO DE POSTVENTAS:  ",GENERAL!I120))</f>
        <v>OK
ESTADO DE POSTVENTAS:  POSTVENTA CORREGIDA</v>
      </c>
      <c r="I119" s="51" t="str">
        <f>+IF(GENERAL!J120=GENERAL!$AI$2,GENERAL!$AI$2,CONCATENATE(OBSERVACIONES!I119,"
ESTADO DE POSTVENTAS:  ",GENERAL!J120))</f>
        <v>OK
ESTADO DE POSTVENTAS:  POSTVENTA CORREGIDA</v>
      </c>
      <c r="J119" s="51" t="str">
        <f>+IF(GENERAL!K120=GENERAL!$AI$2,GENERAL!$AI$2,CONCATENATE(OBSERVACIONES!J119,"
ESTADO DE POSTVENTAS:  ",GENERAL!K120))</f>
        <v>OK
ESTADO DE POSTVENTAS:  POSTVENTA CORREGIDA</v>
      </c>
      <c r="K119" s="51" t="str">
        <f>+IF(GENERAL!L120=GENERAL!$AI$2,GENERAL!$AI$2,CONCATENATE(OBSERVACIONES!K119,"
ESTADO DE POSTVENTAS:  ",GENERAL!L120))</f>
        <v>OK
ESTADO DE POSTVENTAS:  POSTVENTA CORREGIDA</v>
      </c>
      <c r="L119" s="51" t="str">
        <f>+IF(GENERAL!M120=GENERAL!$AI$2,GENERAL!$AI$2,CONCATENATE(OBSERVACIONES!L119,"
ESTADO DE POSTVENTAS:  ",GENERAL!M120))</f>
        <v>OK
ESTADO DE POSTVENTAS:  POSTVENTA CORREGIDA</v>
      </c>
      <c r="M119" s="70" t="str">
        <f>+IF(GENERAL!N120=GENERAL!$AI$2,GENERAL!$AI$2,CONCATENATE(OBSERVACIONES!M119,"
ESTADO DE POSTVENTAS:  ",GENERAL!N120))</f>
        <v>OK
ESTADO DE POSTVENTAS:  POSTVENTA CORREGIDA</v>
      </c>
      <c r="N119" s="51" t="str">
        <f>+IF(GENERAL!O120=GENERAL!$AI$2,GENERAL!$AI$2,CONCATENATE(OBSERVACIONES!N119,"
ESTADO DE POSTVENTAS:  ",GENERAL!O120))</f>
        <v>OK
ESTADO DE POSTVENTAS:  POSTVENTA CORREGIDA</v>
      </c>
      <c r="O119" s="51" t="str">
        <f>+IF(GENERAL!P120=GENERAL!$AI$2,GENERAL!$AI$2,CONCATENATE(OBSERVACIONES!O119,"
ESTADO DE POSTVENTAS:  ",GENERAL!P120))</f>
        <v>OK
ESTADO DE POSTVENTAS:  POSTVENTA CORREGIDA</v>
      </c>
      <c r="P119" s="70" t="str">
        <f>+IF(GENERAL!Q120=GENERAL!$AI$2,GENERAL!$AI$2,CONCATENATE(OBSERVACIONES!P119,"
ESTADO DE POSTVENTAS:  ",GENERAL!Q120))</f>
        <v>OK
ESTADO DE POSTVENTAS:  POSTVENTA CORREGIDA</v>
      </c>
      <c r="Q119" s="70" t="str">
        <f>+IF(GENERAL!R120=GENERAL!$AI$2,GENERAL!$AI$2,CONCATENATE(OBSERVACIONES!Q119,"
ESTADO DE POSTVENTAS:  ",GENERAL!R120))</f>
        <v>OK
ESTADO DE POSTVENTAS:  POSTVENTA CORREGIDA</v>
      </c>
      <c r="R119" s="51" t="str">
        <f>+IF(GENERAL!S120=GENERAL!$AI$2,GENERAL!$AI$2,CONCATENATE(OBSERVACIONES!R119,"
ESTADO DE POSTVENTAS:  ",GENERAL!S120))</f>
        <v>OK
ESTADO DE POSTVENTAS:  POSTVENTA CORREGIDA</v>
      </c>
      <c r="S119" s="51" t="str">
        <f>+IF(GENERAL!T120=GENERAL!$AI$2,GENERAL!$AI$2,CONCATENATE(OBSERVACIONES!S119,"
ESTADO DE POSTVENTAS:  ",GENERAL!T120))</f>
        <v>OK
ESTADO DE POSTVENTAS:  POSTVENTA CORREGIDA</v>
      </c>
      <c r="T119" s="51" t="str">
        <f>+IF(GENERAL!U120=GENERAL!$AI$2,GENERAL!$AI$2,CONCATENATE(OBSERVACIONES!T119,"
ESTADO DE POSTVENTAS:  ",GENERAL!U120))</f>
        <v>OK
ESTADO DE POSTVENTAS:  POSTVENTA CORREGIDA</v>
      </c>
      <c r="U119" s="51" t="str">
        <f>+IF(GENERAL!V120=GENERAL!$AI$2,GENERAL!$AI$2,CONCATENATE(OBSERVACIONES!U119,"
ESTADO DE POSTVENTAS:  ",GENERAL!V120))</f>
        <v>OK
ESTADO DE POSTVENTAS:  POSTVENTA CORREGIDA</v>
      </c>
      <c r="V119" s="51" t="str">
        <f>+IF(GENERAL!W120=GENERAL!$AI$2,GENERAL!$AI$2,CONCATENATE(OBSERVACIONES!V119,"
ESTADO DE POSTVENTAS:  ",GENERAL!W120))</f>
        <v>OK
ESTADO DE POSTVENTAS:  POSTVENTA CORREGIDA</v>
      </c>
      <c r="W119" s="51" t="str">
        <f>+IF(GENERAL!V120=GENERAL!$AI$2,GENERAL!$AI$2,CONCATENATE(OBSERVACIONES!W119,"
ESTADO DE POSTVENTAS:  ",GENERAL!V120))</f>
        <v>OK
ESTADO DE POSTVENTAS:  POSTVENTA CORREGIDA</v>
      </c>
      <c r="X119" s="51" t="str">
        <f>+IF(GENERAL!W120=GENERAL!$AI$2,GENERAL!$AI$2,CONCATENATE(OBSERVACIONES!X119,"
ESTADO DE POSTVENTAS:  ",GENERAL!W120))</f>
        <v>OK
ESTADO DE POSTVENTAS:  POSTVENTA CORREGIDA</v>
      </c>
      <c r="Y119" s="51" t="str">
        <f>+IF(GENERAL!Z120=GENERAL!$AI$2,GENERAL!$AI$2,CONCATENATE(OBSERVACIONES!Y119,"
ESTADO DE POSTVENTAS:  ",GENERAL!Z120))</f>
        <v>OK
ESTADO DE POSTVENTAS:  POSTVENTA CORREGIDA</v>
      </c>
      <c r="Z119" s="51" t="str">
        <f>+IF(GENERAL!AA120=GENERAL!$AI$2,GENERAL!$AI$2,CONCATENATE(OBSERVACIONES!Z119,"
ESTADO DE POSTVENTAS:  ",GENERAL!AA120))</f>
        <v>OK
ESTADO DE POSTVENTAS:  POSTVENTA CORREGIDA</v>
      </c>
      <c r="AA119" s="51" t="str">
        <f>+IF(GENERAL!AB120=GENERAL!$AI$2,GENERAL!$AI$2,CONCATENATE(OBSERVACIONES!AA119,"
ESTADO DE POSTVENTAS:  ",GENERAL!AB120))</f>
        <v>OK
ESTADO DE POSTVENTAS:  POSTVENTA CORREGIDA</v>
      </c>
      <c r="AB119" s="51" t="str">
        <f>+IF(GENERAL!AC120=GENERAL!$AI$2,GENERAL!$AI$2,CONCATENATE(OBSERVACIONES!AB119,"
ESTADO DE POSTVENTAS:  ",GENERAL!AC120))</f>
        <v>OK
ESTADO DE POSTVENTAS:  POSTVENTA CORREGIDA</v>
      </c>
      <c r="AC119" s="51" t="str">
        <f>+IF(GENERAL!AD120=GENERAL!$AI$2,GENERAL!$AI$2,CONCATENATE(OBSERVACIONES!AC119,"
ESTADO DE POSTVENTAS:  ",GENERAL!AD120))</f>
        <v>OK
ESTADO DE POSTVENTAS:  POSTVENTA CORREGIDA</v>
      </c>
      <c r="AD119" s="51" t="str">
        <f>+IF(GENERAL!AE120=GENERAL!$AI$2,GENERAL!$AI$2,CONCATENATE(OBSERVACIONES!AD119,"
ESTADO DE POSTVENTAS:  ",GENERAL!AE120))</f>
        <v>OK
ESTADO DE POSTVENTAS:  POSTVENTA CORREGIDA</v>
      </c>
      <c r="AE119" s="51" t="str">
        <f>+IF(GENERAL!AF120=GENERAL!$AI$2,GENERAL!$AI$2,CONCATENATE(OBSERVACIONES!AE119,"
ESTADO DE POSTVENTAS:  ",GENERAL!AF120))</f>
        <v>OK
ESTADO DE POSTVENTAS:  POSTVENTA CORREGIDA</v>
      </c>
      <c r="AF119" s="51" t="str">
        <f>+IF(GENERAL!AG120=GENERAL!$AI$2,GENERAL!$AI$2,CONCATENATE(OBSERVACIONES!AF119,"
ESTADO DE POSTVENTAS:  ",GENERAL!AG120))</f>
        <v>OK
ESTADO DE POSTVENTAS:  POSTVENTA CORREGIDA</v>
      </c>
      <c r="AG119" s="51" t="str">
        <f>+IF(GENERAL!AH120=GENERAL!$AI$2,GENERAL!$AI$2,CONCATENATE(OBSERVACIONES!AG119,"
ESTADO DE POSTVENTAS:  ",GENERAL!AH120))</f>
        <v>OK
ESTADO DE POSTVENTAS:  POSTVENTA CORREGIDA</v>
      </c>
      <c r="AH119" s="51" t="str">
        <f>+IF(GENERAL!AI120=GENERAL!$AI$2,GENERAL!$AI$2,CONCATENATE(OBSERVACIONES!AH119,"
ESTADO DE POSTVENTAS:  ",GENERAL!AI120))</f>
        <v>OK
ESTADO DE POSTVENTAS:  POSTVENTA CORREGIDA</v>
      </c>
      <c r="AI119" s="51" t="str">
        <f>+IF(GENERAL!AG120=GENERAL!$AI$2,GENERAL!$AI$2,CONCATENATE(OBSERVACIONES!AF119,"
ESTADO DE POSTVENTAS:  ",GENERAL!AG120))</f>
        <v>OK
ESTADO DE POSTVENTAS:  POSTVENTA CORREGIDA</v>
      </c>
      <c r="AJ119" s="51" t="str">
        <f>+IF(GENERAL!AI120=GENERAL!$AI$2,GENERAL!$AI$2,CONCATENATE(OBSERVACIONES!AH119,"
ESTADO DE POSTVENTAS:  ",GENERAL!AI120))</f>
        <v>OK
ESTADO DE POSTVENTAS:  POSTVENTA CORREGIDA</v>
      </c>
      <c r="AK119" s="51" t="str">
        <f>+IF(GENERAL!AJ120=GENERAL!$AI$2,GENERAL!$AI$2,CONCATENATE(OBSERVACIONES!AI119,"
ESTADO DE POSTVENTAS:  ",GENERAL!AJ120))</f>
        <v>OK
ESTADO DE POSTVENTAS:  POSTVENTA CORREGIDA</v>
      </c>
      <c r="AL119" s="51" t="str">
        <f>+IF(GENERAL!AK120=GENERAL!$AI$2,GENERAL!$AI$2,CONCATENATE(OBSERVACIONES!AJ119,"
ESTADO DE POSTVENTAS:  ",GENERAL!AK120))</f>
        <v>OK
ESTADO DE POSTVENTAS:  POSTVENTA CORREGIDA</v>
      </c>
      <c r="AM119" s="51" t="str">
        <f>+IF(GENERAL!AN120=GENERAL!$AI$2,GENERAL!$AI$2,CONCATENATE(OBSERVACIONES!AM119,"
ESTADO DE POSTVENTAS:  ",GENERAL!AN120))</f>
        <v>OK
ESTADO DE POSTVENTAS:  POSTVENTA CORREGIDA</v>
      </c>
      <c r="AN119" s="37">
        <v>0</v>
      </c>
      <c r="AO119" s="37">
        <v>11</v>
      </c>
      <c r="AP119" s="37">
        <v>3</v>
      </c>
      <c r="AQ119" s="37">
        <v>0</v>
      </c>
      <c r="AR119" s="43">
        <v>14</v>
      </c>
      <c r="AS119" s="40">
        <v>12</v>
      </c>
      <c r="AT119" s="37">
        <f>COUNTIFS($D$5:$AM$5,"&lt;&gt;"&amp;CODICIONALES!$A$1,$D$5:$AM$5,"&lt;&gt;"&amp;CODICIONALES!$A$2,$D$5:$AM$5,"&lt;&gt;"&amp;CODICIONALES!$B$2,$D$5:$AM$5,"&lt;&gt;"&amp;CODICIONALES!$C$2)</f>
        <v>6</v>
      </c>
      <c r="AU119" s="43">
        <f>COUNTIFS(D119:AM119,CODICIONALES!$A$2)</f>
        <v>34</v>
      </c>
      <c r="AV119" s="40">
        <f t="shared" si="1"/>
        <v>-4</v>
      </c>
    </row>
    <row r="120" spans="1:48" ht="51" customHeight="1" x14ac:dyDescent="0.25">
      <c r="A120" s="110"/>
      <c r="B120" s="2">
        <v>116</v>
      </c>
      <c r="C120" s="21" t="s">
        <v>54</v>
      </c>
      <c r="D120" s="51" t="str">
        <f>+IF(GENERAL!E121=GENERAL!$AI$2,GENERAL!$AI$2,CONCATENATE(OBSERVACIONES!D120,"
ESTADO DE POSTVENTAS:  ",GENERAL!E121))</f>
        <v>NO ENTREGADO
ESTADO DE POSTVENTAS:  TIENE POSTVENTA</v>
      </c>
      <c r="E120" s="51" t="str">
        <f>+IF(GENERAL!F121=GENERAL!$AI$2,GENERAL!$AI$2,CONCATENATE(OBSERVACIONES!E120,"
ESTADO DE POSTVENTAS:  ",GENERAL!F121))</f>
        <v>OK
ESTADO DE POSTVENTAS:  POSTVENTA CORREGIDA</v>
      </c>
      <c r="F120" s="70" t="str">
        <f>+IF(GENERAL!G121=GENERAL!$AI$2,GENERAL!$AI$2,CONCATENATE(OBSERVACIONES!F120,"
ESTADO DE POSTVENTAS:  ",GENERAL!G121))</f>
        <v>DETALLES FIJADO
ESTADO DE POSTVENTAS:  TIENE POSTVENTA</v>
      </c>
      <c r="G120" s="51" t="str">
        <f>+IF(GENERAL!H121=GENERAL!$AI$2,GENERAL!$AI$2,CONCATENATE(OBSERVACIONES!G120,"
ESTADO DE POSTVENTAS:  ",GENERAL!H121))</f>
        <v>NO ENTREGADO
ESTADO DE POSTVENTAS:  TIENE POSTVENTA</v>
      </c>
      <c r="H120" s="51" t="str">
        <f>+IF(GENERAL!I121=GENERAL!$AI$2,GENERAL!$AI$2,CONCATENATE(OBSERVACIONES!H120,"
ESTADO DE POSTVENTAS:  ",GENERAL!I121))</f>
        <v>OK
ESTADO DE POSTVENTAS:  POSTVENTA CORREGIDA</v>
      </c>
      <c r="I120" s="51" t="str">
        <f>+IF(GENERAL!J121=GENERAL!$AI$2,GENERAL!$AI$2,CONCATENATE(OBSERVACIONES!I120,"
ESTADO DE POSTVENTAS:  ",GENERAL!J121))</f>
        <v>OK
ESTADO DE POSTVENTAS:  POSTVENTA CORREGIDA</v>
      </c>
      <c r="J120" s="51" t="str">
        <f>+IF(GENERAL!K121=GENERAL!$AI$2,GENERAL!$AI$2,CONCATENATE(OBSERVACIONES!J120,"
ESTADO DE POSTVENTAS:  ",GENERAL!K121))</f>
        <v>OK
ESTADO DE POSTVENTAS:  POSTVENTA CORREGIDA</v>
      </c>
      <c r="K120" s="70" t="str">
        <f>+IF(GENERAL!L121=GENERAL!$AI$2,GENERAL!$AI$2,CONCATENATE(OBSERVACIONES!L120,"
ESTADO DE POSTVENTAS:  ",GENERAL!L121))</f>
        <v>OK
ESTADO DE POSTVENTAS:  POSTVENTA CORREGIDA</v>
      </c>
      <c r="L120" s="70" t="str">
        <f>+IF(GENERAL!M121=GENERAL!$AI$2,GENERAL!$AI$2,CONCATENATE(OBSERVACIONES!L120,"
ESTADO DE POSTVENTAS:  ",GENERAL!M121))</f>
        <v>OK
ESTADO DE POSTVENTAS:  POSTVENTA CORREGIDA</v>
      </c>
      <c r="M120" s="70" t="str">
        <f>+IF(GENERAL!N121=GENERAL!$AI$2,GENERAL!$AI$2,CONCATENATE(OBSERVACIONES!M120,"
ESTADO DE POSTVENTAS:  ",GENERAL!N121))</f>
        <v>OK
ESTADO DE POSTVENTAS:  POSTVENTA CORREGIDA</v>
      </c>
      <c r="N120" s="51" t="str">
        <f>+IF(GENERAL!O121=GENERAL!$AI$2,GENERAL!$AI$2,CONCATENATE(OBSERVACIONES!N120,"
ESTADO DE POSTVENTAS:  ",GENERAL!O121))</f>
        <v>OK
ESTADO DE POSTVENTAS:  POSTVENTA CORREGIDA</v>
      </c>
      <c r="O120" s="70" t="str">
        <f>+IF(GENERAL!P121=GENERAL!$AI$2,GENERAL!$AI$2,CONCATENATE(OBSERVACIONES!O120,"
ESTADO DE POSTVENTAS:  ",GENERAL!P121))</f>
        <v>OK
ESTADO DE POSTVENTAS:  POSTVENTA CORREGIDA</v>
      </c>
      <c r="P120" s="70" t="str">
        <f>+IF(GENERAL!Q121=GENERAL!$AI$2,GENERAL!$AI$2,CONCATENATE(OBSERVACIONES!P120,"
ESTADO DE POSTVENTAS:  ",GENERAL!Q121))</f>
        <v>OK
ESTADO DE POSTVENTAS:  POSTVENTA CORREGIDA</v>
      </c>
      <c r="Q120" s="70" t="str">
        <f>+IF(GENERAL!R121=GENERAL!$AI$2,GENERAL!$AI$2,CONCATENATE(OBSERVACIONES!Q120,"
ESTADO DE POSTVENTAS:  ",GENERAL!R121))</f>
        <v>DETALLE CAMBIO
ESTADO DE POSTVENTAS:  TIENE POSTVENTA</v>
      </c>
      <c r="R120" s="51" t="str">
        <f>+IF(GENERAL!S121=GENERAL!$AI$2,GENERAL!$AI$2,CONCATENATE(OBSERVACIONES!R120,"
ESTADO DE POSTVENTAS:  ",GENERAL!S121))</f>
        <v>OK
ESTADO DE POSTVENTAS:  POSTVENTA CORREGIDA</v>
      </c>
      <c r="S120" s="51" t="str">
        <f>+IF(GENERAL!T121=GENERAL!$AI$2,GENERAL!$AI$2,CONCATENATE(OBSERVACIONES!S120,"
ESTADO DE POSTVENTAS:  ",GENERAL!T121))</f>
        <v>OK
ESTADO DE POSTVENTAS:  POSTVENTA CORREGIDA</v>
      </c>
      <c r="T120" s="51" t="str">
        <f>+IF(GENERAL!U121=GENERAL!$AI$2,GENERAL!$AI$2,CONCATENATE(OBSERVACIONES!T120,"
ESTADO DE POSTVENTAS:  ",GENERAL!U121))</f>
        <v>OK
ESTADO DE POSTVENTAS:  POSTVENTA CORREGIDA</v>
      </c>
      <c r="U120" s="51" t="str">
        <f>+IF(GENERAL!V121=GENERAL!$AI$2,GENERAL!$AI$2,CONCATENATE(OBSERVACIONES!U120,"
ESTADO DE POSTVENTAS:  ",GENERAL!V121))</f>
        <v>OK
ESTADO DE POSTVENTAS:  POSTVENTA CORREGIDA</v>
      </c>
      <c r="V120" s="51" t="str">
        <f>+IF(GENERAL!W121=GENERAL!$AI$2,GENERAL!$AI$2,CONCATENATE(OBSERVACIONES!V120,"
ESTADO DE POSTVENTAS:  ",GENERAL!W121))</f>
        <v>OK
ESTADO DE POSTVENTAS:  POSTVENTA CORREGIDA</v>
      </c>
      <c r="W120" s="51" t="str">
        <f>+IF(GENERAL!V121=GENERAL!$AI$2,GENERAL!$AI$2,CONCATENATE(OBSERVACIONES!W120,"
ESTADO DE POSTVENTAS:  ",GENERAL!V121))</f>
        <v>OK
ESTADO DE POSTVENTAS:  POSTVENTA CORREGIDA</v>
      </c>
      <c r="X120" s="51" t="str">
        <f>+IF(GENERAL!W121=GENERAL!$AI$2,GENERAL!$AI$2,CONCATENATE(OBSERVACIONES!X120,"
ESTADO DE POSTVENTAS:  ",GENERAL!W121))</f>
        <v>OK
ESTADO DE POSTVENTAS:  POSTVENTA CORREGIDA</v>
      </c>
      <c r="Y120" s="51" t="str">
        <f>+IF(GENERAL!Z121=GENERAL!$AI$2,GENERAL!$AI$2,CONCATENATE(OBSERVACIONES!Y120,"
ESTADO DE POSTVENTAS:  ",GENERAL!Z121))</f>
        <v>OK
ESTADO DE POSTVENTAS:  POSTVENTA CORREGIDA</v>
      </c>
      <c r="Z120" s="51" t="str">
        <f>+IF(GENERAL!AA121=GENERAL!$AI$2,GENERAL!$AI$2,CONCATENATE(OBSERVACIONES!Z120,"
ESTADO DE POSTVENTAS:  ",GENERAL!AA121))</f>
        <v>OK
ESTADO DE POSTVENTAS:  POSTVENTA CORREGIDA</v>
      </c>
      <c r="AA120" s="70" t="str">
        <f>+IF(GENERAL!AB121=GENERAL!$AI$2,GENERAL!$AI$2,CONCATENATE(OBSERVACIONES!AA120,"
ESTADO DE POSTVENTAS:  ",GENERAL!AB121))</f>
        <v>DETALLE FIJAADO
ESTADO DE POSTVENTAS:  TIENE POSTVENTA</v>
      </c>
      <c r="AB120" s="70" t="str">
        <f>+IF(GENERAL!AC121=GENERAL!$AI$2,GENERAL!$AI$2,CONCATENATE(OBSERVACIONES!AB120,"
ESTADO DE POSTVENTAS:  ",GENERAL!AC121))</f>
        <v>OK
ESTADO DE POSTVENTAS:  POSTVENTA CORREGIDA</v>
      </c>
      <c r="AC120" s="70" t="str">
        <f>+IF(GENERAL!AD121=GENERAL!$AI$2,GENERAL!$AI$2,CONCATENATE(OBSERVACIONES!AC120,"
ESTADO DE POSTVENTAS:  ",GENERAL!AD121))</f>
        <v>OK
ESTADO DE POSTVENTAS:  POSTVENTA CORREGIDA</v>
      </c>
      <c r="AD120" s="51" t="str">
        <f>+IF(GENERAL!AE121=GENERAL!$AI$2,GENERAL!$AI$2,CONCATENATE(OBSERVACIONES!AD120,"
ESTADO DE POSTVENTAS:  ",GENERAL!AE121))</f>
        <v>OK
ESTADO DE POSTVENTAS:  POSTVENTA CORREGIDA</v>
      </c>
      <c r="AE120" s="51" t="str">
        <f>+IF(GENERAL!AF121=GENERAL!$AI$2,GENERAL!$AI$2,CONCATENATE(OBSERVACIONES!AE120,"
ESTADO DE POSTVENTAS:  ",GENERAL!AF121))</f>
        <v>OK
ESTADO DE POSTVENTAS:  POSTVENTA CORREGIDA</v>
      </c>
      <c r="AF120" s="51" t="str">
        <f>+IF(GENERAL!AG121=GENERAL!$AI$2,GENERAL!$AI$2,CONCATENATE(OBSERVACIONES!AF120,"
ESTADO DE POSTVENTAS:  ",GENERAL!AG121))</f>
        <v>OK
ESTADO DE POSTVENTAS:  POSTVENTA CORREGIDA</v>
      </c>
      <c r="AG120" s="51" t="str">
        <f>+IF(GENERAL!AH121=GENERAL!$AI$2,GENERAL!$AI$2,CONCATENATE(OBSERVACIONES!AG120,"
ESTADO DE POSTVENTAS:  ",GENERAL!AH121))</f>
        <v>OK
ESTADO DE POSTVENTAS:  POSTVENTA CORREGIDA</v>
      </c>
      <c r="AH120" s="51" t="str">
        <f>+IF(GENERAL!AI121=GENERAL!$AI$2,GENERAL!$AI$2,CONCATENATE(OBSERVACIONES!AH120,"
ESTADO DE POSTVENTAS:  ",GENERAL!AI121))</f>
        <v>OK
ESTADO DE POSTVENTAS:  POSTVENTA CORREGIDA</v>
      </c>
      <c r="AI120" s="51" t="str">
        <f>+IF(GENERAL!AG121=GENERAL!$AI$2,GENERAL!$AI$2,CONCATENATE(OBSERVACIONES!AF120,"
ESTADO DE POSTVENTAS:  ",GENERAL!AG121))</f>
        <v>OK
ESTADO DE POSTVENTAS:  POSTVENTA CORREGIDA</v>
      </c>
      <c r="AJ120" s="51" t="str">
        <f>+IF(GENERAL!AI121=GENERAL!$AI$2,GENERAL!$AI$2,CONCATENATE(OBSERVACIONES!AH120,"
ESTADO DE POSTVENTAS:  ",GENERAL!AI121))</f>
        <v>OK
ESTADO DE POSTVENTAS:  POSTVENTA CORREGIDA</v>
      </c>
      <c r="AK120" s="51" t="str">
        <f>+IF(GENERAL!AJ121=GENERAL!$AI$2,GENERAL!$AI$2,CONCATENATE(OBSERVACIONES!AI120,"
ESTADO DE POSTVENTAS:  ",GENERAL!AJ121))</f>
        <v>OK
ESTADO DE POSTVENTAS:  POSTVENTA CORREGIDA</v>
      </c>
      <c r="AL120" s="51" t="str">
        <f>+IF(GENERAL!AK121=GENERAL!$AI$2,GENERAL!$AI$2,CONCATENATE(OBSERVACIONES!AJ120,"
ESTADO DE POSTVENTAS:  ",GENERAL!AK121))</f>
        <v>OK
ESTADO DE POSTVENTAS:  POSTVENTA CORREGIDA</v>
      </c>
      <c r="AM120" s="51" t="str">
        <f>+IF(GENERAL!AN121=GENERAL!$AI$2,GENERAL!$AI$2,CONCATENATE(OBSERVACIONES!AM120,"
ESTADO DE POSTVENTAS:  ",GENERAL!AN121))</f>
        <v>OK
ESTADO DE POSTVENTAS:  POSTVENTA CORREGIDA</v>
      </c>
      <c r="AN120" s="37">
        <v>4</v>
      </c>
      <c r="AO120" s="37">
        <v>7</v>
      </c>
      <c r="AP120" s="37">
        <v>3</v>
      </c>
      <c r="AQ120" s="37">
        <v>2</v>
      </c>
      <c r="AR120" s="43">
        <v>12</v>
      </c>
      <c r="AS120" s="40">
        <v>12</v>
      </c>
      <c r="AT120" s="37">
        <f>COUNTIFS($D$5:$AM$5,"&lt;&gt;"&amp;CODICIONALES!$A$1,$D$5:$AM$5,"&lt;&gt;"&amp;CODICIONALES!$A$2,$D$5:$AM$5,"&lt;&gt;"&amp;CODICIONALES!$B$2,$D$5:$AM$5,"&lt;&gt;"&amp;CODICIONALES!$C$2)</f>
        <v>6</v>
      </c>
      <c r="AU120" s="43">
        <f>COUNTIFS(D120:AM120,CODICIONALES!$A$2)</f>
        <v>31</v>
      </c>
      <c r="AV120" s="40">
        <f t="shared" si="1"/>
        <v>-1</v>
      </c>
    </row>
    <row r="121" spans="1:48" ht="51" customHeight="1" x14ac:dyDescent="0.25">
      <c r="A121" s="110"/>
      <c r="B121" s="2">
        <v>117</v>
      </c>
      <c r="C121" s="21" t="s">
        <v>55</v>
      </c>
      <c r="D121" s="51" t="str">
        <f>+IF(GENERAL!E122=GENERAL!$AI$2,GENERAL!$AI$2,CONCATENATE(OBSERVACIONES!D121,"
ESTADO DE POSTVENTAS:  ",GENERAL!E122))</f>
        <v>NO ENTREGADO
ESTADO DE POSTVENTAS:  TIENE POSTVENTA</v>
      </c>
      <c r="E121" s="51" t="str">
        <f>+IF(GENERAL!F122=GENERAL!$AI$2,GENERAL!$AI$2,CONCATENATE(OBSERVACIONES!E121,"
ESTADO DE POSTVENTAS:  ",GENERAL!F122))</f>
        <v>OK
ESTADO DE POSTVENTAS:  POSTVENTA CORREGIDA</v>
      </c>
      <c r="F121" s="51" t="str">
        <f>+IF(GENERAL!G122=GENERAL!$AI$2,GENERAL!$AI$2,CONCATENATE(OBSERVACIONES!F121,"
ESTADO DE POSTVENTAS:  ",GENERAL!G122))</f>
        <v>OK
ESTADO DE POSTVENTAS:  POSTVENTA CORREGIDA</v>
      </c>
      <c r="G121" s="51" t="str">
        <f>+IF(GENERAL!H122=GENERAL!$AI$2,GENERAL!$AI$2,CONCATENATE(OBSERVACIONES!G121,"
ESTADO DE POSTVENTAS:  ",GENERAL!H122))</f>
        <v>NO ENTREGADO
ESTADO DE POSTVENTAS:  TIENE POSTVENTA</v>
      </c>
      <c r="H121" s="51" t="str">
        <f>+IF(GENERAL!I122=GENERAL!$AI$2,GENERAL!$AI$2,CONCATENATE(OBSERVACIONES!H121,"
ESTADO DE POSTVENTAS:  ",GENERAL!I122))</f>
        <v>OK
ESTADO DE POSTVENTAS:  POSTVENTA CORREGIDA</v>
      </c>
      <c r="I121" s="51" t="str">
        <f>+IF(GENERAL!J122=GENERAL!$AI$2,GENERAL!$AI$2,CONCATENATE(OBSERVACIONES!I121,"
ESTADO DE POSTVENTAS:  ",GENERAL!J122))</f>
        <v>OK
ESTADO DE POSTVENTAS:  POSTVENTA CORREGIDA</v>
      </c>
      <c r="J121" s="51" t="str">
        <f>+IF(GENERAL!K122=GENERAL!$AI$2,GENERAL!$AI$2,CONCATENATE(OBSERVACIONES!J121,"
ESTADO DE POSTVENTAS:  ",GENERAL!K122))</f>
        <v>OK
ESTADO DE POSTVENTAS:  POSTVENTA CORREGIDA</v>
      </c>
      <c r="K121" s="51" t="str">
        <f>+IF(GENERAL!L122=GENERAL!$AI$2,GENERAL!$AI$2,CONCATENATE(OBSERVACIONES!K121,"
ESTADO DE POSTVENTAS:  ",GENERAL!L122))</f>
        <v>OK
ESTADO DE POSTVENTAS:  POSTVENTA CORREGIDA</v>
      </c>
      <c r="L121" s="51" t="str">
        <f>+IF(GENERAL!M122=GENERAL!$AI$2,GENERAL!$AI$2,CONCATENATE(OBSERVACIONES!L121,"
ESTADO DE POSTVENTAS:  ",GENERAL!M122))</f>
        <v>OK
ESTADO DE POSTVENTAS:  POSTVENTA CORREGIDA</v>
      </c>
      <c r="M121" s="70" t="str">
        <f>+IF(GENERAL!N122=GENERAL!$AI$2,GENERAL!$AI$2,CONCATENATE(OBSERVACIONES!M121,"
ESTADO DE POSTVENTAS:  ",GENERAL!N122))</f>
        <v>OK
ESTADO DE POSTVENTAS:  POSTVENTA CORREGIDA</v>
      </c>
      <c r="N121" s="51" t="str">
        <f>+IF(GENERAL!O122=GENERAL!$AI$2,GENERAL!$AI$2,CONCATENATE(OBSERVACIONES!N121,"
ESTADO DE POSTVENTAS:  ",GENERAL!O122))</f>
        <v>OK
ESTADO DE POSTVENTAS:  POSTVENTA CORREGIDA</v>
      </c>
      <c r="O121" s="51" t="str">
        <f>+IF(GENERAL!P122=GENERAL!$AI$2,GENERAL!$AI$2,CONCATENATE(OBSERVACIONES!O121,"
ESTADO DE POSTVENTAS:  ",GENERAL!P122))</f>
        <v>OK
ESTADO DE POSTVENTAS:  POSTVENTA CORREGIDA</v>
      </c>
      <c r="P121" s="70" t="str">
        <f>+IF(GENERAL!Q122=GENERAL!$AI$2,GENERAL!$AI$2,CONCATENATE(OBSERVACIONES!P121,"
ESTADO DE POSTVENTAS:  ",GENERAL!Q122))</f>
        <v>OK
ESTADO DE POSTVENTAS:  POSTVENTA CORREGIDA</v>
      </c>
      <c r="Q121" s="70" t="str">
        <f>+IF(GENERAL!R122=GENERAL!$AI$2,GENERAL!$AI$2,CONCATENATE(OBSERVACIONES!Q121,"
ESTADO DE POSTVENTAS:  ",GENERAL!R122))</f>
        <v>OK
ESTADO DE POSTVENTAS:  POSTVENTA CORREGIDA</v>
      </c>
      <c r="R121" s="51" t="str">
        <f>+IF(GENERAL!S122=GENERAL!$AI$2,GENERAL!$AI$2,CONCATENATE(OBSERVACIONES!R121,"
ESTADO DE POSTVENTAS:  ",GENERAL!S122))</f>
        <v>OK
ESTADO DE POSTVENTAS:  POSTVENTA CORREGIDA</v>
      </c>
      <c r="S121" s="51" t="str">
        <f>+IF(GENERAL!T122=GENERAL!$AI$2,GENERAL!$AI$2,CONCATENATE(OBSERVACIONES!S121,"
ESTADO DE POSTVENTAS:  ",GENERAL!T122))</f>
        <v>OK
ESTADO DE POSTVENTAS:  POSTVENTA CORREGIDA</v>
      </c>
      <c r="T121" s="51" t="str">
        <f>+IF(GENERAL!U122=GENERAL!$AI$2,GENERAL!$AI$2,CONCATENATE(OBSERVACIONES!T121,"
ESTADO DE POSTVENTAS:  ",GENERAL!U122))</f>
        <v>OK
ESTADO DE POSTVENTAS:  POSTVENTA CORREGIDA</v>
      </c>
      <c r="U121" s="51" t="str">
        <f>+IF(GENERAL!V122=GENERAL!$AI$2,GENERAL!$AI$2,CONCATENATE(OBSERVACIONES!U121,"
ESTADO DE POSTVENTAS:  ",GENERAL!V122))</f>
        <v>OK
ESTADO DE POSTVENTAS:  POSTVENTA CORREGIDA</v>
      </c>
      <c r="V121" s="51" t="str">
        <f>+IF(GENERAL!W122=GENERAL!$AI$2,GENERAL!$AI$2,CONCATENATE(OBSERVACIONES!V121,"
ESTADO DE POSTVENTAS:  ",GENERAL!W122))</f>
        <v>OK
ESTADO DE POSTVENTAS:  POSTVENTA CORREGIDA</v>
      </c>
      <c r="W121" s="51" t="str">
        <f>+IF(GENERAL!V122=GENERAL!$AI$2,GENERAL!$AI$2,CONCATENATE(OBSERVACIONES!W121,"
ESTADO DE POSTVENTAS:  ",GENERAL!V122))</f>
        <v>OK
ESTADO DE POSTVENTAS:  POSTVENTA CORREGIDA</v>
      </c>
      <c r="X121" s="51" t="str">
        <f>+IF(GENERAL!W122=GENERAL!$AI$2,GENERAL!$AI$2,CONCATENATE(OBSERVACIONES!X121,"
ESTADO DE POSTVENTAS:  ",GENERAL!W122))</f>
        <v>OK
ESTADO DE POSTVENTAS:  POSTVENTA CORREGIDA</v>
      </c>
      <c r="Y121" s="51" t="str">
        <f>+IF(GENERAL!Z122=GENERAL!$AI$2,GENERAL!$AI$2,CONCATENATE(OBSERVACIONES!Y121,"
ESTADO DE POSTVENTAS:  ",GENERAL!Z122))</f>
        <v>OK
ESTADO DE POSTVENTAS:  POSTVENTA CORREGIDA</v>
      </c>
      <c r="Z121" s="51" t="str">
        <f>+IF(GENERAL!AA122=GENERAL!$AI$2,GENERAL!$AI$2,CONCATENATE(OBSERVACIONES!Z121,"
ESTADO DE POSTVENTAS:  ",GENERAL!AA122))</f>
        <v>OK
ESTADO DE POSTVENTAS:  POSTVENTA CORREGIDA</v>
      </c>
      <c r="AA121" s="51" t="str">
        <f>+IF(GENERAL!AB122=GENERAL!$AI$2,GENERAL!$AI$2,CONCATENATE(OBSERVACIONES!AA121,"
ESTADO DE POSTVENTAS:  ",GENERAL!AB122))</f>
        <v>OK
ESTADO DE POSTVENTAS:  POSTVENTA CORREGIDA</v>
      </c>
      <c r="AB121" s="51" t="str">
        <f>+IF(GENERAL!AC122=GENERAL!$AI$2,GENERAL!$AI$2,CONCATENATE(OBSERVACIONES!AB121,"
ESTADO DE POSTVENTAS:  ",GENERAL!AC122))</f>
        <v>OK
ESTADO DE POSTVENTAS:  POSTVENTA CORREGIDA</v>
      </c>
      <c r="AC121" s="51" t="str">
        <f>+IF(GENERAL!AD122=GENERAL!$AI$2,GENERAL!$AI$2,CONCATENATE(OBSERVACIONES!AC121,"
ESTADO DE POSTVENTAS:  ",GENERAL!AD122))</f>
        <v>OK
ESTADO DE POSTVENTAS:  POSTVENTA CORREGIDA</v>
      </c>
      <c r="AD121" s="51" t="str">
        <f>+IF(GENERAL!AE122=GENERAL!$AI$2,GENERAL!$AI$2,CONCATENATE(OBSERVACIONES!AD121,"
ESTADO DE POSTVENTAS:  ",GENERAL!AE122))</f>
        <v>OK
ESTADO DE POSTVENTAS:  POSTVENTA CORREGIDA</v>
      </c>
      <c r="AE121" s="51" t="str">
        <f>+IF(GENERAL!AF122=GENERAL!$AI$2,GENERAL!$AI$2,CONCATENATE(OBSERVACIONES!AE121,"
ESTADO DE POSTVENTAS:  ",GENERAL!AF122))</f>
        <v>OK
ESTADO DE POSTVENTAS:  POSTVENTA CORREGIDA</v>
      </c>
      <c r="AF121" s="51" t="str">
        <f>+IF(GENERAL!AG122=GENERAL!$AI$2,GENERAL!$AI$2,CONCATENATE(OBSERVACIONES!AF121,"
ESTADO DE POSTVENTAS:  ",GENERAL!AG122))</f>
        <v>OK
ESTADO DE POSTVENTAS:  POSTVENTA CORREGIDA</v>
      </c>
      <c r="AG121" s="51" t="str">
        <f>+IF(GENERAL!AH122=GENERAL!$AI$2,GENERAL!$AI$2,CONCATENATE(OBSERVACIONES!AG121,"
ESTADO DE POSTVENTAS:  ",GENERAL!AH122))</f>
        <v>OK
ESTADO DE POSTVENTAS:  POSTVENTA CORREGIDA</v>
      </c>
      <c r="AH121" s="51" t="str">
        <f>+IF(GENERAL!AI122=GENERAL!$AI$2,GENERAL!$AI$2,CONCATENATE(OBSERVACIONES!AH121,"
ESTADO DE POSTVENTAS:  ",GENERAL!AI122))</f>
        <v>OK
ESTADO DE POSTVENTAS:  POSTVENTA CORREGIDA</v>
      </c>
      <c r="AI121" s="51" t="str">
        <f>+IF(GENERAL!AG122=GENERAL!$AI$2,GENERAL!$AI$2,CONCATENATE(OBSERVACIONES!AF121,"
ESTADO DE POSTVENTAS:  ",GENERAL!AG122))</f>
        <v>OK
ESTADO DE POSTVENTAS:  POSTVENTA CORREGIDA</v>
      </c>
      <c r="AJ121" s="51" t="str">
        <f>+IF(GENERAL!AI122=GENERAL!$AI$2,GENERAL!$AI$2,CONCATENATE(OBSERVACIONES!AH121,"
ESTADO DE POSTVENTAS:  ",GENERAL!AI122))</f>
        <v>OK
ESTADO DE POSTVENTAS:  POSTVENTA CORREGIDA</v>
      </c>
      <c r="AK121" s="51" t="str">
        <f>+IF(GENERAL!AJ122=GENERAL!$AI$2,GENERAL!$AI$2,CONCATENATE(OBSERVACIONES!AI121,"
ESTADO DE POSTVENTAS:  ",GENERAL!AJ122))</f>
        <v>OK
ESTADO DE POSTVENTAS:  POSTVENTA CORREGIDA</v>
      </c>
      <c r="AL121" s="51" t="str">
        <f>+IF(GENERAL!AK122=GENERAL!$AI$2,GENERAL!$AI$2,CONCATENATE(OBSERVACIONES!AJ121,"
ESTADO DE POSTVENTAS:  ",GENERAL!AK122))</f>
        <v>OK
ESTADO DE POSTVENTAS:  POSTVENTA CORREGIDA</v>
      </c>
      <c r="AM121" s="51" t="str">
        <f>+IF(GENERAL!AN122=GENERAL!$AI$2,GENERAL!$AI$2,CONCATENATE(OBSERVACIONES!AM121,"
ESTADO DE POSTVENTAS:  ",GENERAL!AN122))</f>
        <v>OK
ESTADO DE POSTVENTAS:  POSTVENTA CORREGIDA</v>
      </c>
      <c r="AN121" s="37">
        <v>0</v>
      </c>
      <c r="AO121" s="37">
        <v>11</v>
      </c>
      <c r="AP121" s="37">
        <v>3</v>
      </c>
      <c r="AQ121" s="37">
        <v>0</v>
      </c>
      <c r="AR121" s="43">
        <v>14</v>
      </c>
      <c r="AS121" s="40">
        <v>12</v>
      </c>
      <c r="AT121" s="37">
        <f>COUNTIFS($D$5:$AM$5,"&lt;&gt;"&amp;CODICIONALES!$A$1,$D$5:$AM$5,"&lt;&gt;"&amp;CODICIONALES!$A$2,$D$5:$AM$5,"&lt;&gt;"&amp;CODICIONALES!$B$2,$D$5:$AM$5,"&lt;&gt;"&amp;CODICIONALES!$C$2)</f>
        <v>6</v>
      </c>
      <c r="AU121" s="43">
        <f>COUNTIFS(D121:AM121,CODICIONALES!$A$2)</f>
        <v>34</v>
      </c>
      <c r="AV121" s="40">
        <f t="shared" si="1"/>
        <v>-4</v>
      </c>
    </row>
    <row r="122" spans="1:48" ht="51" customHeight="1" x14ac:dyDescent="0.25">
      <c r="A122" s="110"/>
      <c r="B122" s="2">
        <v>118</v>
      </c>
      <c r="C122" s="21" t="s">
        <v>57</v>
      </c>
      <c r="D122" s="51" t="str">
        <f>+IF(GENERAL!E123=GENERAL!$AI$2,GENERAL!$AI$2,CONCATENATE(OBSERVACIONES!D122,"
ESTADO DE POSTVENTAS:  ",GENERAL!E123))</f>
        <v>NO ENTREGADO
ESTADO DE POSTVENTAS:  TIENE POSTVENTA</v>
      </c>
      <c r="E122" s="51" t="str">
        <f>+IF(GENERAL!F123=GENERAL!$AI$2,GENERAL!$AI$2,CONCATENATE(OBSERVACIONES!E122,"
ESTADO DE POSTVENTAS:  ",GENERAL!F123))</f>
        <v>OK
ESTADO DE POSTVENTAS:  POSTVENTA CORREGIDA</v>
      </c>
      <c r="F122" s="51" t="str">
        <f>+IF(GENERAL!G123=GENERAL!$AI$2,GENERAL!$AI$2,CONCATENATE(OBSERVACIONES!F122,"
ESTADO DE POSTVENTAS:  ",GENERAL!G123))</f>
        <v>OK
ESTADO DE POSTVENTAS:  POSTVENTA CORREGIDA</v>
      </c>
      <c r="G122" s="51" t="str">
        <f>+IF(GENERAL!H123=GENERAL!$AI$2,GENERAL!$AI$2,CONCATENATE(OBSERVACIONES!G122,"
ESTADO DE POSTVENTAS:  ",GENERAL!H123))</f>
        <v>NO ENTREGADO
ESTADO DE POSTVENTAS:  TIENE POSTVENTA</v>
      </c>
      <c r="H122" s="51" t="str">
        <f>+IF(GENERAL!I123=GENERAL!$AI$2,GENERAL!$AI$2,CONCATENATE(OBSERVACIONES!H122,"
ESTADO DE POSTVENTAS:  ",GENERAL!I123))</f>
        <v>OK
ESTADO DE POSTVENTAS:  POSTVENTA CORREGIDA</v>
      </c>
      <c r="I122" s="51" t="str">
        <f>+IF(GENERAL!J123=GENERAL!$AI$2,GENERAL!$AI$2,CONCATENATE(OBSERVACIONES!I122,"
ESTADO DE POSTVENTAS:  ",GENERAL!J123))</f>
        <v>OK
ESTADO DE POSTVENTAS:  POSTVENTA CORREGIDA</v>
      </c>
      <c r="J122" s="51" t="str">
        <f>+IF(GENERAL!K123=GENERAL!$AI$2,GENERAL!$AI$2,CONCATENATE(OBSERVACIONES!J122,"
ESTADO DE POSTVENTAS:  ",GENERAL!K123))</f>
        <v>OK
ESTADO DE POSTVENTAS:  POSTVENTA CORREGIDA</v>
      </c>
      <c r="K122" s="51" t="str">
        <f>+IF(GENERAL!L123=GENERAL!$AI$2,GENERAL!$AI$2,CONCATENATE(OBSERVACIONES!K122,"
ESTADO DE POSTVENTAS:  ",GENERAL!L123))</f>
        <v>OK
ESTADO DE POSTVENTAS:  POSTVENTA CORREGIDA</v>
      </c>
      <c r="L122" s="51" t="str">
        <f>+IF(GENERAL!M123=GENERAL!$AI$2,GENERAL!$AI$2,CONCATENATE(OBSERVACIONES!L122,"
ESTADO DE POSTVENTAS:  ",GENERAL!M123))</f>
        <v>OK
ESTADO DE POSTVENTAS:  POSTVENTA CORREGIDA</v>
      </c>
      <c r="M122" s="70" t="str">
        <f>+IF(GENERAL!N123=GENERAL!$AI$2,GENERAL!$AI$2,CONCATENATE(OBSERVACIONES!M122,"
ESTADO DE POSTVENTAS:  ",GENERAL!N123))</f>
        <v>OK
ESTADO DE POSTVENTAS:  POSTVENTA CORREGIDA</v>
      </c>
      <c r="N122" s="51" t="str">
        <f>+IF(GENERAL!O123=GENERAL!$AI$2,GENERAL!$AI$2,CONCATENATE(OBSERVACIONES!N122,"
ESTADO DE POSTVENTAS:  ",GENERAL!O123))</f>
        <v>OK
ESTADO DE POSTVENTAS:  POSTVENTA CORREGIDA</v>
      </c>
      <c r="O122" s="51" t="str">
        <f>+IF(GENERAL!P123=GENERAL!$AI$2,GENERAL!$AI$2,CONCATENATE(OBSERVACIONES!O122,"
ESTADO DE POSTVENTAS:  ",GENERAL!P123))</f>
        <v>OK
ESTADO DE POSTVENTAS:  POSTVENTA CORREGIDA</v>
      </c>
      <c r="P122" s="70" t="str">
        <f>+IF(GENERAL!Q123=GENERAL!$AI$2,GENERAL!$AI$2,CONCATENATE(OBSERVACIONES!P122,"
ESTADO DE POSTVENTAS:  ",GENERAL!Q123))</f>
        <v>OK
ESTADO DE POSTVENTAS:  POSTVENTA CORREGIDA</v>
      </c>
      <c r="Q122" s="70" t="str">
        <f>+IF(GENERAL!R123=GENERAL!$AI$2,GENERAL!$AI$2,CONCATENATE(OBSERVACIONES!Q122,"
ESTADO DE POSTVENTAS:  ",GENERAL!R123))</f>
        <v>OK
ESTADO DE POSTVENTAS:  POSTVENTA CORREGIDA</v>
      </c>
      <c r="R122" s="51" t="str">
        <f>+IF(GENERAL!S123=GENERAL!$AI$2,GENERAL!$AI$2,CONCATENATE(OBSERVACIONES!R122,"
ESTADO DE POSTVENTAS:  ",GENERAL!S123))</f>
        <v>OK
ESTADO DE POSTVENTAS:  POSTVENTA CORREGIDA</v>
      </c>
      <c r="S122" s="51" t="str">
        <f>+IF(GENERAL!T123=GENERAL!$AI$2,GENERAL!$AI$2,CONCATENATE(OBSERVACIONES!S122,"
ESTADO DE POSTVENTAS:  ",GENERAL!T123))</f>
        <v>OK
ESTADO DE POSTVENTAS:  POSTVENTA CORREGIDA</v>
      </c>
      <c r="T122" s="51" t="str">
        <f>+IF(GENERAL!U123=GENERAL!$AI$2,GENERAL!$AI$2,CONCATENATE(OBSERVACIONES!T122,"
ESTADO DE POSTVENTAS:  ",GENERAL!U123))</f>
        <v>OK
ESTADO DE POSTVENTAS:  POSTVENTA CORREGIDA</v>
      </c>
      <c r="U122" s="51" t="str">
        <f>+IF(GENERAL!V123=GENERAL!$AI$2,GENERAL!$AI$2,CONCATENATE(OBSERVACIONES!U122,"
ESTADO DE POSTVENTAS:  ",GENERAL!V123))</f>
        <v>OK
ESTADO DE POSTVENTAS:  POSTVENTA CORREGIDA</v>
      </c>
      <c r="V122" s="51" t="str">
        <f>+IF(GENERAL!W123=GENERAL!$AI$2,GENERAL!$AI$2,CONCATENATE(OBSERVACIONES!V122,"
ESTADO DE POSTVENTAS:  ",GENERAL!W123))</f>
        <v>OK
ESTADO DE POSTVENTAS:  POSTVENTA CORREGIDA</v>
      </c>
      <c r="W122" s="51" t="str">
        <f>+IF(GENERAL!V123=GENERAL!$AI$2,GENERAL!$AI$2,CONCATENATE(OBSERVACIONES!W122,"
ESTADO DE POSTVENTAS:  ",GENERAL!V123))</f>
        <v>OK
ESTADO DE POSTVENTAS:  POSTVENTA CORREGIDA</v>
      </c>
      <c r="X122" s="51" t="str">
        <f>+IF(GENERAL!W123=GENERAL!$AI$2,GENERAL!$AI$2,CONCATENATE(OBSERVACIONES!X122,"
ESTADO DE POSTVENTAS:  ",GENERAL!W123))</f>
        <v>OK
ESTADO DE POSTVENTAS:  POSTVENTA CORREGIDA</v>
      </c>
      <c r="Y122" s="51" t="str">
        <f>+IF(GENERAL!Z123=GENERAL!$AI$2,GENERAL!$AI$2,CONCATENATE(OBSERVACIONES!Y122,"
ESTADO DE POSTVENTAS:  ",GENERAL!Z123))</f>
        <v>OK
ESTADO DE POSTVENTAS:  POSTVENTA CORREGIDA</v>
      </c>
      <c r="Z122" s="51" t="str">
        <f>+IF(GENERAL!AA123=GENERAL!$AI$2,GENERAL!$AI$2,CONCATENATE(OBSERVACIONES!Z122,"
ESTADO DE POSTVENTAS:  ",GENERAL!AA123))</f>
        <v>OK
ESTADO DE POSTVENTAS:  POSTVENTA CORREGIDA</v>
      </c>
      <c r="AA122" s="51" t="str">
        <f>+IF(GENERAL!AB123=GENERAL!$AI$2,GENERAL!$AI$2,CONCATENATE(OBSERVACIONES!AA122,"
ESTADO DE POSTVENTAS:  ",GENERAL!AB123))</f>
        <v>OK
ESTADO DE POSTVENTAS:  POSTVENTA CORREGIDA</v>
      </c>
      <c r="AB122" s="51" t="str">
        <f>+IF(GENERAL!AC123=GENERAL!$AI$2,GENERAL!$AI$2,CONCATENATE(OBSERVACIONES!AB122,"
ESTADO DE POSTVENTAS:  ",GENERAL!AC123))</f>
        <v>OK
ESTADO DE POSTVENTAS:  POSTVENTA CORREGIDA</v>
      </c>
      <c r="AC122" s="51" t="str">
        <f>+IF(GENERAL!AD123=GENERAL!$AI$2,GENERAL!$AI$2,CONCATENATE(OBSERVACIONES!AC122,"
ESTADO DE POSTVENTAS:  ",GENERAL!AD123))</f>
        <v>OK
ESTADO DE POSTVENTAS:  POSTVENTA CORREGIDA</v>
      </c>
      <c r="AD122" s="51" t="str">
        <f>+IF(GENERAL!AE123=GENERAL!$AI$2,GENERAL!$AI$2,CONCATENATE(OBSERVACIONES!AD122,"
ESTADO DE POSTVENTAS:  ",GENERAL!AE123))</f>
        <v>OK
ESTADO DE POSTVENTAS:  POSTVENTA CORREGIDA</v>
      </c>
      <c r="AE122" s="51" t="str">
        <f>+IF(GENERAL!AF123=GENERAL!$AI$2,GENERAL!$AI$2,CONCATENATE(OBSERVACIONES!AE122,"
ESTADO DE POSTVENTAS:  ",GENERAL!AF123))</f>
        <v>OK
ESTADO DE POSTVENTAS:  POSTVENTA CORREGIDA</v>
      </c>
      <c r="AF122" s="51" t="str">
        <f>+IF(GENERAL!AG123=GENERAL!$AI$2,GENERAL!$AI$2,CONCATENATE(OBSERVACIONES!AF122,"
ESTADO DE POSTVENTAS:  ",GENERAL!AG123))</f>
        <v>OK
ESTADO DE POSTVENTAS:  POSTVENTA CORREGIDA</v>
      </c>
      <c r="AG122" s="51" t="str">
        <f>+IF(GENERAL!AH123=GENERAL!$AI$2,GENERAL!$AI$2,CONCATENATE(OBSERVACIONES!AG122,"
ESTADO DE POSTVENTAS:  ",GENERAL!AH123))</f>
        <v>OK
ESTADO DE POSTVENTAS:  POSTVENTA CORREGIDA</v>
      </c>
      <c r="AH122" s="51" t="str">
        <f>+IF(GENERAL!AI123=GENERAL!$AI$2,GENERAL!$AI$2,CONCATENATE(OBSERVACIONES!AH122,"
ESTADO DE POSTVENTAS:  ",GENERAL!AI123))</f>
        <v>OK
ESTADO DE POSTVENTAS:  POSTVENTA CORREGIDA</v>
      </c>
      <c r="AI122" s="51" t="str">
        <f>+IF(GENERAL!AG123=GENERAL!$AI$2,GENERAL!$AI$2,CONCATENATE(OBSERVACIONES!AF122,"
ESTADO DE POSTVENTAS:  ",GENERAL!AG123))</f>
        <v>OK
ESTADO DE POSTVENTAS:  POSTVENTA CORREGIDA</v>
      </c>
      <c r="AJ122" s="51" t="str">
        <f>+IF(GENERAL!AI123=GENERAL!$AI$2,GENERAL!$AI$2,CONCATENATE(OBSERVACIONES!AH122,"
ESTADO DE POSTVENTAS:  ",GENERAL!AI123))</f>
        <v>OK
ESTADO DE POSTVENTAS:  POSTVENTA CORREGIDA</v>
      </c>
      <c r="AK122" s="51" t="str">
        <f>+IF(GENERAL!AJ123=GENERAL!$AI$2,GENERAL!$AI$2,CONCATENATE(OBSERVACIONES!AI122,"
ESTADO DE POSTVENTAS:  ",GENERAL!AJ123))</f>
        <v>OK
ESTADO DE POSTVENTAS:  POSTVENTA CORREGIDA</v>
      </c>
      <c r="AL122" s="51" t="str">
        <f>+IF(GENERAL!AK123=GENERAL!$AI$2,GENERAL!$AI$2,CONCATENATE(OBSERVACIONES!AJ122,"
ESTADO DE POSTVENTAS:  ",GENERAL!AK123))</f>
        <v>OK
ESTADO DE POSTVENTAS:  POSTVENTA CORREGIDA</v>
      </c>
      <c r="AM122" s="51" t="str">
        <f>+IF(GENERAL!AN123=GENERAL!$AI$2,GENERAL!$AI$2,CONCATENATE(OBSERVACIONES!AM122,"
ESTADO DE POSTVENTAS:  ",GENERAL!AN123))</f>
        <v>OK
ESTADO DE POSTVENTAS:  POSTVENTA CORREGIDA</v>
      </c>
      <c r="AN122" s="37">
        <v>0</v>
      </c>
      <c r="AO122" s="37">
        <v>11</v>
      </c>
      <c r="AP122" s="37">
        <v>3</v>
      </c>
      <c r="AQ122" s="37">
        <v>0</v>
      </c>
      <c r="AR122" s="43">
        <v>14</v>
      </c>
      <c r="AS122" s="40">
        <v>12</v>
      </c>
      <c r="AT122" s="37">
        <f>COUNTIFS($D$5:$AM$5,"&lt;&gt;"&amp;CODICIONALES!$A$1,$D$5:$AM$5,"&lt;&gt;"&amp;CODICIONALES!$A$2,$D$5:$AM$5,"&lt;&gt;"&amp;CODICIONALES!$B$2,$D$5:$AM$5,"&lt;&gt;"&amp;CODICIONALES!$C$2)</f>
        <v>6</v>
      </c>
      <c r="AU122" s="43">
        <f>COUNTIFS(D122:AM122,CODICIONALES!$A$2)</f>
        <v>34</v>
      </c>
      <c r="AV122" s="40">
        <f t="shared" si="1"/>
        <v>-4</v>
      </c>
    </row>
    <row r="123" spans="1:48" ht="51" customHeight="1" x14ac:dyDescent="0.25">
      <c r="A123" s="110"/>
      <c r="B123" s="2">
        <v>119</v>
      </c>
      <c r="C123" s="21" t="s">
        <v>59</v>
      </c>
      <c r="D123" s="51" t="str">
        <f>+IF(GENERAL!E124=GENERAL!$AI$2,GENERAL!$AI$2,CONCATENATE(OBSERVACIONES!D123,"
ESTADO DE POSTVENTAS:  ",GENERAL!E124))</f>
        <v>NO ENTREGADO
ESTADO DE POSTVENTAS:  TIENE POSTVENTA</v>
      </c>
      <c r="E123" s="51" t="str">
        <f>+IF(GENERAL!F124=GENERAL!$AI$2,GENERAL!$AI$2,CONCATENATE(OBSERVACIONES!E123,"
ESTADO DE POSTVENTAS:  ",GENERAL!F124))</f>
        <v>OK
ESTADO DE POSTVENTAS:  POSTVENTA CORREGIDA</v>
      </c>
      <c r="F123" s="51" t="str">
        <f>+IF(GENERAL!G124=GENERAL!$AI$2,GENERAL!$AI$2,CONCATENATE(OBSERVACIONES!F123,"
ESTADO DE POSTVENTAS:  ",GENERAL!G124))</f>
        <v>OK
ESTADO DE POSTVENTAS:  POSTVENTA CORREGIDA</v>
      </c>
      <c r="G123" s="51" t="str">
        <f>+IF(GENERAL!H124=GENERAL!$AI$2,GENERAL!$AI$2,CONCATENATE(OBSERVACIONES!G123,"
ESTADO DE POSTVENTAS:  ",GENERAL!H124))</f>
        <v>NO ENTREGADO
ESTADO DE POSTVENTAS:  TIENE POSTVENTA</v>
      </c>
      <c r="H123" s="51" t="str">
        <f>+IF(GENERAL!I124=GENERAL!$AI$2,GENERAL!$AI$2,CONCATENATE(OBSERVACIONES!H123,"
ESTADO DE POSTVENTAS:  ",GENERAL!I124))</f>
        <v>OK
ESTADO DE POSTVENTAS:  POSTVENTA CORREGIDA</v>
      </c>
      <c r="I123" s="51" t="str">
        <f>+IF(GENERAL!J124=GENERAL!$AI$2,GENERAL!$AI$2,CONCATENATE(OBSERVACIONES!I123,"
ESTADO DE POSTVENTAS:  ",GENERAL!J124))</f>
        <v>OK
ESTADO DE POSTVENTAS:  POSTVENTA CORREGIDA</v>
      </c>
      <c r="J123" s="51" t="str">
        <f>+IF(GENERAL!K124=GENERAL!$AI$2,GENERAL!$AI$2,CONCATENATE(OBSERVACIONES!J123,"
ESTADO DE POSTVENTAS:  ",GENERAL!K124))</f>
        <v>OK
ESTADO DE POSTVENTAS:  POSTVENTA CORREGIDA</v>
      </c>
      <c r="K123" s="51" t="str">
        <f>+IF(GENERAL!L124=GENERAL!$AI$2,GENERAL!$AI$2,CONCATENATE(OBSERVACIONES!K123,"
ESTADO DE POSTVENTAS:  ",GENERAL!L124))</f>
        <v>OK
ESTADO DE POSTVENTAS:  POSTVENTA CORREGIDA</v>
      </c>
      <c r="L123" s="51" t="str">
        <f>+IF(GENERAL!M124=GENERAL!$AI$2,GENERAL!$AI$2,CONCATENATE(OBSERVACIONES!L123,"
ESTADO DE POSTVENTAS:  ",GENERAL!M124))</f>
        <v>OK
ESTADO DE POSTVENTAS:  POSTVENTA CORREGIDA</v>
      </c>
      <c r="M123" s="70" t="str">
        <f>+IF(GENERAL!N124=GENERAL!$AI$2,GENERAL!$AI$2,CONCATENATE(OBSERVACIONES!M123,"
ESTADO DE POSTVENTAS:  ",GENERAL!N124))</f>
        <v>OK
ESTADO DE POSTVENTAS:  POSTVENTA CORREGIDA</v>
      </c>
      <c r="N123" s="51" t="str">
        <f>+IF(GENERAL!O124=GENERAL!$AI$2,GENERAL!$AI$2,CONCATENATE(OBSERVACIONES!N123,"
ESTADO DE POSTVENTAS:  ",GENERAL!O124))</f>
        <v>OK
ESTADO DE POSTVENTAS:  POSTVENTA CORREGIDA</v>
      </c>
      <c r="O123" s="51" t="str">
        <f>+IF(GENERAL!P124=GENERAL!$AI$2,GENERAL!$AI$2,CONCATENATE(OBSERVACIONES!O123,"
ESTADO DE POSTVENTAS:  ",GENERAL!P124))</f>
        <v>OK
ESTADO DE POSTVENTAS:  POSTVENTA CORREGIDA</v>
      </c>
      <c r="P123" s="70" t="str">
        <f>+IF(GENERAL!Q124=GENERAL!$AI$2,GENERAL!$AI$2,CONCATENATE(OBSERVACIONES!P123,"
ESTADO DE POSTVENTAS:  ",GENERAL!Q124))</f>
        <v>OK
ESTADO DE POSTVENTAS:  POSTVENTA CORREGIDA</v>
      </c>
      <c r="Q123" s="70" t="str">
        <f>+IF(GENERAL!R124=GENERAL!$AI$2,GENERAL!$AI$2,CONCATENATE(OBSERVACIONES!Q123,"
ESTADO DE POSTVENTAS:  ",GENERAL!R124))</f>
        <v>OK
ESTADO DE POSTVENTAS:  POSTVENTA CORREGIDA</v>
      </c>
      <c r="R123" s="51" t="str">
        <f>+IF(GENERAL!S124=GENERAL!$AI$2,GENERAL!$AI$2,CONCATENATE(OBSERVACIONES!R123,"
ESTADO DE POSTVENTAS:  ",GENERAL!S124))</f>
        <v>OK
ESTADO DE POSTVENTAS:  POSTVENTA CORREGIDA</v>
      </c>
      <c r="S123" s="51" t="str">
        <f>+IF(GENERAL!T124=GENERAL!$AI$2,GENERAL!$AI$2,CONCATENATE(OBSERVACIONES!S123,"
ESTADO DE POSTVENTAS:  ",GENERAL!T124))</f>
        <v>OK
ESTADO DE POSTVENTAS:  POSTVENTA CORREGIDA</v>
      </c>
      <c r="T123" s="51" t="str">
        <f>+IF(GENERAL!U124=GENERAL!$AI$2,GENERAL!$AI$2,CONCATENATE(OBSERVACIONES!T123,"
ESTADO DE POSTVENTAS:  ",GENERAL!U124))</f>
        <v>OK
ESTADO DE POSTVENTAS:  POSTVENTA CORREGIDA</v>
      </c>
      <c r="U123" s="51" t="str">
        <f>+IF(GENERAL!V124=GENERAL!$AI$2,GENERAL!$AI$2,CONCATENATE(OBSERVACIONES!U123,"
ESTADO DE POSTVENTAS:  ",GENERAL!V124))</f>
        <v>OK
ESTADO DE POSTVENTAS:  POSTVENTA CORREGIDA</v>
      </c>
      <c r="V123" s="51" t="str">
        <f>+IF(GENERAL!W124=GENERAL!$AI$2,GENERAL!$AI$2,CONCATENATE(OBSERVACIONES!V123,"
ESTADO DE POSTVENTAS:  ",GENERAL!W124))</f>
        <v>OK
ESTADO DE POSTVENTAS:  POSTVENTA CORREGIDA</v>
      </c>
      <c r="W123" s="51" t="str">
        <f>+IF(GENERAL!V124=GENERAL!$AI$2,GENERAL!$AI$2,CONCATENATE(OBSERVACIONES!W123,"
ESTADO DE POSTVENTAS:  ",GENERAL!V124))</f>
        <v>OK
ESTADO DE POSTVENTAS:  POSTVENTA CORREGIDA</v>
      </c>
      <c r="X123" s="51" t="str">
        <f>+IF(GENERAL!W124=GENERAL!$AI$2,GENERAL!$AI$2,CONCATENATE(OBSERVACIONES!X123,"
ESTADO DE POSTVENTAS:  ",GENERAL!W124))</f>
        <v>OK
ESTADO DE POSTVENTAS:  POSTVENTA CORREGIDA</v>
      </c>
      <c r="Y123" s="51" t="str">
        <f>+IF(GENERAL!Z124=GENERAL!$AI$2,GENERAL!$AI$2,CONCATENATE(OBSERVACIONES!Y123,"
ESTADO DE POSTVENTAS:  ",GENERAL!Z124))</f>
        <v>OK
ESTADO DE POSTVENTAS:  POSTVENTA CORREGIDA</v>
      </c>
      <c r="Z123" s="51" t="str">
        <f>+IF(GENERAL!AA124=GENERAL!$AI$2,GENERAL!$AI$2,CONCATENATE(OBSERVACIONES!Z123,"
ESTADO DE POSTVENTAS:  ",GENERAL!AA124))</f>
        <v>OK
ESTADO DE POSTVENTAS:  POSTVENTA CORREGIDA</v>
      </c>
      <c r="AA123" s="51" t="str">
        <f>+IF(GENERAL!AB124=GENERAL!$AI$2,GENERAL!$AI$2,CONCATENATE(OBSERVACIONES!AA123,"
ESTADO DE POSTVENTAS:  ",GENERAL!AB124))</f>
        <v>OK
ESTADO DE POSTVENTAS:  POSTVENTA CORREGIDA</v>
      </c>
      <c r="AB123" s="51" t="str">
        <f>+IF(GENERAL!AC124=GENERAL!$AI$2,GENERAL!$AI$2,CONCATENATE(OBSERVACIONES!AB123,"
ESTADO DE POSTVENTAS:  ",GENERAL!AC124))</f>
        <v>OK
ESTADO DE POSTVENTAS:  POSTVENTA CORREGIDA</v>
      </c>
      <c r="AC123" s="51" t="str">
        <f>+IF(GENERAL!AD124=GENERAL!$AI$2,GENERAL!$AI$2,CONCATENATE(OBSERVACIONES!AC123,"
ESTADO DE POSTVENTAS:  ",GENERAL!AD124))</f>
        <v>OK
ESTADO DE POSTVENTAS:  POSTVENTA CORREGIDA</v>
      </c>
      <c r="AD123" s="51" t="str">
        <f>+IF(GENERAL!AE124=GENERAL!$AI$2,GENERAL!$AI$2,CONCATENATE(OBSERVACIONES!AD123,"
ESTADO DE POSTVENTAS:  ",GENERAL!AE124))</f>
        <v>OK
ESTADO DE POSTVENTAS:  POSTVENTA CORREGIDA</v>
      </c>
      <c r="AE123" s="51" t="str">
        <f>+IF(GENERAL!AF124=GENERAL!$AI$2,GENERAL!$AI$2,CONCATENATE(OBSERVACIONES!AE123,"
ESTADO DE POSTVENTAS:  ",GENERAL!AF124))</f>
        <v>OK
ESTADO DE POSTVENTAS:  POSTVENTA CORREGIDA</v>
      </c>
      <c r="AF123" s="51" t="str">
        <f>+IF(GENERAL!AG124=GENERAL!$AI$2,GENERAL!$AI$2,CONCATENATE(OBSERVACIONES!AF123,"
ESTADO DE POSTVENTAS:  ",GENERAL!AG124))</f>
        <v>OK
ESTADO DE POSTVENTAS:  POSTVENTA CORREGIDA</v>
      </c>
      <c r="AG123" s="51" t="str">
        <f>+IF(GENERAL!AH124=GENERAL!$AI$2,GENERAL!$AI$2,CONCATENATE(OBSERVACIONES!AG123,"
ESTADO DE POSTVENTAS:  ",GENERAL!AH124))</f>
        <v>OK
ESTADO DE POSTVENTAS:  POSTVENTA CORREGIDA</v>
      </c>
      <c r="AH123" s="51" t="str">
        <f>+IF(GENERAL!AI124=GENERAL!$AI$2,GENERAL!$AI$2,CONCATENATE(OBSERVACIONES!AH123,"
ESTADO DE POSTVENTAS:  ",GENERAL!AI124))</f>
        <v>OK
ESTADO DE POSTVENTAS:  POSTVENTA CORREGIDA</v>
      </c>
      <c r="AI123" s="51" t="str">
        <f>+IF(GENERAL!AG124=GENERAL!$AI$2,GENERAL!$AI$2,CONCATENATE(OBSERVACIONES!AF123,"
ESTADO DE POSTVENTAS:  ",GENERAL!AG124))</f>
        <v>OK
ESTADO DE POSTVENTAS:  POSTVENTA CORREGIDA</v>
      </c>
      <c r="AJ123" s="51" t="str">
        <f>+IF(GENERAL!AI124=GENERAL!$AI$2,GENERAL!$AI$2,CONCATENATE(OBSERVACIONES!AH123,"
ESTADO DE POSTVENTAS:  ",GENERAL!AI124))</f>
        <v>OK
ESTADO DE POSTVENTAS:  POSTVENTA CORREGIDA</v>
      </c>
      <c r="AK123" s="70" t="str">
        <f>+IF(GENERAL!AJ124=GENERAL!$AI$2,GENERAL!$AI$2,CONCATENATE(OBSERVACIONES!AI123,"
ESTADO DE POSTVENTAS:  ",GENERAL!AJ124))</f>
        <v>DETALLE BALDOSAS
ESTADO DE POSTVENTAS:  TIENE POSTVENTA</v>
      </c>
      <c r="AL123" s="51" t="str">
        <f>+IF(GENERAL!AK124=GENERAL!$AI$2,GENERAL!$AI$2,CONCATENATE(OBSERVACIONES!AJ123,"
ESTADO DE POSTVENTAS:  ",GENERAL!AK124))</f>
        <v>OK
ESTADO DE POSTVENTAS:  POSTVENTA CORREGIDA</v>
      </c>
      <c r="AM123" s="51" t="str">
        <f>+IF(GENERAL!AN124=GENERAL!$AI$2,GENERAL!$AI$2,CONCATENATE(OBSERVACIONES!AM123,"
ESTADO DE POSTVENTAS:  ",GENERAL!AN124))</f>
        <v>OK
ESTADO DE POSTVENTAS:  POSTVENTA CORREGIDA</v>
      </c>
      <c r="AN123" s="37">
        <v>3</v>
      </c>
      <c r="AO123" s="37">
        <v>8</v>
      </c>
      <c r="AP123" s="37">
        <v>3</v>
      </c>
      <c r="AQ123" s="37">
        <v>1</v>
      </c>
      <c r="AR123" s="43">
        <v>13</v>
      </c>
      <c r="AS123" s="40">
        <v>12</v>
      </c>
      <c r="AT123" s="37">
        <f>COUNTIFS($D$5:$AM$5,"&lt;&gt;"&amp;CODICIONALES!$A$1,$D$5:$AM$5,"&lt;&gt;"&amp;CODICIONALES!$A$2,$D$5:$AM$5,"&lt;&gt;"&amp;CODICIONALES!$B$2,$D$5:$AM$5,"&lt;&gt;"&amp;CODICIONALES!$C$2)</f>
        <v>6</v>
      </c>
      <c r="AU123" s="43">
        <f>COUNTIFS(D123:AM123,CODICIONALES!$A$2)</f>
        <v>33</v>
      </c>
      <c r="AV123" s="40">
        <f t="shared" si="1"/>
        <v>-3</v>
      </c>
    </row>
    <row r="124" spans="1:48" ht="51" customHeight="1" x14ac:dyDescent="0.25">
      <c r="A124" s="110"/>
      <c r="B124" s="2">
        <v>120</v>
      </c>
      <c r="C124" s="21" t="s">
        <v>61</v>
      </c>
      <c r="D124" s="51" t="str">
        <f>+IF(GENERAL!E125=GENERAL!$AI$2,GENERAL!$AI$2,CONCATENATE(OBSERVACIONES!D124,"
ESTADO DE POSTVENTAS:  ",GENERAL!E125))</f>
        <v>NO ENTREGADO
ESTADO DE POSTVENTAS:  TIENE POSTVENTA</v>
      </c>
      <c r="E124" s="51" t="str">
        <f>+IF(GENERAL!F125=GENERAL!$AI$2,GENERAL!$AI$2,CONCATENATE(OBSERVACIONES!E124,"
ESTADO DE POSTVENTAS:  ",GENERAL!F125))</f>
        <v>OK
ESTADO DE POSTVENTAS:  POSTVENTA CORREGIDA</v>
      </c>
      <c r="F124" s="51" t="str">
        <f>+IF(GENERAL!G125=GENERAL!$AI$2,GENERAL!$AI$2,CONCATENATE(OBSERVACIONES!F124,"
ESTADO DE POSTVENTAS:  ",GENERAL!G125))</f>
        <v>OK
ESTADO DE POSTVENTAS:  POSTVENTA CORREGIDA</v>
      </c>
      <c r="G124" s="51" t="str">
        <f>+IF(GENERAL!H125=GENERAL!$AI$2,GENERAL!$AI$2,CONCATENATE(OBSERVACIONES!G124,"
ESTADO DE POSTVENTAS:  ",GENERAL!H125))</f>
        <v>NO ENTREGADO
ESTADO DE POSTVENTAS:  TIENE POSTVENTA</v>
      </c>
      <c r="H124" s="51" t="str">
        <f>+IF(GENERAL!I125=GENERAL!$AI$2,GENERAL!$AI$2,CONCATENATE(OBSERVACIONES!H124,"
ESTADO DE POSTVENTAS:  ",GENERAL!I125))</f>
        <v>OK
ESTADO DE POSTVENTAS:  POSTVENTA CORREGIDA</v>
      </c>
      <c r="I124" s="51" t="str">
        <f>+IF(GENERAL!J125=GENERAL!$AI$2,GENERAL!$AI$2,CONCATENATE(OBSERVACIONES!I124,"
ESTADO DE POSTVENTAS:  ",GENERAL!J125))</f>
        <v>OK
ESTADO DE POSTVENTAS:  POSTVENTA CORREGIDA</v>
      </c>
      <c r="J124" s="51" t="str">
        <f>+IF(GENERAL!K125=GENERAL!$AI$2,GENERAL!$AI$2,CONCATENATE(OBSERVACIONES!J124,"
ESTADO DE POSTVENTAS:  ",GENERAL!K125))</f>
        <v>OK
ESTADO DE POSTVENTAS:  POSTVENTA CORREGIDA</v>
      </c>
      <c r="K124" s="51" t="str">
        <f>+IF(GENERAL!L125=GENERAL!$AI$2,GENERAL!$AI$2,CONCATENATE(OBSERVACIONES!K124,"
ESTADO DE POSTVENTAS:  ",GENERAL!L125))</f>
        <v>OK
ESTADO DE POSTVENTAS:  POSTVENTA CORREGIDA</v>
      </c>
      <c r="L124" s="51" t="str">
        <f>+IF(GENERAL!M125=GENERAL!$AI$2,GENERAL!$AI$2,CONCATENATE(OBSERVACIONES!L124,"
ESTADO DE POSTVENTAS:  ",GENERAL!M125))</f>
        <v>OK
ESTADO DE POSTVENTAS:  POSTVENTA CORREGIDA</v>
      </c>
      <c r="M124" s="70" t="str">
        <f>+IF(GENERAL!N125=GENERAL!$AI$2,GENERAL!$AI$2,CONCATENATE(OBSERVACIONES!M124,"
ESTADO DE POSTVENTAS:  ",GENERAL!N125))</f>
        <v>OK
ESTADO DE POSTVENTAS:  POSTVENTA CORREGIDA</v>
      </c>
      <c r="N124" s="51" t="str">
        <f>+IF(GENERAL!O125=GENERAL!$AI$2,GENERAL!$AI$2,CONCATENATE(OBSERVACIONES!N124,"
ESTADO DE POSTVENTAS:  ",GENERAL!O125))</f>
        <v>OK
ESTADO DE POSTVENTAS:  POSTVENTA CORREGIDA</v>
      </c>
      <c r="O124" s="51" t="str">
        <f>+IF(GENERAL!P125=GENERAL!$AI$2,GENERAL!$AI$2,CONCATENATE(OBSERVACIONES!O124,"
ESTADO DE POSTVENTAS:  ",GENERAL!P125))</f>
        <v>OK
ESTADO DE POSTVENTAS:  POSTVENTA CORREGIDA</v>
      </c>
      <c r="P124" s="70" t="str">
        <f>+IF(GENERAL!Q125=GENERAL!$AI$2,GENERAL!$AI$2,CONCATENATE(OBSERVACIONES!P124,"
ESTADO DE POSTVENTAS:  ",GENERAL!Q125))</f>
        <v>OK
ESTADO DE POSTVENTAS:  POSTVENTA CORREGIDA</v>
      </c>
      <c r="Q124" s="70" t="str">
        <f>+IF(GENERAL!R125=GENERAL!$AI$2,GENERAL!$AI$2,CONCATENATE(OBSERVACIONES!Q124,"
ESTADO DE POSTVENTAS:  ",GENERAL!R125))</f>
        <v>OK
ESTADO DE POSTVENTAS:  POSTVENTA CORREGIDA</v>
      </c>
      <c r="R124" s="51" t="str">
        <f>+IF(GENERAL!S125=GENERAL!$AI$2,GENERAL!$AI$2,CONCATENATE(OBSERVACIONES!R124,"
ESTADO DE POSTVENTAS:  ",GENERAL!S125))</f>
        <v>OK
ESTADO DE POSTVENTAS:  POSTVENTA CORREGIDA</v>
      </c>
      <c r="S124" s="51" t="str">
        <f>+IF(GENERAL!T125=GENERAL!$AI$2,GENERAL!$AI$2,CONCATENATE(OBSERVACIONES!S124,"
ESTADO DE POSTVENTAS:  ",GENERAL!T125))</f>
        <v>OK
ESTADO DE POSTVENTAS:  POSTVENTA CORREGIDA</v>
      </c>
      <c r="T124" s="51" t="str">
        <f>+IF(GENERAL!U125=GENERAL!$AI$2,GENERAL!$AI$2,CONCATENATE(OBSERVACIONES!T124,"
ESTADO DE POSTVENTAS:  ",GENERAL!U125))</f>
        <v>OK
ESTADO DE POSTVENTAS:  POSTVENTA CORREGIDA</v>
      </c>
      <c r="U124" s="51" t="str">
        <f>+IF(GENERAL!V125=GENERAL!$AI$2,GENERAL!$AI$2,CONCATENATE(OBSERVACIONES!U124,"
ESTADO DE POSTVENTAS:  ",GENERAL!V125))</f>
        <v>OK
ESTADO DE POSTVENTAS:  POSTVENTA CORREGIDA</v>
      </c>
      <c r="V124" s="51" t="str">
        <f>+IF(GENERAL!W125=GENERAL!$AI$2,GENERAL!$AI$2,CONCATENATE(OBSERVACIONES!V124,"
ESTADO DE POSTVENTAS:  ",GENERAL!W125))</f>
        <v>OK
ESTADO DE POSTVENTAS:  POSTVENTA CORREGIDA</v>
      </c>
      <c r="W124" s="51" t="str">
        <f>+IF(GENERAL!V125=GENERAL!$AI$2,GENERAL!$AI$2,CONCATENATE(OBSERVACIONES!W124,"
ESTADO DE POSTVENTAS:  ",GENERAL!V125))</f>
        <v>OK
ESTADO DE POSTVENTAS:  POSTVENTA CORREGIDA</v>
      </c>
      <c r="X124" s="51" t="str">
        <f>+IF(GENERAL!W125=GENERAL!$AI$2,GENERAL!$AI$2,CONCATENATE(OBSERVACIONES!X124,"
ESTADO DE POSTVENTAS:  ",GENERAL!W125))</f>
        <v>OK
ESTADO DE POSTVENTAS:  POSTVENTA CORREGIDA</v>
      </c>
      <c r="Y124" s="51" t="str">
        <f>+IF(GENERAL!Z125=GENERAL!$AI$2,GENERAL!$AI$2,CONCATENATE(OBSERVACIONES!Y124,"
ESTADO DE POSTVENTAS:  ",GENERAL!Z125))</f>
        <v>OK
ESTADO DE POSTVENTAS:  POSTVENTA CORREGIDA</v>
      </c>
      <c r="Z124" s="51" t="str">
        <f>+IF(GENERAL!AA125=GENERAL!$AI$2,GENERAL!$AI$2,CONCATENATE(OBSERVACIONES!Z124,"
ESTADO DE POSTVENTAS:  ",GENERAL!AA125))</f>
        <v>OK
ESTADO DE POSTVENTAS:  POSTVENTA CORREGIDA</v>
      </c>
      <c r="AA124" s="51" t="str">
        <f>+IF(GENERAL!AB125=GENERAL!$AI$2,GENERAL!$AI$2,CONCATENATE(OBSERVACIONES!AA124,"
ESTADO DE POSTVENTAS:  ",GENERAL!AB125))</f>
        <v>OK
ESTADO DE POSTVENTAS:  POSTVENTA CORREGIDA</v>
      </c>
      <c r="AB124" s="51" t="str">
        <f>+IF(GENERAL!AC125=GENERAL!$AI$2,GENERAL!$AI$2,CONCATENATE(OBSERVACIONES!AB124,"
ESTADO DE POSTVENTAS:  ",GENERAL!AC125))</f>
        <v>OK
ESTADO DE POSTVENTAS:  POSTVENTA CORREGIDA</v>
      </c>
      <c r="AC124" s="51" t="str">
        <f>+IF(GENERAL!AD125=GENERAL!$AI$2,GENERAL!$AI$2,CONCATENATE(OBSERVACIONES!AC124,"
ESTADO DE POSTVENTAS:  ",GENERAL!AD125))</f>
        <v>OK
ESTADO DE POSTVENTAS:  POSTVENTA CORREGIDA</v>
      </c>
      <c r="AD124" s="51" t="str">
        <f>+IF(GENERAL!AE125=GENERAL!$AI$2,GENERAL!$AI$2,CONCATENATE(OBSERVACIONES!AD124,"
ESTADO DE POSTVENTAS:  ",GENERAL!AE125))</f>
        <v>OK
ESTADO DE POSTVENTAS:  POSTVENTA CORREGIDA</v>
      </c>
      <c r="AE124" s="51" t="str">
        <f>+IF(GENERAL!AF125=GENERAL!$AI$2,GENERAL!$AI$2,CONCATENATE(OBSERVACIONES!AE124,"
ESTADO DE POSTVENTAS:  ",GENERAL!AF125))</f>
        <v>OK
ESTADO DE POSTVENTAS:  POSTVENTA CORREGIDA</v>
      </c>
      <c r="AF124" s="51" t="str">
        <f>+IF(GENERAL!AG125=GENERAL!$AI$2,GENERAL!$AI$2,CONCATENATE(OBSERVACIONES!AF124,"
ESTADO DE POSTVENTAS:  ",GENERAL!AG125))</f>
        <v>OK
ESTADO DE POSTVENTAS:  POSTVENTA CORREGIDA</v>
      </c>
      <c r="AG124" s="51" t="str">
        <f>+IF(GENERAL!AH125=GENERAL!$AI$2,GENERAL!$AI$2,CONCATENATE(OBSERVACIONES!AG124,"
ESTADO DE POSTVENTAS:  ",GENERAL!AH125))</f>
        <v>OK
ESTADO DE POSTVENTAS:  POSTVENTA CORREGIDA</v>
      </c>
      <c r="AH124" s="51" t="str">
        <f>+IF(GENERAL!AI125=GENERAL!$AI$2,GENERAL!$AI$2,CONCATENATE(OBSERVACIONES!AH124,"
ESTADO DE POSTVENTAS:  ",GENERAL!AI125))</f>
        <v>OK
ESTADO DE POSTVENTAS:  POSTVENTA CORREGIDA</v>
      </c>
      <c r="AI124" s="51" t="str">
        <f>+IF(GENERAL!AG125=GENERAL!$AI$2,GENERAL!$AI$2,CONCATENATE(OBSERVACIONES!AF124,"
ESTADO DE POSTVENTAS:  ",GENERAL!AG125))</f>
        <v>OK
ESTADO DE POSTVENTAS:  POSTVENTA CORREGIDA</v>
      </c>
      <c r="AJ124" s="51" t="str">
        <f>+IF(GENERAL!AI125=GENERAL!$AI$2,GENERAL!$AI$2,CONCATENATE(OBSERVACIONES!AH124,"
ESTADO DE POSTVENTAS:  ",GENERAL!AI125))</f>
        <v>OK
ESTADO DE POSTVENTAS:  POSTVENTA CORREGIDA</v>
      </c>
      <c r="AK124" s="51" t="str">
        <f>+IF(GENERAL!AJ125=GENERAL!$AI$2,GENERAL!$AI$2,CONCATENATE(OBSERVACIONES!AI124,"
ESTADO DE POSTVENTAS:  ",GENERAL!AJ125))</f>
        <v>OK
ESTADO DE POSTVENTAS:  POSTVENTA CORREGIDA</v>
      </c>
      <c r="AL124" s="51" t="str">
        <f>+IF(GENERAL!AK125=GENERAL!$AI$2,GENERAL!$AI$2,CONCATENATE(OBSERVACIONES!AJ124,"
ESTADO DE POSTVENTAS:  ",GENERAL!AK125))</f>
        <v>OK
ESTADO DE POSTVENTAS:  POSTVENTA CORREGIDA</v>
      </c>
      <c r="AM124" s="51" t="str">
        <f>+IF(GENERAL!AN125=GENERAL!$AI$2,GENERAL!$AI$2,CONCATENATE(OBSERVACIONES!AM124,"
ESTADO DE POSTVENTAS:  ",GENERAL!AN125))</f>
        <v>OK
ESTADO DE POSTVENTAS:  POSTVENTA CORREGIDA</v>
      </c>
      <c r="AN124" s="37">
        <v>1</v>
      </c>
      <c r="AO124" s="37">
        <v>10</v>
      </c>
      <c r="AP124" s="37">
        <v>3</v>
      </c>
      <c r="AQ124" s="37">
        <v>0</v>
      </c>
      <c r="AR124" s="43">
        <v>14</v>
      </c>
      <c r="AS124" s="40">
        <v>12</v>
      </c>
      <c r="AT124" s="37">
        <f>COUNTIFS($D$5:$AM$5,"&lt;&gt;"&amp;CODICIONALES!$A$1,$D$5:$AM$5,"&lt;&gt;"&amp;CODICIONALES!$A$2,$D$5:$AM$5,"&lt;&gt;"&amp;CODICIONALES!$B$2,$D$5:$AM$5,"&lt;&gt;"&amp;CODICIONALES!$C$2)</f>
        <v>6</v>
      </c>
      <c r="AU124" s="43">
        <f>COUNTIFS(D124:AM124,CODICIONALES!$A$2)</f>
        <v>34</v>
      </c>
      <c r="AV124" s="40">
        <f t="shared" si="1"/>
        <v>-4</v>
      </c>
    </row>
    <row r="125" spans="1:48" ht="51" customHeight="1" x14ac:dyDescent="0.25">
      <c r="A125" s="110"/>
      <c r="B125" s="2">
        <v>121</v>
      </c>
      <c r="C125" s="21" t="s">
        <v>62</v>
      </c>
      <c r="D125" s="51" t="str">
        <f>+IF(GENERAL!E126=GENERAL!$AI$2,GENERAL!$AI$2,CONCATENATE(OBSERVACIONES!D125,"
ESTADO DE POSTVENTAS:  ",GENERAL!E126))</f>
        <v>NO ENTREGADO
ESTADO DE POSTVENTAS:  TIENE POSTVENTA</v>
      </c>
      <c r="E125" s="51" t="str">
        <f>+IF(GENERAL!F126=GENERAL!$AI$2,GENERAL!$AI$2,CONCATENATE(OBSERVACIONES!E125,"
ESTADO DE POSTVENTAS:  ",GENERAL!F126))</f>
        <v>OK
ESTADO DE POSTVENTAS:  POSTVENTA CORREGIDA</v>
      </c>
      <c r="F125" s="51" t="str">
        <f>+IF(GENERAL!G126=GENERAL!$AI$2,GENERAL!$AI$2,CONCATENATE(OBSERVACIONES!F125,"
ESTADO DE POSTVENTAS:  ",GENERAL!G126))</f>
        <v>OK
ESTADO DE POSTVENTAS:  POSTVENTA CORREGIDA</v>
      </c>
      <c r="G125" s="51" t="str">
        <f>+IF(GENERAL!H126=GENERAL!$AI$2,GENERAL!$AI$2,CONCATENATE(OBSERVACIONES!G125,"
ESTADO DE POSTVENTAS:  ",GENERAL!H126))</f>
        <v>NO ENTREGADO
ESTADO DE POSTVENTAS:  TIENE POSTVENTA</v>
      </c>
      <c r="H125" s="51" t="str">
        <f>+IF(GENERAL!I126=GENERAL!$AI$2,GENERAL!$AI$2,CONCATENATE(OBSERVACIONES!H125,"
ESTADO DE POSTVENTAS:  ",GENERAL!I126))</f>
        <v>OK
ESTADO DE POSTVENTAS:  POSTVENTA CORREGIDA</v>
      </c>
      <c r="I125" s="51" t="str">
        <f>+IF(GENERAL!J126=GENERAL!$AI$2,GENERAL!$AI$2,CONCATENATE(OBSERVACIONES!I125,"
ESTADO DE POSTVENTAS:  ",GENERAL!J126))</f>
        <v>OK
ESTADO DE POSTVENTAS:  POSTVENTA CORREGIDA</v>
      </c>
      <c r="J125" s="51" t="str">
        <f>+IF(GENERAL!K126=GENERAL!$AI$2,GENERAL!$AI$2,CONCATENATE(OBSERVACIONES!J125,"
ESTADO DE POSTVENTAS:  ",GENERAL!K126))</f>
        <v>OK
ESTADO DE POSTVENTAS:  POSTVENTA CORREGIDA</v>
      </c>
      <c r="K125" s="51" t="str">
        <f>+IF(GENERAL!L126=GENERAL!$AI$2,GENERAL!$AI$2,CONCATENATE(OBSERVACIONES!K125,"
ESTADO DE POSTVENTAS:  ",GENERAL!L126))</f>
        <v>OK
ESTADO DE POSTVENTAS:  POSTVENTA CORREGIDA</v>
      </c>
      <c r="L125" s="51" t="str">
        <f>+IF(GENERAL!M126=GENERAL!$AI$2,GENERAL!$AI$2,CONCATENATE(OBSERVACIONES!L125,"
ESTADO DE POSTVENTAS:  ",GENERAL!M126))</f>
        <v>OK
ESTADO DE POSTVENTAS:  POSTVENTA CORREGIDA</v>
      </c>
      <c r="M125" s="70" t="str">
        <f>+IF(GENERAL!N126=GENERAL!$AI$2,GENERAL!$AI$2,CONCATENATE(OBSERVACIONES!M125,"
ESTADO DE POSTVENTAS:  ",GENERAL!N126))</f>
        <v>OK
ESTADO DE POSTVENTAS:  POSTVENTA CORREGIDA</v>
      </c>
      <c r="N125" s="51" t="str">
        <f>+IF(GENERAL!O126=GENERAL!$AI$2,GENERAL!$AI$2,CONCATENATE(OBSERVACIONES!N125,"
ESTADO DE POSTVENTAS:  ",GENERAL!O126))</f>
        <v>DETALLE FISURA
ESTADO DE POSTVENTAS:  TIENE POSTVENTA</v>
      </c>
      <c r="O125" s="51" t="str">
        <f>+IF(GENERAL!P126=GENERAL!$AI$2,GENERAL!$AI$2,CONCATENATE(OBSERVACIONES!O125,"
ESTADO DE POSTVENTAS:  ",GENERAL!P126))</f>
        <v>OK
ESTADO DE POSTVENTAS:  POSTVENTA CORREGIDA</v>
      </c>
      <c r="P125" s="70" t="str">
        <f>+IF(GENERAL!Q126=GENERAL!$AI$2,GENERAL!$AI$2,CONCATENATE(OBSERVACIONES!P125,"
ESTADO DE POSTVENTAS:  ",GENERAL!Q126))</f>
        <v>OK
ESTADO DE POSTVENTAS:  POSTVENTA CORREGIDA</v>
      </c>
      <c r="Q125" s="70" t="str">
        <f>+IF(GENERAL!R126=GENERAL!$AI$2,GENERAL!$AI$2,CONCATENATE(OBSERVACIONES!Q125,"
ESTADO DE POSTVENTAS:  ",GENERAL!R126))</f>
        <v>OK
ESTADO DE POSTVENTAS:  POSTVENTA CORREGIDA</v>
      </c>
      <c r="R125" s="51" t="str">
        <f>+IF(GENERAL!S126=GENERAL!$AI$2,GENERAL!$AI$2,CONCATENATE(OBSERVACIONES!R125,"
ESTADO DE POSTVENTAS:  ",GENERAL!S126))</f>
        <v>OK
ESTADO DE POSTVENTAS:  POSTVENTA CORREGIDA</v>
      </c>
      <c r="S125" s="51" t="str">
        <f>+IF(GENERAL!T126=GENERAL!$AI$2,GENERAL!$AI$2,CONCATENATE(OBSERVACIONES!S125,"
ESTADO DE POSTVENTAS:  ",GENERAL!T126))</f>
        <v>OK
ESTADO DE POSTVENTAS:  POSTVENTA CORREGIDA</v>
      </c>
      <c r="T125" s="51" t="str">
        <f>+IF(GENERAL!U126=GENERAL!$AI$2,GENERAL!$AI$2,CONCATENATE(OBSERVACIONES!T125,"
ESTADO DE POSTVENTAS:  ",GENERAL!U126))</f>
        <v>DETALLE HUMEDAD
ESTADO DE POSTVENTAS:  TIENE POSTVENTA</v>
      </c>
      <c r="U125" s="51" t="str">
        <f>+IF(GENERAL!V126=GENERAL!$AI$2,GENERAL!$AI$2,CONCATENATE(OBSERVACIONES!U125,"
ESTADO DE POSTVENTAS:  ",GENERAL!V126))</f>
        <v>OK
ESTADO DE POSTVENTAS:  POSTVENTA CORREGIDA</v>
      </c>
      <c r="V125" s="51" t="str">
        <f>+IF(GENERAL!W126=GENERAL!$AI$2,GENERAL!$AI$2,CONCATENATE(OBSERVACIONES!V125,"
ESTADO DE POSTVENTAS:  ",GENERAL!W126))</f>
        <v>OK
ESTADO DE POSTVENTAS:  POSTVENTA CORREGIDA</v>
      </c>
      <c r="W125" s="51" t="str">
        <f>+IF(GENERAL!V126=GENERAL!$AI$2,GENERAL!$AI$2,CONCATENATE(OBSERVACIONES!W125,"
ESTADO DE POSTVENTAS:  ",GENERAL!V126))</f>
        <v>OK
ESTADO DE POSTVENTAS:  POSTVENTA CORREGIDA</v>
      </c>
      <c r="X125" s="51" t="str">
        <f>+IF(GENERAL!W126=GENERAL!$AI$2,GENERAL!$AI$2,CONCATENATE(OBSERVACIONES!X125,"
ESTADO DE POSTVENTAS:  ",GENERAL!W126))</f>
        <v>OK
ESTADO DE POSTVENTAS:  POSTVENTA CORREGIDA</v>
      </c>
      <c r="Y125" s="51" t="str">
        <f>+IF(GENERAL!Z126=GENERAL!$AI$2,GENERAL!$AI$2,CONCATENATE(OBSERVACIONES!Y125,"
ESTADO DE POSTVENTAS:  ",GENERAL!Z126))</f>
        <v>OK
ESTADO DE POSTVENTAS:  POSTVENTA CORREGIDA</v>
      </c>
      <c r="Z125" s="51" t="str">
        <f>+IF(GENERAL!AA126=GENERAL!$AI$2,GENERAL!$AI$2,CONCATENATE(OBSERVACIONES!Z125,"
ESTADO DE POSTVENTAS:  ",GENERAL!AA126))</f>
        <v>OK
ESTADO DE POSTVENTAS:  POSTVENTA CORREGIDA</v>
      </c>
      <c r="AA125" s="51" t="str">
        <f>+IF(GENERAL!AB126=GENERAL!$AI$2,GENERAL!$AI$2,CONCATENATE(OBSERVACIONES!AA125,"
ESTADO DE POSTVENTAS:  ",GENERAL!AB126))</f>
        <v>OK
ESTADO DE POSTVENTAS:  POSTVENTA CORREGIDA</v>
      </c>
      <c r="AB125" s="51" t="str">
        <f>+IF(GENERAL!AC126=GENERAL!$AI$2,GENERAL!$AI$2,CONCATENATE(OBSERVACIONES!AB125,"
ESTADO DE POSTVENTAS:  ",GENERAL!AC126))</f>
        <v>OK
ESTADO DE POSTVENTAS:  POSTVENTA CORREGIDA</v>
      </c>
      <c r="AC125" s="51" t="str">
        <f>+IF(GENERAL!AD126=GENERAL!$AI$2,GENERAL!$AI$2,CONCATENATE(OBSERVACIONES!AC125,"
ESTADO DE POSTVENTAS:  ",GENERAL!AD126))</f>
        <v>OK
ESTADO DE POSTVENTAS:  POSTVENTA CORREGIDA</v>
      </c>
      <c r="AD125" s="51" t="str">
        <f>+IF(GENERAL!AE126=GENERAL!$AI$2,GENERAL!$AI$2,CONCATENATE(OBSERVACIONES!AD125,"
ESTADO DE POSTVENTAS:  ",GENERAL!AE126))</f>
        <v>OK
ESTADO DE POSTVENTAS:  POSTVENTA CORREGIDA</v>
      </c>
      <c r="AE125" s="51" t="str">
        <f>+IF(GENERAL!AF126=GENERAL!$AI$2,GENERAL!$AI$2,CONCATENATE(OBSERVACIONES!AE125,"
ESTADO DE POSTVENTAS:  ",GENERAL!AF126))</f>
        <v>OK
ESTADO DE POSTVENTAS:  POSTVENTA CORREGIDA</v>
      </c>
      <c r="AF125" s="51" t="str">
        <f>+IF(GENERAL!AG126=GENERAL!$AI$2,GENERAL!$AI$2,CONCATENATE(OBSERVACIONES!AF125,"
ESTADO DE POSTVENTAS:  ",GENERAL!AG126))</f>
        <v>OK
ESTADO DE POSTVENTAS:  POSTVENTA CORREGIDA</v>
      </c>
      <c r="AG125" s="51" t="str">
        <f>+IF(GENERAL!AH126=GENERAL!$AI$2,GENERAL!$AI$2,CONCATENATE(OBSERVACIONES!AG125,"
ESTADO DE POSTVENTAS:  ",GENERAL!AH126))</f>
        <v>OK
ESTADO DE POSTVENTAS:  POSTVENTA CORREGIDA</v>
      </c>
      <c r="AH125" s="51" t="str">
        <f>+IF(GENERAL!AI126=GENERAL!$AI$2,GENERAL!$AI$2,CONCATENATE(OBSERVACIONES!AH125,"
ESTADO DE POSTVENTAS:  ",GENERAL!AI126))</f>
        <v>OK
ESTADO DE POSTVENTAS:  POSTVENTA CORREGIDA</v>
      </c>
      <c r="AI125" s="51" t="str">
        <f>+IF(GENERAL!AG126=GENERAL!$AI$2,GENERAL!$AI$2,CONCATENATE(OBSERVACIONES!AF125,"
ESTADO DE POSTVENTAS:  ",GENERAL!AG126))</f>
        <v>OK
ESTADO DE POSTVENTAS:  POSTVENTA CORREGIDA</v>
      </c>
      <c r="AJ125" s="51" t="str">
        <f>+IF(GENERAL!AI126=GENERAL!$AI$2,GENERAL!$AI$2,CONCATENATE(OBSERVACIONES!AH125,"
ESTADO DE POSTVENTAS:  ",GENERAL!AI126))</f>
        <v>OK
ESTADO DE POSTVENTAS:  POSTVENTA CORREGIDA</v>
      </c>
      <c r="AK125" s="51" t="str">
        <f>+IF(GENERAL!AJ126=GENERAL!$AI$2,GENERAL!$AI$2,CONCATENATE(OBSERVACIONES!AI125,"
ESTADO DE POSTVENTAS:  ",GENERAL!AJ126))</f>
        <v>OK
ESTADO DE POSTVENTAS:  POSTVENTA CORREGIDA</v>
      </c>
      <c r="AL125" s="70" t="str">
        <f>+IF(GENERAL!AK126=GENERAL!$AI$2,GENERAL!$AI$2,CONCATENATE(OBSERVACIONES!AJ125,"
ESTADO DE POSTVENTAS:  ",GENERAL!AK126))</f>
        <v>OK
ESTADO DE POSTVENTAS:  POSTVENTA CORREGIDA</v>
      </c>
      <c r="AM125" s="51" t="str">
        <f>+IF(GENERAL!AN126=GENERAL!$AI$2,GENERAL!$AI$2,CONCATENATE(OBSERVACIONES!AM125,"
ESTADO DE POSTVENTAS:  ",GENERAL!AN126))</f>
        <v>OK
ESTADO DE POSTVENTAS:  POSTVENTA CORREGIDA</v>
      </c>
      <c r="AN125" s="37">
        <v>0</v>
      </c>
      <c r="AO125" s="37">
        <v>11</v>
      </c>
      <c r="AP125" s="37">
        <v>3</v>
      </c>
      <c r="AQ125" s="37">
        <v>0</v>
      </c>
      <c r="AR125" s="43">
        <v>14</v>
      </c>
      <c r="AS125" s="40">
        <v>12</v>
      </c>
      <c r="AT125" s="37">
        <f>COUNTIFS($D$5:$AM$5,"&lt;&gt;"&amp;CODICIONALES!$A$1,$D$5:$AM$5,"&lt;&gt;"&amp;CODICIONALES!$A$2,$D$5:$AM$5,"&lt;&gt;"&amp;CODICIONALES!$B$2,$D$5:$AM$5,"&lt;&gt;"&amp;CODICIONALES!$C$2)</f>
        <v>6</v>
      </c>
      <c r="AU125" s="43">
        <f>COUNTIFS(D125:AM125,CODICIONALES!$A$2)</f>
        <v>32</v>
      </c>
      <c r="AV125" s="40">
        <f t="shared" si="1"/>
        <v>-2</v>
      </c>
    </row>
    <row r="126" spans="1:48" ht="51" customHeight="1" x14ac:dyDescent="0.25">
      <c r="A126" s="110"/>
      <c r="B126" s="2">
        <v>122</v>
      </c>
      <c r="C126" s="20" t="s">
        <v>101</v>
      </c>
      <c r="D126" s="51" t="str">
        <f>+IF(GENERAL!E127=GENERAL!$AI$2,GENERAL!$AI$2,CONCATENATE(OBSERVACIONES!D126,"
ESTADO DE POSTVENTAS:  ",GENERAL!E127))</f>
        <v>NO ENTREGADO
ESTADO DE POSTVENTAS:  TIENE POSTVENTA</v>
      </c>
      <c r="E126" s="70" t="str">
        <f>+IF(GENERAL!F127=GENERAL!$AI$2,GENERAL!$AI$2,CONCATENATE(OBSERVACIONES!E126,"
ESTADO DE POSTVENTAS:  ",GENERAL!F127))</f>
        <v>DETALLES DE PUERTAS
ESTADO DE POSTVENTAS:  TIENE POSTVENTA</v>
      </c>
      <c r="F126" s="51" t="str">
        <f>+IF(GENERAL!G127=GENERAL!$AI$2,GENERAL!$AI$2,CONCATENATE(OBSERVACIONES!F126,"
ESTADO DE POSTVENTAS:  ",GENERAL!G127))</f>
        <v>OK
ESTADO DE POSTVENTAS:  POSTVENTA CORREGIDA</v>
      </c>
      <c r="G126" s="51" t="str">
        <f>+IF(GENERAL!H127=GENERAL!$AI$2,GENERAL!$AI$2,CONCATENATE(OBSERVACIONES!G126,"
ESTADO DE POSTVENTAS:  ",GENERAL!H127))</f>
        <v>NO ENTREGADO
ESTADO DE POSTVENTAS:  TIENE POSTVENTA</v>
      </c>
      <c r="H126" s="51" t="str">
        <f>+IF(GENERAL!I127=GENERAL!$AI$2,GENERAL!$AI$2,CONCATENATE(OBSERVACIONES!H126,"
ESTADO DE POSTVENTAS:  ",GENERAL!I127))</f>
        <v>OK
ESTADO DE POSTVENTAS:  POSTVENTA CORREGIDA</v>
      </c>
      <c r="I126" s="51" t="str">
        <f>+IF(GENERAL!J127=GENERAL!$AI$2,GENERAL!$AI$2,CONCATENATE(OBSERVACIONES!I126,"
ESTADO DE POSTVENTAS:  ",GENERAL!J127))</f>
        <v>OK
ESTADO DE POSTVENTAS:  POSTVENTA CORREGIDA</v>
      </c>
      <c r="J126" s="51" t="str">
        <f>+IF(GENERAL!K127=GENERAL!$AI$2,GENERAL!$AI$2,CONCATENATE(OBSERVACIONES!J126,"
ESTADO DE POSTVENTAS:  ",GENERAL!K127))</f>
        <v>OK
ESTADO DE POSTVENTAS:  POSTVENTA CORREGIDA</v>
      </c>
      <c r="K126" s="51" t="str">
        <f>+IF(GENERAL!L127=GENERAL!$AI$2,GENERAL!$AI$2,CONCATENATE(OBSERVACIONES!K126,"
ESTADO DE POSTVENTAS:  ",GENERAL!L127))</f>
        <v>OK
ESTADO DE POSTVENTAS:  POSTVENTA CORREGIDA</v>
      </c>
      <c r="L126" s="51" t="str">
        <f>+IF(GENERAL!M127=GENERAL!$AI$2,GENERAL!$AI$2,CONCATENATE(OBSERVACIONES!L126,"
ESTADO DE POSTVENTAS:  ",GENERAL!M127))</f>
        <v>OK
ESTADO DE POSTVENTAS:  POSTVENTA CORREGIDA</v>
      </c>
      <c r="M126" s="70" t="str">
        <f>+IF(GENERAL!N127=GENERAL!$AI$2,GENERAL!$AI$2,CONCATENATE(OBSERVACIONES!M126,"
ESTADO DE POSTVENTAS:  ",GENERAL!N127))</f>
        <v>OK
ESTADO DE POSTVENTAS:  POSTVENTA CORREGIDA</v>
      </c>
      <c r="N126" s="70" t="str">
        <f>+IF(GENERAL!O127=GENERAL!$AI$2,GENERAL!$AI$2,CONCATENATE(OBSERVACIONES!N126,"
ESTADO DE POSTVENTAS:  ",GENERAL!O127))</f>
        <v>DETALLAR PUERTAS
ESTADO DE POSTVENTAS:  TIENE POSTVENTA</v>
      </c>
      <c r="O126" s="70" t="str">
        <f>+IF(GENERAL!P127=GENERAL!$AI$2,GENERAL!$AI$2,CONCATENATE(OBSERVACIONES!O126,"
ESTADO DE POSTVENTAS:  ",GENERAL!P127))</f>
        <v>DETALLE PUERTAS
ESTADO DE POSTVENTAS:  TIENE POSTVENTA</v>
      </c>
      <c r="P126" s="70" t="str">
        <f>+IF(GENERAL!Q127=GENERAL!$AI$2,GENERAL!$AI$2,CONCATENATE(OBSERVACIONES!P126,"
ESTADO DE POSTVENTAS:  ",GENERAL!Q127))</f>
        <v>OK
ESTADO DE POSTVENTAS:  POSTVENTA CORREGIDA</v>
      </c>
      <c r="Q126" s="70" t="str">
        <f>+IF(GENERAL!R127=GENERAL!$AI$2,GENERAL!$AI$2,CONCATENATE(OBSERVACIONES!Q126,"
ESTADO DE POSTVENTAS:  ",GENERAL!R127))</f>
        <v>OK
ESTADO DE POSTVENTAS:  POSTVENTA CORREGIDA</v>
      </c>
      <c r="R126" s="51" t="str">
        <f>+IF(GENERAL!S127=GENERAL!$AI$2,GENERAL!$AI$2,CONCATENATE(OBSERVACIONES!R126,"
ESTADO DE POSTVENTAS:  ",GENERAL!S127))</f>
        <v>OK
ESTADO DE POSTVENTAS:  POSTVENTA CORREGIDA</v>
      </c>
      <c r="S126" s="51" t="str">
        <f>+IF(GENERAL!T127=GENERAL!$AI$2,GENERAL!$AI$2,CONCATENATE(OBSERVACIONES!S126,"
ESTADO DE POSTVENTAS:  ",GENERAL!T127))</f>
        <v>OK
ESTADO DE POSTVENTAS:  POSTVENTA CORREGIDA</v>
      </c>
      <c r="T126" s="70" t="str">
        <f>+IF(GENERAL!U127=GENERAL!$AI$2,GENERAL!$AI$2,CONCATENATE(OBSERVACIONES!T126,"
ESTADO DE POSTVENTAS:  ",GENERAL!U127))</f>
        <v>OK
ESTADO DE POSTVENTAS:  POSTVENTA CORREGIDA</v>
      </c>
      <c r="U126" s="51" t="str">
        <f>+IF(GENERAL!V127=GENERAL!$AI$2,GENERAL!$AI$2,CONCATENATE(OBSERVACIONES!U126,"
ESTADO DE POSTVENTAS:  ",GENERAL!V127))</f>
        <v>OK
ESTADO DE POSTVENTAS:  POSTVENTA CORREGIDA</v>
      </c>
      <c r="V126" s="51" t="str">
        <f>+IF(GENERAL!W127=GENERAL!$AI$2,GENERAL!$AI$2,CONCATENATE(OBSERVACIONES!V126,"
ESTADO DE POSTVENTAS:  ",GENERAL!W127))</f>
        <v>OK
ESTADO DE POSTVENTAS:  POSTVENTA CORREGIDA</v>
      </c>
      <c r="W126" s="51" t="str">
        <f>+IF(GENERAL!V127=GENERAL!$AI$2,GENERAL!$AI$2,CONCATENATE(OBSERVACIONES!W126,"
ESTADO DE POSTVENTAS:  ",GENERAL!V127))</f>
        <v>OK
ESTADO DE POSTVENTAS:  POSTVENTA CORREGIDA</v>
      </c>
      <c r="X126" s="51" t="str">
        <f>+IF(GENERAL!W127=GENERAL!$AI$2,GENERAL!$AI$2,CONCATENATE(OBSERVACIONES!X126,"
ESTADO DE POSTVENTAS:  ",GENERAL!W127))</f>
        <v>OK
ESTADO DE POSTVENTAS:  POSTVENTA CORREGIDA</v>
      </c>
      <c r="Y126" s="51" t="str">
        <f>+IF(GENERAL!Z127=GENERAL!$AI$2,GENERAL!$AI$2,CONCATENATE(OBSERVACIONES!Y126,"
ESTADO DE POSTVENTAS:  ",GENERAL!Z127))</f>
        <v>OK
ESTADO DE POSTVENTAS:  POSTVENTA CORREGIDA</v>
      </c>
      <c r="Z126" s="51" t="str">
        <f>+IF(GENERAL!AA127=GENERAL!$AI$2,GENERAL!$AI$2,CONCATENATE(OBSERVACIONES!Z126,"
ESTADO DE POSTVENTAS:  ",GENERAL!AA127))</f>
        <v>OK
ESTADO DE POSTVENTAS:  POSTVENTA CORREGIDA</v>
      </c>
      <c r="AA126" s="70" t="str">
        <f>+IF(GENERAL!AB127=GENERAL!$AI$2,GENERAL!$AI$2,CONCATENATE(OBSERVACIONES!AA126,"
ESTADO DE POSTVENTAS:  ",GENERAL!AB127))</f>
        <v>DETALLE PUERTAS
ESTADO DE POSTVENTAS:  TIENE POSTVENTA</v>
      </c>
      <c r="AB126" s="70" t="str">
        <f>+IF(GENERAL!AC127=GENERAL!$AI$2,GENERAL!$AI$2,CONCATENATE(OBSERVACIONES!AB126,"
ESTADO DE POSTVENTAS:  ",GENERAL!AC127))</f>
        <v>OK
ESTADO DE POSTVENTAS:  POSTVENTA CORREGIDA</v>
      </c>
      <c r="AC126" s="70" t="str">
        <f>+IF(GENERAL!AD127=GENERAL!$AI$2,GENERAL!$AI$2,CONCATENATE(OBSERVACIONES!AC126,"
ESTADO DE POSTVENTAS:  ",GENERAL!AD127))</f>
        <v>OK
ESTADO DE POSTVENTAS:  POSTVENTA CORREGIDA</v>
      </c>
      <c r="AD126" s="51" t="str">
        <f>+IF(GENERAL!AE127=GENERAL!$AI$2,GENERAL!$AI$2,CONCATENATE(OBSERVACIONES!AD126,"
ESTADO DE POSTVENTAS:  ",GENERAL!AE127))</f>
        <v>OK
ESTADO DE POSTVENTAS:  POSTVENTA CORREGIDA</v>
      </c>
      <c r="AE126" s="51" t="str">
        <f>+IF(GENERAL!AF127=GENERAL!$AI$2,GENERAL!$AI$2,CONCATENATE(OBSERVACIONES!AE126,"
ESTADO DE POSTVENTAS:  ",GENERAL!AF127))</f>
        <v>OK
ESTADO DE POSTVENTAS:  POSTVENTA CORREGIDA</v>
      </c>
      <c r="AF126" s="51" t="str">
        <f>+IF(GENERAL!AG127=GENERAL!$AI$2,GENERAL!$AI$2,CONCATENATE(OBSERVACIONES!AF126,"
ESTADO DE POSTVENTAS:  ",GENERAL!AG127))</f>
        <v>OK
ESTADO DE POSTVENTAS:  POSTVENTA CORREGIDA</v>
      </c>
      <c r="AG126" s="51" t="str">
        <f>+IF(GENERAL!AH127=GENERAL!$AI$2,GENERAL!$AI$2,CONCATENATE(OBSERVACIONES!AG126,"
ESTADO DE POSTVENTAS:  ",GENERAL!AH127))</f>
        <v>OK
ESTADO DE POSTVENTAS:  POSTVENTA CORREGIDA</v>
      </c>
      <c r="AH126" s="51" t="str">
        <f>+IF(GENERAL!AI127=GENERAL!$AI$2,GENERAL!$AI$2,CONCATENATE(OBSERVACIONES!AH126,"
ESTADO DE POSTVENTAS:  ",GENERAL!AI127))</f>
        <v>OK
ESTADO DE POSTVENTAS:  POSTVENTA CORREGIDA</v>
      </c>
      <c r="AI126" s="51" t="str">
        <f>+IF(GENERAL!AG127=GENERAL!$AI$2,GENERAL!$AI$2,CONCATENATE(OBSERVACIONES!AF126,"
ESTADO DE POSTVENTAS:  ",GENERAL!AG127))</f>
        <v>OK
ESTADO DE POSTVENTAS:  POSTVENTA CORREGIDA</v>
      </c>
      <c r="AJ126" s="51" t="str">
        <f>+IF(GENERAL!AI127=GENERAL!$AI$2,GENERAL!$AI$2,CONCATENATE(OBSERVACIONES!AH126,"
ESTADO DE POSTVENTAS:  ",GENERAL!AI127))</f>
        <v>OK
ESTADO DE POSTVENTAS:  POSTVENTA CORREGIDA</v>
      </c>
      <c r="AK126" s="51" t="str">
        <f>+IF(GENERAL!AJ127=GENERAL!$AI$2,GENERAL!$AI$2,CONCATENATE(OBSERVACIONES!AI126,"
ESTADO DE POSTVENTAS:  ",GENERAL!AJ127))</f>
        <v>OK
ESTADO DE POSTVENTAS:  POSTVENTA CORREGIDA</v>
      </c>
      <c r="AL126" s="51" t="str">
        <f>+IF(GENERAL!AK127=GENERAL!$AI$2,GENERAL!$AI$2,CONCATENATE(OBSERVACIONES!AJ126,"
ESTADO DE POSTVENTAS:  ",GENERAL!AK127))</f>
        <v>OK
ESTADO DE POSTVENTAS:  POSTVENTA CORREGIDA</v>
      </c>
      <c r="AM126" s="51" t="str">
        <f>+IF(GENERAL!AN127=GENERAL!$AI$2,GENERAL!$AI$2,CONCATENATE(OBSERVACIONES!AM126,"
ESTADO DE POSTVENTAS:  ",GENERAL!AN127))</f>
        <v>OK
ESTADO DE POSTVENTAS:  POSTVENTA CORREGIDA</v>
      </c>
      <c r="AN126" s="37">
        <v>4</v>
      </c>
      <c r="AO126" s="37">
        <v>7</v>
      </c>
      <c r="AP126" s="37">
        <v>3</v>
      </c>
      <c r="AQ126" s="37">
        <v>2</v>
      </c>
      <c r="AR126" s="43">
        <v>12</v>
      </c>
      <c r="AS126" s="40">
        <v>12</v>
      </c>
      <c r="AT126" s="37">
        <f>COUNTIFS($D$5:$AM$5,"&lt;&gt;"&amp;CODICIONALES!$A$1,$D$5:$AM$5,"&lt;&gt;"&amp;CODICIONALES!$A$2,$D$5:$AM$5,"&lt;&gt;"&amp;CODICIONALES!$B$2,$D$5:$AM$5,"&lt;&gt;"&amp;CODICIONALES!$C$2)</f>
        <v>6</v>
      </c>
      <c r="AU126" s="43">
        <f>COUNTIFS(D126:AM126,CODICIONALES!$A$2)</f>
        <v>30</v>
      </c>
      <c r="AV126" s="40">
        <f t="shared" si="1"/>
        <v>0</v>
      </c>
    </row>
    <row r="127" spans="1:48" ht="51" customHeight="1" x14ac:dyDescent="0.25">
      <c r="A127" s="111"/>
      <c r="B127" s="2">
        <v>123</v>
      </c>
      <c r="C127" s="22" t="s">
        <v>64</v>
      </c>
      <c r="D127" s="51" t="str">
        <f>+IF(GENERAL!E128=GENERAL!$AI$2,GENERAL!$AI$2,CONCATENATE(OBSERVACIONES!D127,"
ESTADO DE POSTVENTAS:  ",GENERAL!E128))</f>
        <v>NO ENTREGADO
ESTADO DE POSTVENTAS:  TIENE POSTVENTA</v>
      </c>
      <c r="E127" s="51" t="str">
        <f>+IF(GENERAL!F128=GENERAL!$AI$2,GENERAL!$AI$2,CONCATENATE(OBSERVACIONES!E127,"
ESTADO DE POSTVENTAS:  ",GENERAL!F128))</f>
        <v>OK
ESTADO DE POSTVENTAS:  POSTVENTA CORREGIDA</v>
      </c>
      <c r="F127" s="51" t="str">
        <f>+IF(GENERAL!G128=GENERAL!$AI$2,GENERAL!$AI$2,CONCATENATE(OBSERVACIONES!F127,"
ESTADO DE POSTVENTAS:  ",GENERAL!G128))</f>
        <v>OK
ESTADO DE POSTVENTAS:  POSTVENTA CORREGIDA</v>
      </c>
      <c r="G127" s="51" t="str">
        <f>+IF(GENERAL!H128=GENERAL!$AI$2,GENERAL!$AI$2,CONCATENATE(OBSERVACIONES!G127,"
ESTADO DE POSTVENTAS:  ",GENERAL!H128))</f>
        <v>NO ENTREGADO
ESTADO DE POSTVENTAS:  TIENE POSTVENTA</v>
      </c>
      <c r="H127" s="51" t="str">
        <f>+IF(GENERAL!I128=GENERAL!$AI$2,GENERAL!$AI$2,CONCATENATE(OBSERVACIONES!H127,"
ESTADO DE POSTVENTAS:  ",GENERAL!I128))</f>
        <v>OK
ESTADO DE POSTVENTAS:  POSTVENTA CORREGIDA</v>
      </c>
      <c r="I127" s="51" t="str">
        <f>+IF(GENERAL!J128=GENERAL!$AI$2,GENERAL!$AI$2,CONCATENATE(OBSERVACIONES!I127,"
ESTADO DE POSTVENTAS:  ",GENERAL!J128))</f>
        <v>OK
ESTADO DE POSTVENTAS:  POSTVENTA CORREGIDA</v>
      </c>
      <c r="J127" s="51" t="str">
        <f>+IF(GENERAL!K128=GENERAL!$AI$2,GENERAL!$AI$2,CONCATENATE(OBSERVACIONES!J127,"
ESTADO DE POSTVENTAS:  ",GENERAL!K128))</f>
        <v>OK
ESTADO DE POSTVENTAS:  POSTVENTA CORREGIDA</v>
      </c>
      <c r="K127" s="51" t="str">
        <f>+IF(GENERAL!L128=GENERAL!$AI$2,GENERAL!$AI$2,CONCATENATE(OBSERVACIONES!K127,"
ESTADO DE POSTVENTAS:  ",GENERAL!L128))</f>
        <v>OK
ESTADO DE POSTVENTAS:  POSTVENTA CORREGIDA</v>
      </c>
      <c r="L127" s="51" t="str">
        <f>+IF(GENERAL!M128=GENERAL!$AI$2,GENERAL!$AI$2,CONCATENATE(OBSERVACIONES!L127,"
ESTADO DE POSTVENTAS:  ",GENERAL!M128))</f>
        <v>OK
ESTADO DE POSTVENTAS:  POSTVENTA CORREGIDA</v>
      </c>
      <c r="M127" s="70" t="str">
        <f>+IF(GENERAL!N128=GENERAL!$AI$2,GENERAL!$AI$2,CONCATENATE(OBSERVACIONES!M127,"
ESTADO DE POSTVENTAS:  ",GENERAL!N128))</f>
        <v>OK
ESTADO DE POSTVENTAS:  POSTVENTA CORREGIDA</v>
      </c>
      <c r="N127" s="51" t="str">
        <f>+IF(GENERAL!O128=GENERAL!$AI$2,GENERAL!$AI$2,CONCATENATE(OBSERVACIONES!N127,"
ESTADO DE POSTVENTAS:  ",GENERAL!O128))</f>
        <v>OK
ESTADO DE POSTVENTAS:  POSTVENTA CORREGIDA</v>
      </c>
      <c r="O127" s="70" t="str">
        <f>+IF(GENERAL!P128=GENERAL!$AI$2,GENERAL!$AI$2,CONCATENATE(OBSERVACIONES!O127,"
ESTADO DE POSTVENTAS:  ",GENERAL!P128))</f>
        <v>OK
ESTADO DE POSTVENTAS:  POSTVENTA CORREGIDA</v>
      </c>
      <c r="P127" s="70" t="str">
        <f>+IF(GENERAL!Q128=GENERAL!$AI$2,GENERAL!$AI$2,CONCATENATE(OBSERVACIONES!P127,"
ESTADO DE POSTVENTAS:  ",GENERAL!Q128))</f>
        <v>OK
ESTADO DE POSTVENTAS:  POSTVENTA CORREGIDA</v>
      </c>
      <c r="Q127" s="70" t="str">
        <f>+IF(GENERAL!R128=GENERAL!$AI$2,GENERAL!$AI$2,CONCATENATE(OBSERVACIONES!Q127,"
ESTADO DE POSTVENTAS:  ",GENERAL!R128))</f>
        <v>DETALLE HUMEDAD
ESTADO DE POSTVENTAS:  TIENE POSTVENTA</v>
      </c>
      <c r="R127" s="51" t="str">
        <f>+IF(GENERAL!S128=GENERAL!$AI$2,GENERAL!$AI$2,CONCATENATE(OBSERVACIONES!R127,"
ESTADO DE POSTVENTAS:  ",GENERAL!S128))</f>
        <v>OK
ESTADO DE POSTVENTAS:  POSTVENTA CORREGIDA</v>
      </c>
      <c r="S127" s="51" t="str">
        <f>+IF(GENERAL!T128=GENERAL!$AI$2,GENERAL!$AI$2,CONCATENATE(OBSERVACIONES!S127,"
ESTADO DE POSTVENTAS:  ",GENERAL!T128))</f>
        <v>DETALLE HUMEDAD
ESTADO DE POSTVENTAS:  TIENE POSTVENTA</v>
      </c>
      <c r="T127" s="70" t="str">
        <f>+IF(GENERAL!U128=GENERAL!$AI$2,GENERAL!$AI$2,CONCATENATE(OBSERVACIONES!T127,"
ESTADO DE POSTVENTAS:  ",GENERAL!U128))</f>
        <v>DETALLE HUMEDAD
ESTADO DE POSTVENTAS:  TIENE POSTVENTA</v>
      </c>
      <c r="U127" s="51" t="str">
        <f>+IF(GENERAL!V128=GENERAL!$AI$2,GENERAL!$AI$2,CONCATENATE(OBSERVACIONES!U127,"
ESTADO DE POSTVENTAS:  ",GENERAL!V128))</f>
        <v>OK
ESTADO DE POSTVENTAS:  POSTVENTA CORREGIDA</v>
      </c>
      <c r="V127" s="51" t="str">
        <f>+IF(GENERAL!W128=GENERAL!$AI$2,GENERAL!$AI$2,CONCATENATE(OBSERVACIONES!V127,"
ESTADO DE POSTVENTAS:  ",GENERAL!W128))</f>
        <v>OK
ESTADO DE POSTVENTAS:  POSTVENTA CORREGIDA</v>
      </c>
      <c r="W127" s="51" t="str">
        <f>+IF(GENERAL!V128=GENERAL!$AI$2,GENERAL!$AI$2,CONCATENATE(OBSERVACIONES!W127,"
ESTADO DE POSTVENTAS:  ",GENERAL!V128))</f>
        <v>OK
ESTADO DE POSTVENTAS:  POSTVENTA CORREGIDA</v>
      </c>
      <c r="X127" s="51" t="str">
        <f>+IF(GENERAL!W128=GENERAL!$AI$2,GENERAL!$AI$2,CONCATENATE(OBSERVACIONES!X127,"
ESTADO DE POSTVENTAS:  ",GENERAL!W128))</f>
        <v>OK
ESTADO DE POSTVENTAS:  POSTVENTA CORREGIDA</v>
      </c>
      <c r="Y127" s="51" t="str">
        <f>+IF(GENERAL!Z128=GENERAL!$AI$2,GENERAL!$AI$2,CONCATENATE(OBSERVACIONES!Y127,"
ESTADO DE POSTVENTAS:  ",GENERAL!Z128))</f>
        <v>DETALLE PINTURA
ESTADO DE POSTVENTAS:  TIENE POSTVENTA</v>
      </c>
      <c r="Z127" s="70" t="str">
        <f>+IF(GENERAL!AA128=GENERAL!$AI$2,GENERAL!$AI$2,CONCATENATE(OBSERVACIONES!Z127,"
ESTADO DE POSTVENTAS:  ",GENERAL!AA128))</f>
        <v>DETALLE LAMINA DESPEGADA
ESTADO DE POSTVENTAS:  TIENE POSTVENTA</v>
      </c>
      <c r="AA127" s="51" t="str">
        <f>+IF(GENERAL!AB128=GENERAL!$AI$2,GENERAL!$AI$2,CONCATENATE(OBSERVACIONES!AA127,"
ESTADO DE POSTVENTAS:  ",GENERAL!AB128))</f>
        <v>OK
ESTADO DE POSTVENTAS:  POSTVENTA CORREGIDA</v>
      </c>
      <c r="AB127" s="51" t="str">
        <f>+IF(GENERAL!AC128=GENERAL!$AI$2,GENERAL!$AI$2,CONCATENATE(OBSERVACIONES!AB127,"
ESTADO DE POSTVENTAS:  ",GENERAL!AC128))</f>
        <v>OK
ESTADO DE POSTVENTAS:  POSTVENTA CORREGIDA</v>
      </c>
      <c r="AC127" s="51" t="str">
        <f>+IF(GENERAL!AD128=GENERAL!$AI$2,GENERAL!$AI$2,CONCATENATE(OBSERVACIONES!AC127,"
ESTADO DE POSTVENTAS:  ",GENERAL!AD128))</f>
        <v>OK
ESTADO DE POSTVENTAS:  POSTVENTA CORREGIDA</v>
      </c>
      <c r="AD127" s="51" t="str">
        <f>+IF(GENERAL!AE128=GENERAL!$AI$2,GENERAL!$AI$2,CONCATENATE(OBSERVACIONES!AD127,"
ESTADO DE POSTVENTAS:  ",GENERAL!AE128))</f>
        <v>OK
ESTADO DE POSTVENTAS:  POSTVENTA CORREGIDA</v>
      </c>
      <c r="AE127" s="70" t="str">
        <f>+IF(GENERAL!AF128=GENERAL!$AI$2,GENERAL!$AI$2,CONCATENATE(OBSERVACIONES!AE127,"
ESTADO DE POSTVENTAS:  ",GENERAL!AF128))</f>
        <v>DETALLE PINTURA
ESTADO DE POSTVENTAS:  TIENE POSTVENTA</v>
      </c>
      <c r="AF127" s="51" t="str">
        <f>+IF(GENERAL!AG128=GENERAL!$AI$2,GENERAL!$AI$2,CONCATENATE(OBSERVACIONES!AF127,"
ESTADO DE POSTVENTAS:  ",GENERAL!AG128))</f>
        <v>OK
ESTADO DE POSTVENTAS:  POSTVENTA CORREGIDA</v>
      </c>
      <c r="AG127" s="51" t="str">
        <f>+IF(GENERAL!AH128=GENERAL!$AI$2,GENERAL!$AI$2,CONCATENATE(OBSERVACIONES!AG127,"
ESTADO DE POSTVENTAS:  ",GENERAL!AH128))</f>
        <v>OK
ESTADO DE POSTVENTAS:  POSTVENTA CORREGIDA</v>
      </c>
      <c r="AH127" s="70" t="str">
        <f>+IF(GENERAL!AI128=GENERAL!$AI$2,GENERAL!$AI$2,CONCATENATE(OBSERVACIONES!AH127,"
ESTADO DE POSTVENTAS:  ",GENERAL!AI128))</f>
        <v>DETALLE PINTURA
ESTADO DE POSTVENTAS:  TIENE POSTVENTA</v>
      </c>
      <c r="AI127" s="51" t="str">
        <f>+IF(GENERAL!AG128=GENERAL!$AI$2,GENERAL!$AI$2,CONCATENATE(OBSERVACIONES!AF127,"
ESTADO DE POSTVENTAS:  ",GENERAL!AG128))</f>
        <v>OK
ESTADO DE POSTVENTAS:  POSTVENTA CORREGIDA</v>
      </c>
      <c r="AJ127" s="70" t="str">
        <f>+IF(GENERAL!AI128=GENERAL!$AI$2,GENERAL!$AI$2,CONCATENATE(OBSERVACIONES!AH127,"
ESTADO DE POSTVENTAS:  ",GENERAL!AI128))</f>
        <v>DETALLE PINTURA
ESTADO DE POSTVENTAS:  TIENE POSTVENTA</v>
      </c>
      <c r="AK127" s="51" t="str">
        <f>+IF(GENERAL!AJ128=GENERAL!$AI$2,GENERAL!$AI$2,CONCATENATE(OBSERVACIONES!AI127,"
ESTADO DE POSTVENTAS:  ",GENERAL!AJ128))</f>
        <v>OK
ESTADO DE POSTVENTAS:  POSTVENTA CORREGIDA</v>
      </c>
      <c r="AL127" s="51" t="str">
        <f>+IF(GENERAL!AK128=GENERAL!$AI$2,GENERAL!$AI$2,CONCATENATE(OBSERVACIONES!AJ127,"
ESTADO DE POSTVENTAS:  ",GENERAL!AK128))</f>
        <v>OK
ESTADO DE POSTVENTAS:  POSTVENTA CORREGIDA</v>
      </c>
      <c r="AM127" s="51" t="str">
        <f>+IF(GENERAL!AN128=GENERAL!$AI$2,GENERAL!$AI$2,CONCATENATE(OBSERVACIONES!AM127,"
ESTADO DE POSTVENTAS:  ",GENERAL!AN128))</f>
        <v>OK
ESTADO DE POSTVENTAS:  POSTVENTA CORREGIDA</v>
      </c>
      <c r="AN127" s="37">
        <v>2</v>
      </c>
      <c r="AO127" s="37">
        <v>9</v>
      </c>
      <c r="AP127" s="37">
        <v>3</v>
      </c>
      <c r="AQ127" s="37">
        <v>2</v>
      </c>
      <c r="AR127" s="43">
        <v>12</v>
      </c>
      <c r="AS127" s="40">
        <v>12</v>
      </c>
      <c r="AT127" s="37">
        <f>COUNTIFS($D$5:$AM$5,"&lt;&gt;"&amp;CODICIONALES!$A$1,$D$5:$AM$5,"&lt;&gt;"&amp;CODICIONALES!$A$2,$D$5:$AM$5,"&lt;&gt;"&amp;CODICIONALES!$B$2,$D$5:$AM$5,"&lt;&gt;"&amp;CODICIONALES!$C$2)</f>
        <v>6</v>
      </c>
      <c r="AU127" s="43">
        <f>COUNTIFS(D127:AM127,CODICIONALES!$A$2)</f>
        <v>26</v>
      </c>
      <c r="AV127" s="40">
        <f t="shared" si="1"/>
        <v>4</v>
      </c>
    </row>
    <row r="128" spans="1:48" ht="51" customHeight="1" x14ac:dyDescent="0.25">
      <c r="A128" s="112" t="s">
        <v>107</v>
      </c>
      <c r="B128" s="2">
        <v>124</v>
      </c>
      <c r="C128" s="25" t="s">
        <v>99</v>
      </c>
      <c r="D128" s="51" t="str">
        <f>+IF(GENERAL!E129=GENERAL!$AI$2,GENERAL!$AI$2,CONCATENATE(OBSERVACIONES!D128,"
ESTADO DE POSTVENTAS:  ",GENERAL!E129))</f>
        <v>NO ENTREGADO
ESTADO DE POSTVENTAS:  TIENE POSTVENTA</v>
      </c>
      <c r="E128" s="70" t="str">
        <f>+IF(GENERAL!F129=GENERAL!$AI$2,GENERAL!$AI$2,CONCATENATE(OBSERVACIONES!E128,"
ESTADO DE POSTVENTAS:  ",GENERAL!F129))</f>
        <v>OK
ESTADO DE POSTVENTAS:  POSTVENTA CORREGIDA</v>
      </c>
      <c r="F128" s="51" t="str">
        <f>+IF(GENERAL!G129=GENERAL!$AI$2,GENERAL!$AI$2,CONCATENATE(OBSERVACIONES!F128,"
ESTADO DE POSTVENTAS:  ",GENERAL!G129))</f>
        <v>OK
ESTADO DE POSTVENTAS:  POSTVENTA CORREGIDA</v>
      </c>
      <c r="G128" s="51" t="str">
        <f>+IF(GENERAL!H129=GENERAL!$AI$2,GENERAL!$AI$2,CONCATENATE(OBSERVACIONES!G128,"
ESTADO DE POSTVENTAS:  ",GENERAL!H129))</f>
        <v>NO ENTREGADO
ESTADO DE POSTVENTAS:  TIENE POSTVENTA</v>
      </c>
      <c r="H128" s="70" t="str">
        <f>+IF(GENERAL!I129=GENERAL!$AI$2,GENERAL!$AI$2,CONCATENATE(OBSERVACIONES!H128,"
ESTADO DE POSTVENTAS:  ",GENERAL!I129))</f>
        <v>DETALLE CAMBIO
ESTADO DE POSTVENTAS:  TIENE POSTVENTA</v>
      </c>
      <c r="I128" s="51" t="str">
        <f>+IF(GENERAL!J129=GENERAL!$AI$2,GENERAL!$AI$2,CONCATENATE(OBSERVACIONES!I128,"
ESTADO DE POSTVENTAS:  ",GENERAL!J129))</f>
        <v>OK
ESTADO DE POSTVENTAS:  POSTVENTA CORREGIDA</v>
      </c>
      <c r="J128" s="51" t="str">
        <f>+IF(GENERAL!K129=GENERAL!$AI$2,GENERAL!$AI$2,CONCATENATE(OBSERVACIONES!J128,"
ESTADO DE POSTVENTAS:  ",GENERAL!K129))</f>
        <v>OK
ESTADO DE POSTVENTAS:  POSTVENTA CORREGIDA</v>
      </c>
      <c r="K128" s="51" t="str">
        <f>+IF(GENERAL!L129=GENERAL!$AI$2,GENERAL!$AI$2,CONCATENATE(OBSERVACIONES!K128,"
ESTADO DE POSTVENTAS:  ",GENERAL!L129))</f>
        <v>OK
ESTADO DE POSTVENTAS:  POSTVENTA CORREGIDA</v>
      </c>
      <c r="L128" s="51" t="str">
        <f>+IF(GENERAL!M129=GENERAL!$AI$2,GENERAL!$AI$2,CONCATENATE(OBSERVACIONES!L128,"
ESTADO DE POSTVENTAS:  ",GENERAL!M129))</f>
        <v>DETALLE FIJADO
ESTADO DE POSTVENTAS:  TIENE POSTVENTA</v>
      </c>
      <c r="M128" s="70" t="str">
        <f>+IF(GENERAL!N129=GENERAL!$AI$2,GENERAL!$AI$2,CONCATENATE(OBSERVACIONES!M128,"
ESTADO DE POSTVENTAS:  ",GENERAL!N129))</f>
        <v>OK
ESTADO DE POSTVENTAS:  POSTVENTA CORREGIDA</v>
      </c>
      <c r="N128" s="51" t="str">
        <f>+IF(GENERAL!O129=GENERAL!$AI$2,GENERAL!$AI$2,CONCATENATE(OBSERVACIONES!N128,"
ESTADO DE POSTVENTAS:  ",GENERAL!O129))</f>
        <v>OK
ESTADO DE POSTVENTAS:  POSTVENTA CORREGIDA</v>
      </c>
      <c r="O128" s="51" t="str">
        <f>+IF(GENERAL!P129=GENERAL!$AI$2,GENERAL!$AI$2,CONCATENATE(OBSERVACIONES!O128,"
ESTADO DE POSTVENTAS:  ",GENERAL!P129))</f>
        <v>OK
ESTADO DE POSTVENTAS:  POSTVENTA CORREGIDA</v>
      </c>
      <c r="P128" s="70" t="str">
        <f>+IF(GENERAL!Q129=GENERAL!$AI$2,GENERAL!$AI$2,CONCATENATE(OBSERVACIONES!P128,"
ESTADO DE POSTVENTAS:  ",GENERAL!Q129))</f>
        <v>OK
ESTADO DE POSTVENTAS:  POSTVENTA CORREGIDA</v>
      </c>
      <c r="Q128" s="70" t="str">
        <f>+IF(GENERAL!R129=GENERAL!$AI$2,GENERAL!$AI$2,CONCATENATE(OBSERVACIONES!Q128,"
ESTADO DE POSTVENTAS:  ",GENERAL!R129))</f>
        <v>OK
ESTADO DE POSTVENTAS:  POSTVENTA CORREGIDA</v>
      </c>
      <c r="R128" s="51" t="str">
        <f>+IF(GENERAL!S129=GENERAL!$AI$2,GENERAL!$AI$2,CONCATENATE(OBSERVACIONES!R128,"
ESTADO DE POSTVENTAS:  ",GENERAL!S129))</f>
        <v>OK
ESTADO DE POSTVENTAS:  POSTVENTA CORREGIDA</v>
      </c>
      <c r="S128" s="51" t="str">
        <f>+IF(GENERAL!T129=GENERAL!$AI$2,GENERAL!$AI$2,CONCATENATE(OBSERVACIONES!S128,"
ESTADO DE POSTVENTAS:  ",GENERAL!T129))</f>
        <v>OK
ESTADO DE POSTVENTAS:  POSTVENTA CORREGIDA</v>
      </c>
      <c r="T128" s="45" t="str">
        <f>+IF(GENERAL!U129=GENERAL!$AI$2,GENERAL!$AI$2,CONCATENATE(OBSERVACIONES!T128,"
ESTADO DE POSTVENTAS:  ",GENERAL!U129))</f>
        <v>OK
ESTADO DE POSTVENTAS:  POSTVENTA CORREGIDA</v>
      </c>
      <c r="U128" s="51" t="str">
        <f>+IF(GENERAL!V129=GENERAL!$AI$2,GENERAL!$AI$2,CONCATENATE(OBSERVACIONES!U128,"
ESTADO DE POSTVENTAS:  ",GENERAL!V129))</f>
        <v>OK
ESTADO DE POSTVENTAS:  POSTVENTA CORREGIDA</v>
      </c>
      <c r="V128" s="51" t="str">
        <f>+IF(GENERAL!W129=GENERAL!$AI$2,GENERAL!$AI$2,CONCATENATE(OBSERVACIONES!V128,"
ESTADO DE POSTVENTAS:  ",GENERAL!W129))</f>
        <v>OK
ESTADO DE POSTVENTAS:  POSTVENTA CORREGIDA</v>
      </c>
      <c r="W128" s="51" t="str">
        <f>+IF(GENERAL!V129=GENERAL!$AI$2,GENERAL!$AI$2,CONCATENATE(OBSERVACIONES!W128,"
ESTADO DE POSTVENTAS:  ",GENERAL!V129))</f>
        <v>OK
ESTADO DE POSTVENTAS:  POSTVENTA CORREGIDA</v>
      </c>
      <c r="X128" s="51" t="str">
        <f>+IF(GENERAL!W129=GENERAL!$AI$2,GENERAL!$AI$2,CONCATENATE(OBSERVACIONES!X128,"
ESTADO DE POSTVENTAS:  ",GENERAL!W129))</f>
        <v>OK
ESTADO DE POSTVENTAS:  POSTVENTA CORREGIDA</v>
      </c>
      <c r="Y128" s="51" t="str">
        <f>+IF(GENERAL!Z129=GENERAL!$AI$2,GENERAL!$AI$2,CONCATENATE(OBSERVACIONES!Y128,"
ESTADO DE POSTVENTAS:  ",GENERAL!Z129))</f>
        <v>OK
ESTADO DE POSTVENTAS:  POSTVENTA CORREGIDA</v>
      </c>
      <c r="Z128" s="51" t="str">
        <f>+IF(GENERAL!AA129=GENERAL!$AI$2,GENERAL!$AI$2,CONCATENATE(OBSERVACIONES!Z128,"
ESTADO DE POSTVENTAS:  ",GENERAL!AA129))</f>
        <v>OK
ESTADO DE POSTVENTAS:  POSTVENTA CORREGIDA</v>
      </c>
      <c r="AA128" s="70" t="str">
        <f>+IF(GENERAL!AB129=GENERAL!$AI$2,GENERAL!$AI$2,CONCATENATE(OBSERVACIONES!AA128,"
ESTADO DE POSTVENTAS:  ",GENERAL!AB129))</f>
        <v>DETALLE CAMBIO
ESTADO DE POSTVENTAS:  TIENE POSTVENTA</v>
      </c>
      <c r="AB128" s="51" t="str">
        <f>+IF(GENERAL!AC129=GENERAL!$AI$2,GENERAL!$AI$2,CONCATENATE(OBSERVACIONES!AB128,"
ESTADO DE POSTVENTAS:  ",GENERAL!AC129))</f>
        <v>OK
ESTADO DE POSTVENTAS:  POSTVENTA CORREGIDA</v>
      </c>
      <c r="AC128" s="70" t="str">
        <f>+IF(GENERAL!AD129=GENERAL!$AI$2,GENERAL!$AI$2,CONCATENATE(OBSERVACIONES!AC128,"
ESTADO DE POSTVENTAS:  ",GENERAL!AD129))</f>
        <v>OK
ESTADO DE POSTVENTAS:  POSTVENTA CORREGIDA</v>
      </c>
      <c r="AD128" s="51" t="str">
        <f>+IF(GENERAL!AE129=GENERAL!$AI$2,GENERAL!$AI$2,CONCATENATE(OBSERVACIONES!AD128,"
ESTADO DE POSTVENTAS:  ",GENERAL!AE129))</f>
        <v>OK
ESTADO DE POSTVENTAS:  POSTVENTA CORREGIDA</v>
      </c>
      <c r="AE128" s="51" t="str">
        <f>+IF(GENERAL!AF129=GENERAL!$AI$2,GENERAL!$AI$2,CONCATENATE(OBSERVACIONES!AE128,"
ESTADO DE POSTVENTAS:  ",GENERAL!AF129))</f>
        <v>OK
ESTADO DE POSTVENTAS:  POSTVENTA CORREGIDA</v>
      </c>
      <c r="AF128" s="51" t="str">
        <f>+IF(GENERAL!AG129=GENERAL!$AI$2,GENERAL!$AI$2,CONCATENATE(OBSERVACIONES!AF128,"
ESTADO DE POSTVENTAS:  ",GENERAL!AG129))</f>
        <v>OK
ESTADO DE POSTVENTAS:  POSTVENTA CORREGIDA</v>
      </c>
      <c r="AG128" s="51" t="str">
        <f>+IF(GENERAL!AH129=GENERAL!$AI$2,GENERAL!$AI$2,CONCATENATE(OBSERVACIONES!AG128,"
ESTADO DE POSTVENTAS:  ",GENERAL!AH129))</f>
        <v>OK
ESTADO DE POSTVENTAS:  POSTVENTA CORREGIDA</v>
      </c>
      <c r="AH128" s="51" t="str">
        <f>+IF(GENERAL!AI129=GENERAL!$AI$2,GENERAL!$AI$2,CONCATENATE(OBSERVACIONES!AH128,"
ESTADO DE POSTVENTAS:  ",GENERAL!AI129))</f>
        <v>OK
ESTADO DE POSTVENTAS:  POSTVENTA CORREGIDA</v>
      </c>
      <c r="AI128" s="51" t="str">
        <f>+IF(GENERAL!AG129=GENERAL!$AI$2,GENERAL!$AI$2,CONCATENATE(OBSERVACIONES!AF128,"
ESTADO DE POSTVENTAS:  ",GENERAL!AG129))</f>
        <v>OK
ESTADO DE POSTVENTAS:  POSTVENTA CORREGIDA</v>
      </c>
      <c r="AJ128" s="51" t="str">
        <f>+IF(GENERAL!AI129=GENERAL!$AI$2,GENERAL!$AI$2,CONCATENATE(OBSERVACIONES!AH128,"
ESTADO DE POSTVENTAS:  ",GENERAL!AI129))</f>
        <v>OK
ESTADO DE POSTVENTAS:  POSTVENTA CORREGIDA</v>
      </c>
      <c r="AK128" s="51" t="str">
        <f>+IF(GENERAL!AJ129=GENERAL!$AI$2,GENERAL!$AI$2,CONCATENATE(OBSERVACIONES!AI128,"
ESTADO DE POSTVENTAS:  ",GENERAL!AJ129))</f>
        <v>OK
ESTADO DE POSTVENTAS:  POSTVENTA CORREGIDA</v>
      </c>
      <c r="AL128" s="51" t="str">
        <f>+IF(GENERAL!AK129=GENERAL!$AI$2,GENERAL!$AI$2,CONCATENATE(OBSERVACIONES!AJ128,"
ESTADO DE POSTVENTAS:  ",GENERAL!AK129))</f>
        <v>OK
ESTADO DE POSTVENTAS:  POSTVENTA CORREGIDA</v>
      </c>
      <c r="AM128" s="51" t="str">
        <f>+IF(GENERAL!AN129=GENERAL!$AI$2,GENERAL!$AI$2,CONCATENATE(OBSERVACIONES!AM128,"
ESTADO DE POSTVENTAS:  ",GENERAL!AN129))</f>
        <v>OK
ESTADO DE POSTVENTAS:  POSTVENTA CORREGIDA</v>
      </c>
      <c r="AN128" s="37">
        <v>3</v>
      </c>
      <c r="AO128" s="37">
        <v>8</v>
      </c>
      <c r="AP128" s="37">
        <v>3</v>
      </c>
      <c r="AQ128" s="37">
        <v>3</v>
      </c>
      <c r="AR128" s="43">
        <v>12</v>
      </c>
      <c r="AS128" s="40">
        <v>11</v>
      </c>
      <c r="AT128" s="37">
        <f>COUNTIFS($D$5:$AM$5,"&lt;&gt;"&amp;CODICIONALES!$A$1,$D$5:$AM$5,"&lt;&gt;"&amp;CODICIONALES!$A$2,$D$5:$AM$5,"&lt;&gt;"&amp;CODICIONALES!$B$2,$D$5:$AM$5,"&lt;&gt;"&amp;CODICIONALES!$C$2)</f>
        <v>6</v>
      </c>
      <c r="AU128" s="43">
        <f>COUNTIFS(D128:AM128,CODICIONALES!$A$2)</f>
        <v>31</v>
      </c>
      <c r="AV128" s="40">
        <f t="shared" si="1"/>
        <v>-1</v>
      </c>
    </row>
    <row r="129" spans="1:48" ht="51" customHeight="1" x14ac:dyDescent="0.25">
      <c r="A129" s="110"/>
      <c r="B129" s="2">
        <v>125</v>
      </c>
      <c r="C129" s="21" t="s">
        <v>100</v>
      </c>
      <c r="D129" s="51" t="str">
        <f>+IF(GENERAL!E130=GENERAL!$AI$2,GENERAL!$AI$2,CONCATENATE(OBSERVACIONES!D129,"
ESTADO DE POSTVENTAS:  ",GENERAL!E130))</f>
        <v>NO ENTREGADO
ESTADO DE POSTVENTAS:  TIENE POSTVENTA</v>
      </c>
      <c r="E129" s="51" t="str">
        <f>+IF(GENERAL!F130=GENERAL!$AI$2,GENERAL!$AI$2,CONCATENATE(OBSERVACIONES!E129,"
ESTADO DE POSTVENTAS:  ",GENERAL!F130))</f>
        <v>OK
ESTADO DE POSTVENTAS:  POSTVENTA CORREGIDA</v>
      </c>
      <c r="F129" s="51" t="str">
        <f>+IF(GENERAL!G130=GENERAL!$AI$2,GENERAL!$AI$2,CONCATENATE(OBSERVACIONES!F129,"
ESTADO DE POSTVENTAS:  ",GENERAL!G130))</f>
        <v>OK
ESTADO DE POSTVENTAS:  POSTVENTA CORREGIDA</v>
      </c>
      <c r="G129" s="51" t="str">
        <f>+IF(GENERAL!H130=GENERAL!$AI$2,GENERAL!$AI$2,CONCATENATE(OBSERVACIONES!G129,"
ESTADO DE POSTVENTAS:  ",GENERAL!H130))</f>
        <v>NO ENTREGADO
ESTADO DE POSTVENTAS:  TIENE POSTVENTA</v>
      </c>
      <c r="H129" s="51" t="str">
        <f>+IF(GENERAL!I130=GENERAL!$AI$2,GENERAL!$AI$2,CONCATENATE(OBSERVACIONES!H129,"
ESTADO DE POSTVENTAS:  ",GENERAL!I130))</f>
        <v>OK
ESTADO DE POSTVENTAS:  POSTVENTA CORREGIDA</v>
      </c>
      <c r="I129" s="51" t="str">
        <f>+IF(GENERAL!J130=GENERAL!$AI$2,GENERAL!$AI$2,CONCATENATE(OBSERVACIONES!I129,"
ESTADO DE POSTVENTAS:  ",GENERAL!J130))</f>
        <v>OK
ESTADO DE POSTVENTAS:  POSTVENTA CORREGIDA</v>
      </c>
      <c r="J129" s="51" t="str">
        <f>+IF(GENERAL!K130=GENERAL!$AI$2,GENERAL!$AI$2,CONCATENATE(OBSERVACIONES!J129,"
ESTADO DE POSTVENTAS:  ",GENERAL!K130))</f>
        <v>OK
ESTADO DE POSTVENTAS:  POSTVENTA CORREGIDA</v>
      </c>
      <c r="K129" s="51" t="str">
        <f>+IF(GENERAL!L130=GENERAL!$AI$2,GENERAL!$AI$2,CONCATENATE(OBSERVACIONES!K129,"
ESTADO DE POSTVENTAS:  ",GENERAL!L130))</f>
        <v>OK
ESTADO DE POSTVENTAS:  POSTVENTA CORREGIDA</v>
      </c>
      <c r="L129" s="51" t="str">
        <f>+IF(GENERAL!M130=GENERAL!$AI$2,GENERAL!$AI$2,CONCATENATE(OBSERVACIONES!L129,"
ESTADO DE POSTVENTAS:  ",GENERAL!M130))</f>
        <v>OK
ESTADO DE POSTVENTAS:  POSTVENTA CORREGIDA</v>
      </c>
      <c r="M129" s="70" t="str">
        <f>+IF(GENERAL!N130=GENERAL!$AI$2,GENERAL!$AI$2,CONCATENATE(OBSERVACIONES!M129,"
ESTADO DE POSTVENTAS:  ",GENERAL!N130))</f>
        <v>OK
ESTADO DE POSTVENTAS:  POSTVENTA CORREGIDA</v>
      </c>
      <c r="N129" s="51" t="str">
        <f>+IF(GENERAL!O130=GENERAL!$AI$2,GENERAL!$AI$2,CONCATENATE(OBSERVACIONES!N129,"
ESTADO DE POSTVENTAS:  ",GENERAL!O130))</f>
        <v>OK
ESTADO DE POSTVENTAS:  POSTVENTA CORREGIDA</v>
      </c>
      <c r="O129" s="51" t="str">
        <f>+IF(GENERAL!P130=GENERAL!$AI$2,GENERAL!$AI$2,CONCATENATE(OBSERVACIONES!O129,"
ESTADO DE POSTVENTAS:  ",GENERAL!P130))</f>
        <v>OK
ESTADO DE POSTVENTAS:  POSTVENTA CORREGIDA</v>
      </c>
      <c r="P129" s="70" t="str">
        <f>+IF(GENERAL!Q130=GENERAL!$AI$2,GENERAL!$AI$2,CONCATENATE(OBSERVACIONES!P129,"
ESTADO DE POSTVENTAS:  ",GENERAL!Q130))</f>
        <v>OK
ESTADO DE POSTVENTAS:  POSTVENTA CORREGIDA</v>
      </c>
      <c r="Q129" s="70" t="str">
        <f>+IF(GENERAL!R130=GENERAL!$AI$2,GENERAL!$AI$2,CONCATENATE(OBSERVACIONES!Q129,"
ESTADO DE POSTVENTAS:  ",GENERAL!R130))</f>
        <v>OK
ESTADO DE POSTVENTAS:  POSTVENTA CORREGIDA</v>
      </c>
      <c r="R129" s="51" t="str">
        <f>+IF(GENERAL!S130=GENERAL!$AI$2,GENERAL!$AI$2,CONCATENATE(OBSERVACIONES!R129,"
ESTADO DE POSTVENTAS:  ",GENERAL!S130))</f>
        <v>OK
ESTADO DE POSTVENTAS:  POSTVENTA CORREGIDA</v>
      </c>
      <c r="S129" s="51" t="str">
        <f>+IF(GENERAL!T130=GENERAL!$AI$2,GENERAL!$AI$2,CONCATENATE(OBSERVACIONES!S129,"
ESTADO DE POSTVENTAS:  ",GENERAL!T130))</f>
        <v>OK
ESTADO DE POSTVENTAS:  POSTVENTA CORREGIDA</v>
      </c>
      <c r="T129" s="51" t="str">
        <f>+IF(GENERAL!U130=GENERAL!$AI$2,GENERAL!$AI$2,CONCATENATE(OBSERVACIONES!T129,"
ESTADO DE POSTVENTAS:  ",GENERAL!U130))</f>
        <v>OK
ESTADO DE POSTVENTAS:  POSTVENTA CORREGIDA</v>
      </c>
      <c r="U129" s="51" t="str">
        <f>+IF(GENERAL!V130=GENERAL!$AI$2,GENERAL!$AI$2,CONCATENATE(OBSERVACIONES!U129,"
ESTADO DE POSTVENTAS:  ",GENERAL!V130))</f>
        <v>OK
ESTADO DE POSTVENTAS:  POSTVENTA CORREGIDA</v>
      </c>
      <c r="V129" s="51" t="str">
        <f>+IF(GENERAL!W130=GENERAL!$AI$2,GENERAL!$AI$2,CONCATENATE(OBSERVACIONES!V129,"
ESTADO DE POSTVENTAS:  ",GENERAL!W130))</f>
        <v>OK
ESTADO DE POSTVENTAS:  POSTVENTA CORREGIDA</v>
      </c>
      <c r="W129" s="51" t="str">
        <f>+IF(GENERAL!V130=GENERAL!$AI$2,GENERAL!$AI$2,CONCATENATE(OBSERVACIONES!W129,"
ESTADO DE POSTVENTAS:  ",GENERAL!V130))</f>
        <v>OK
ESTADO DE POSTVENTAS:  POSTVENTA CORREGIDA</v>
      </c>
      <c r="X129" s="51" t="str">
        <f>+IF(GENERAL!W130=GENERAL!$AI$2,GENERAL!$AI$2,CONCATENATE(OBSERVACIONES!X129,"
ESTADO DE POSTVENTAS:  ",GENERAL!W130))</f>
        <v>OK
ESTADO DE POSTVENTAS:  POSTVENTA CORREGIDA</v>
      </c>
      <c r="Y129" s="51" t="str">
        <f>+IF(GENERAL!Z130=GENERAL!$AI$2,GENERAL!$AI$2,CONCATENATE(OBSERVACIONES!Y129,"
ESTADO DE POSTVENTAS:  ",GENERAL!Z130))</f>
        <v>OK
ESTADO DE POSTVENTAS:  POSTVENTA CORREGIDA</v>
      </c>
      <c r="Z129" s="51" t="str">
        <f>+IF(GENERAL!AA130=GENERAL!$AI$2,GENERAL!$AI$2,CONCATENATE(OBSERVACIONES!Z129,"
ESTADO DE POSTVENTAS:  ",GENERAL!AA130))</f>
        <v>OK
ESTADO DE POSTVENTAS:  POSTVENTA CORREGIDA</v>
      </c>
      <c r="AA129" s="51" t="str">
        <f>+IF(GENERAL!AB130=GENERAL!$AI$2,GENERAL!$AI$2,CONCATENATE(OBSERVACIONES!AA129,"
ESTADO DE POSTVENTAS:  ",GENERAL!AB130))</f>
        <v>OK
ESTADO DE POSTVENTAS:  POSTVENTA CORREGIDA</v>
      </c>
      <c r="AB129" s="51" t="str">
        <f>+IF(GENERAL!AC130=GENERAL!$AI$2,GENERAL!$AI$2,CONCATENATE(OBSERVACIONES!AB129,"
ESTADO DE POSTVENTAS:  ",GENERAL!AC130))</f>
        <v>OK
ESTADO DE POSTVENTAS:  POSTVENTA CORREGIDA</v>
      </c>
      <c r="AC129" s="51" t="str">
        <f>+IF(GENERAL!AD130=GENERAL!$AI$2,GENERAL!$AI$2,CONCATENATE(OBSERVACIONES!AC129,"
ESTADO DE POSTVENTAS:  ",GENERAL!AD130))</f>
        <v>OK
ESTADO DE POSTVENTAS:  POSTVENTA CORREGIDA</v>
      </c>
      <c r="AD129" s="51" t="str">
        <f>+IF(GENERAL!AE130=GENERAL!$AI$2,GENERAL!$AI$2,CONCATENATE(OBSERVACIONES!AD129,"
ESTADO DE POSTVENTAS:  ",GENERAL!AE130))</f>
        <v>OK
ESTADO DE POSTVENTAS:  POSTVENTA CORREGIDA</v>
      </c>
      <c r="AE129" s="51" t="str">
        <f>+IF(GENERAL!AF130=GENERAL!$AI$2,GENERAL!$AI$2,CONCATENATE(OBSERVACIONES!AE129,"
ESTADO DE POSTVENTAS:  ",GENERAL!AF130))</f>
        <v>OK
ESTADO DE POSTVENTAS:  POSTVENTA CORREGIDA</v>
      </c>
      <c r="AF129" s="51" t="str">
        <f>+IF(GENERAL!AG130=GENERAL!$AI$2,GENERAL!$AI$2,CONCATENATE(OBSERVACIONES!AF129,"
ESTADO DE POSTVENTAS:  ",GENERAL!AG130))</f>
        <v>OK
ESTADO DE POSTVENTAS:  POSTVENTA CORREGIDA</v>
      </c>
      <c r="AG129" s="51" t="str">
        <f>+IF(GENERAL!AH130=GENERAL!$AI$2,GENERAL!$AI$2,CONCATENATE(OBSERVACIONES!AG129,"
ESTADO DE POSTVENTAS:  ",GENERAL!AH130))</f>
        <v>OK
ESTADO DE POSTVENTAS:  POSTVENTA CORREGIDA</v>
      </c>
      <c r="AH129" s="51" t="str">
        <f>+IF(GENERAL!AI130=GENERAL!$AI$2,GENERAL!$AI$2,CONCATENATE(OBSERVACIONES!AH129,"
ESTADO DE POSTVENTAS:  ",GENERAL!AI130))</f>
        <v>OK
ESTADO DE POSTVENTAS:  POSTVENTA CORREGIDA</v>
      </c>
      <c r="AI129" s="51" t="str">
        <f>+IF(GENERAL!AG130=GENERAL!$AI$2,GENERAL!$AI$2,CONCATENATE(OBSERVACIONES!AF129,"
ESTADO DE POSTVENTAS:  ",GENERAL!AG130))</f>
        <v>OK
ESTADO DE POSTVENTAS:  POSTVENTA CORREGIDA</v>
      </c>
      <c r="AJ129" s="51" t="str">
        <f>+IF(GENERAL!AI130=GENERAL!$AI$2,GENERAL!$AI$2,CONCATENATE(OBSERVACIONES!AH129,"
ESTADO DE POSTVENTAS:  ",GENERAL!AI130))</f>
        <v>OK
ESTADO DE POSTVENTAS:  POSTVENTA CORREGIDA</v>
      </c>
      <c r="AK129" s="51" t="str">
        <f>+IF(GENERAL!AJ130=GENERAL!$AI$2,GENERAL!$AI$2,CONCATENATE(OBSERVACIONES!AI129,"
ESTADO DE POSTVENTAS:  ",GENERAL!AJ130))</f>
        <v>OK
ESTADO DE POSTVENTAS:  POSTVENTA CORREGIDA</v>
      </c>
      <c r="AL129" s="51" t="str">
        <f>+IF(GENERAL!AK130=GENERAL!$AI$2,GENERAL!$AI$2,CONCATENATE(OBSERVACIONES!AJ129,"
ESTADO DE POSTVENTAS:  ",GENERAL!AK130))</f>
        <v>OK
ESTADO DE POSTVENTAS:  POSTVENTA CORREGIDA</v>
      </c>
      <c r="AM129" s="51" t="str">
        <f>+IF(GENERAL!AN130=GENERAL!$AI$2,GENERAL!$AI$2,CONCATENATE(OBSERVACIONES!AM129,"
ESTADO DE POSTVENTAS:  ",GENERAL!AN130))</f>
        <v>OK
ESTADO DE POSTVENTAS:  POSTVENTA CORREGIDA</v>
      </c>
      <c r="AN129" s="37">
        <v>1</v>
      </c>
      <c r="AO129" s="37">
        <v>10</v>
      </c>
      <c r="AP129" s="37">
        <v>3</v>
      </c>
      <c r="AQ129" s="37">
        <v>1</v>
      </c>
      <c r="AR129" s="43">
        <v>13</v>
      </c>
      <c r="AS129" s="40">
        <v>12</v>
      </c>
      <c r="AT129" s="37">
        <f>COUNTIFS($D$5:$AM$5,"&lt;&gt;"&amp;CODICIONALES!$A$1,$D$5:$AM$5,"&lt;&gt;"&amp;CODICIONALES!$A$2,$D$5:$AM$5,"&lt;&gt;"&amp;CODICIONALES!$B$2,$D$5:$AM$5,"&lt;&gt;"&amp;CODICIONALES!$C$2)</f>
        <v>6</v>
      </c>
      <c r="AU129" s="43">
        <f>COUNTIFS(D129:AM129,CODICIONALES!$A$2)</f>
        <v>34</v>
      </c>
      <c r="AV129" s="40">
        <f t="shared" si="1"/>
        <v>-4</v>
      </c>
    </row>
    <row r="130" spans="1:48" ht="51" customHeight="1" x14ac:dyDescent="0.25">
      <c r="A130" s="110"/>
      <c r="B130" s="2">
        <v>126</v>
      </c>
      <c r="C130" s="20" t="s">
        <v>42</v>
      </c>
      <c r="D130" s="51" t="str">
        <f>+IF(GENERAL!E131=GENERAL!$AI$2,GENERAL!$AI$2,CONCATENATE(OBSERVACIONES!D130,"
ESTADO DE POSTVENTAS:  ",GENERAL!E131))</f>
        <v>NO ENTREGADO
ESTADO DE POSTVENTAS:  TIENE POSTVENTA</v>
      </c>
      <c r="E130" s="51" t="str">
        <f>+IF(GENERAL!F131=GENERAL!$AI$2,GENERAL!$AI$2,CONCATENATE(OBSERVACIONES!E130,"
ESTADO DE POSTVENTAS:  ",GENERAL!F131))</f>
        <v>OK
ESTADO DE POSTVENTAS:  POSTVENTA CORREGIDA</v>
      </c>
      <c r="F130" s="51" t="str">
        <f>+IF(GENERAL!G131=GENERAL!$AI$2,GENERAL!$AI$2,CONCATENATE(OBSERVACIONES!F130,"
ESTADO DE POSTVENTAS:  ",GENERAL!G131))</f>
        <v>OK
ESTADO DE POSTVENTAS:  POSTVENTA CORREGIDA</v>
      </c>
      <c r="G130" s="51" t="str">
        <f>+IF(GENERAL!H131=GENERAL!$AI$2,GENERAL!$AI$2,CONCATENATE(OBSERVACIONES!G130,"
ESTADO DE POSTVENTAS:  ",GENERAL!H131))</f>
        <v>NO ENTREGADO
ESTADO DE POSTVENTAS:  TIENE POSTVENTA</v>
      </c>
      <c r="H130" s="51" t="str">
        <f>+IF(GENERAL!I131=GENERAL!$AI$2,GENERAL!$AI$2,CONCATENATE(OBSERVACIONES!H130,"
ESTADO DE POSTVENTAS:  ",GENERAL!I131))</f>
        <v>OK
ESTADO DE POSTVENTAS:  POSTVENTA CORREGIDA</v>
      </c>
      <c r="I130" s="51" t="str">
        <f>+IF(GENERAL!J131=GENERAL!$AI$2,GENERAL!$AI$2,CONCATENATE(OBSERVACIONES!I130,"
ESTADO DE POSTVENTAS:  ",GENERAL!J131))</f>
        <v>OK
ESTADO DE POSTVENTAS:  POSTVENTA CORREGIDA</v>
      </c>
      <c r="J130" s="51" t="str">
        <f>+IF(GENERAL!K131=GENERAL!$AI$2,GENERAL!$AI$2,CONCATENATE(OBSERVACIONES!J130,"
ESTADO DE POSTVENTAS:  ",GENERAL!K131))</f>
        <v>OK
ESTADO DE POSTVENTAS:  POSTVENTA CORREGIDA</v>
      </c>
      <c r="K130" s="51" t="str">
        <f>+IF(GENERAL!L131=GENERAL!$AI$2,GENERAL!$AI$2,CONCATENATE(OBSERVACIONES!K130,"
ESTADO DE POSTVENTAS:  ",GENERAL!L131))</f>
        <v>OK
ESTADO DE POSTVENTAS:  POSTVENTA CORREGIDA</v>
      </c>
      <c r="L130" s="51" t="str">
        <f>+IF(GENERAL!M131=GENERAL!$AI$2,GENERAL!$AI$2,CONCATENATE(OBSERVACIONES!L130,"
ESTADO DE POSTVENTAS:  ",GENERAL!M131))</f>
        <v>OK
ESTADO DE POSTVENTAS:  POSTVENTA CORREGIDA</v>
      </c>
      <c r="M130" s="70" t="str">
        <f>+IF(GENERAL!N131=GENERAL!$AI$2,GENERAL!$AI$2,CONCATENATE(OBSERVACIONES!M130,"
ESTADO DE POSTVENTAS:  ",GENERAL!N131))</f>
        <v>OK
ESTADO DE POSTVENTAS:  POSTVENTA CORREGIDA</v>
      </c>
      <c r="N130" s="51" t="str">
        <f>+IF(GENERAL!O131=GENERAL!$AI$2,GENERAL!$AI$2,CONCATENATE(OBSERVACIONES!N130,"
ESTADO DE POSTVENTAS:  ",GENERAL!O131))</f>
        <v>OK
ESTADO DE POSTVENTAS:  POSTVENTA CORREGIDA</v>
      </c>
      <c r="O130" s="51" t="str">
        <f>+IF(GENERAL!P131=GENERAL!$AI$2,GENERAL!$AI$2,CONCATENATE(OBSERVACIONES!O130,"
ESTADO DE POSTVENTAS:  ",GENERAL!P131))</f>
        <v>OK
ESTADO DE POSTVENTAS:  POSTVENTA CORREGIDA</v>
      </c>
      <c r="P130" s="70" t="str">
        <f>+IF(GENERAL!Q131=GENERAL!$AI$2,GENERAL!$AI$2,CONCATENATE(OBSERVACIONES!P130,"
ESTADO DE POSTVENTAS:  ",GENERAL!Q131))</f>
        <v>OK
ESTADO DE POSTVENTAS:  POSTVENTA CORREGIDA</v>
      </c>
      <c r="Q130" s="70" t="str">
        <f>+IF(GENERAL!R131=GENERAL!$AI$2,GENERAL!$AI$2,CONCATENATE(OBSERVACIONES!Q130,"
ESTADO DE POSTVENTAS:  ",GENERAL!R131))</f>
        <v>OK
ESTADO DE POSTVENTAS:  POSTVENTA CORREGIDA</v>
      </c>
      <c r="R130" s="51" t="str">
        <f>+IF(GENERAL!S131=GENERAL!$AI$2,GENERAL!$AI$2,CONCATENATE(OBSERVACIONES!R130,"
ESTADO DE POSTVENTAS:  ",GENERAL!S131))</f>
        <v>OK
ESTADO DE POSTVENTAS:  POSTVENTA CORREGIDA</v>
      </c>
      <c r="S130" s="51" t="str">
        <f>+IF(GENERAL!T131=GENERAL!$AI$2,GENERAL!$AI$2,CONCATENATE(OBSERVACIONES!S130,"
ESTADO DE POSTVENTAS:  ",GENERAL!T131))</f>
        <v>OK
ESTADO DE POSTVENTAS:  POSTVENTA CORREGIDA</v>
      </c>
      <c r="T130" s="51" t="str">
        <f>+IF(GENERAL!U131=GENERAL!$AI$2,GENERAL!$AI$2,CONCATENATE(OBSERVACIONES!T130,"
ESTADO DE POSTVENTAS:  ",GENERAL!U131))</f>
        <v>OK
ESTADO DE POSTVENTAS:  POSTVENTA CORREGIDA</v>
      </c>
      <c r="U130" s="51" t="str">
        <f>+IF(GENERAL!V131=GENERAL!$AI$2,GENERAL!$AI$2,CONCATENATE(OBSERVACIONES!U130,"
ESTADO DE POSTVENTAS:  ",GENERAL!V131))</f>
        <v>OK
ESTADO DE POSTVENTAS:  POSTVENTA CORREGIDA</v>
      </c>
      <c r="V130" s="51" t="str">
        <f>+IF(GENERAL!W131=GENERAL!$AI$2,GENERAL!$AI$2,CONCATENATE(OBSERVACIONES!V130,"
ESTADO DE POSTVENTAS:  ",GENERAL!W131))</f>
        <v>OK
ESTADO DE POSTVENTAS:  POSTVENTA CORREGIDA</v>
      </c>
      <c r="W130" s="51" t="str">
        <f>+IF(GENERAL!V131=GENERAL!$AI$2,GENERAL!$AI$2,CONCATENATE(OBSERVACIONES!W130,"
ESTADO DE POSTVENTAS:  ",GENERAL!V131))</f>
        <v>OK
ESTADO DE POSTVENTAS:  POSTVENTA CORREGIDA</v>
      </c>
      <c r="X130" s="51" t="str">
        <f>+IF(GENERAL!W131=GENERAL!$AI$2,GENERAL!$AI$2,CONCATENATE(OBSERVACIONES!X130,"
ESTADO DE POSTVENTAS:  ",GENERAL!W131))</f>
        <v>OK
ESTADO DE POSTVENTAS:  POSTVENTA CORREGIDA</v>
      </c>
      <c r="Y130" s="51" t="str">
        <f>+IF(GENERAL!Z131=GENERAL!$AI$2,GENERAL!$AI$2,CONCATENATE(OBSERVACIONES!Y130,"
ESTADO DE POSTVENTAS:  ",GENERAL!Z131))</f>
        <v>OK
ESTADO DE POSTVENTAS:  POSTVENTA CORREGIDA</v>
      </c>
      <c r="Z130" s="51" t="str">
        <f>+IF(GENERAL!AA131=GENERAL!$AI$2,GENERAL!$AI$2,CONCATENATE(OBSERVACIONES!Z130,"
ESTADO DE POSTVENTAS:  ",GENERAL!AA131))</f>
        <v>OK
ESTADO DE POSTVENTAS:  POSTVENTA CORREGIDA</v>
      </c>
      <c r="AA130" s="51" t="str">
        <f>+IF(GENERAL!AB131=GENERAL!$AI$2,GENERAL!$AI$2,CONCATENATE(OBSERVACIONES!AA130,"
ESTADO DE POSTVENTAS:  ",GENERAL!AB131))</f>
        <v>OK
ESTADO DE POSTVENTAS:  POSTVENTA CORREGIDA</v>
      </c>
      <c r="AB130" s="51" t="str">
        <f>+IF(GENERAL!AC131=GENERAL!$AI$2,GENERAL!$AI$2,CONCATENATE(OBSERVACIONES!AB130,"
ESTADO DE POSTVENTAS:  ",GENERAL!AC131))</f>
        <v>OK
ESTADO DE POSTVENTAS:  POSTVENTA CORREGIDA</v>
      </c>
      <c r="AC130" s="51" t="str">
        <f>+IF(GENERAL!AD131=GENERAL!$AI$2,GENERAL!$AI$2,CONCATENATE(OBSERVACIONES!AC130,"
ESTADO DE POSTVENTAS:  ",GENERAL!AD131))</f>
        <v>OK
ESTADO DE POSTVENTAS:  POSTVENTA CORREGIDA</v>
      </c>
      <c r="AD130" s="51" t="str">
        <f>+IF(GENERAL!AE131=GENERAL!$AI$2,GENERAL!$AI$2,CONCATENATE(OBSERVACIONES!AD130,"
ESTADO DE POSTVENTAS:  ",GENERAL!AE131))</f>
        <v>OK
ESTADO DE POSTVENTAS:  POSTVENTA CORREGIDA</v>
      </c>
      <c r="AE130" s="51" t="str">
        <f>+IF(GENERAL!AF131=GENERAL!$AI$2,GENERAL!$AI$2,CONCATENATE(OBSERVACIONES!AE130,"
ESTADO DE POSTVENTAS:  ",GENERAL!AF131))</f>
        <v>OK
ESTADO DE POSTVENTAS:  POSTVENTA CORREGIDA</v>
      </c>
      <c r="AF130" s="51" t="str">
        <f>+IF(GENERAL!AG131=GENERAL!$AI$2,GENERAL!$AI$2,CONCATENATE(OBSERVACIONES!AF130,"
ESTADO DE POSTVENTAS:  ",GENERAL!AG131))</f>
        <v>OK
ESTADO DE POSTVENTAS:  POSTVENTA CORREGIDA</v>
      </c>
      <c r="AG130" s="51" t="str">
        <f>+IF(GENERAL!AH131=GENERAL!$AI$2,GENERAL!$AI$2,CONCATENATE(OBSERVACIONES!AG130,"
ESTADO DE POSTVENTAS:  ",GENERAL!AH131))</f>
        <v>OK
ESTADO DE POSTVENTAS:  POSTVENTA CORREGIDA</v>
      </c>
      <c r="AH130" s="51" t="str">
        <f>+IF(GENERAL!AI131=GENERAL!$AI$2,GENERAL!$AI$2,CONCATENATE(OBSERVACIONES!AH130,"
ESTADO DE POSTVENTAS:  ",GENERAL!AI131))</f>
        <v>OK
ESTADO DE POSTVENTAS:  POSTVENTA CORREGIDA</v>
      </c>
      <c r="AI130" s="51" t="str">
        <f>+IF(GENERAL!AG131=GENERAL!$AI$2,GENERAL!$AI$2,CONCATENATE(OBSERVACIONES!AF130,"
ESTADO DE POSTVENTAS:  ",GENERAL!AG131))</f>
        <v>OK
ESTADO DE POSTVENTAS:  POSTVENTA CORREGIDA</v>
      </c>
      <c r="AJ130" s="51" t="str">
        <f>+IF(GENERAL!AI131=GENERAL!$AI$2,GENERAL!$AI$2,CONCATENATE(OBSERVACIONES!AH130,"
ESTADO DE POSTVENTAS:  ",GENERAL!AI131))</f>
        <v>OK
ESTADO DE POSTVENTAS:  POSTVENTA CORREGIDA</v>
      </c>
      <c r="AK130" s="51" t="str">
        <f>+IF(GENERAL!AJ131=GENERAL!$AI$2,GENERAL!$AI$2,CONCATENATE(OBSERVACIONES!AI130,"
ESTADO DE POSTVENTAS:  ",GENERAL!AJ131))</f>
        <v>OK
ESTADO DE POSTVENTAS:  POSTVENTA CORREGIDA</v>
      </c>
      <c r="AL130" s="51" t="str">
        <f>+IF(GENERAL!AK131=GENERAL!$AI$2,GENERAL!$AI$2,CONCATENATE(OBSERVACIONES!AJ130,"
ESTADO DE POSTVENTAS:  ",GENERAL!AK131))</f>
        <v>OK
ESTADO DE POSTVENTAS:  POSTVENTA CORREGIDA</v>
      </c>
      <c r="AM130" s="51" t="str">
        <f>+IF(GENERAL!AN131=GENERAL!$AI$2,GENERAL!$AI$2,CONCATENATE(OBSERVACIONES!AM130,"
ESTADO DE POSTVENTAS:  ",GENERAL!AN131))</f>
        <v>OK
ESTADO DE POSTVENTAS:  POSTVENTA CORREGIDA</v>
      </c>
      <c r="AN130" s="37">
        <v>0</v>
      </c>
      <c r="AO130" s="37">
        <v>11</v>
      </c>
      <c r="AP130" s="37">
        <v>3</v>
      </c>
      <c r="AQ130" s="37">
        <v>0</v>
      </c>
      <c r="AR130" s="43">
        <v>14</v>
      </c>
      <c r="AS130" s="40">
        <v>12</v>
      </c>
      <c r="AT130" s="37">
        <f>COUNTIFS($D$5:$AM$5,"&lt;&gt;"&amp;CODICIONALES!$A$1,$D$5:$AM$5,"&lt;&gt;"&amp;CODICIONALES!$A$2,$D$5:$AM$5,"&lt;&gt;"&amp;CODICIONALES!$B$2,$D$5:$AM$5,"&lt;&gt;"&amp;CODICIONALES!$C$2)</f>
        <v>6</v>
      </c>
      <c r="AU130" s="43">
        <f>COUNTIFS(D130:AM130,CODICIONALES!$A$2)</f>
        <v>34</v>
      </c>
      <c r="AV130" s="40">
        <f t="shared" si="1"/>
        <v>-4</v>
      </c>
    </row>
    <row r="131" spans="1:48" ht="51" customHeight="1" x14ac:dyDescent="0.25">
      <c r="A131" s="110"/>
      <c r="B131" s="2">
        <v>127</v>
      </c>
      <c r="C131" s="21" t="s">
        <v>45</v>
      </c>
      <c r="D131" s="51" t="str">
        <f>+IF(GENERAL!E132=GENERAL!$AI$2,GENERAL!$AI$2,CONCATENATE(OBSERVACIONES!D131,"
ESTADO DE POSTVENTAS:  ",GENERAL!E132))</f>
        <v>NO ENTREGADO
ESTADO DE POSTVENTAS:  TIENE POSTVENTA</v>
      </c>
      <c r="E131" s="51" t="str">
        <f>+IF(GENERAL!F132=GENERAL!$AI$2,GENERAL!$AI$2,CONCATENATE(OBSERVACIONES!E131,"
ESTADO DE POSTVENTAS:  ",GENERAL!F132))</f>
        <v>OK
ESTADO DE POSTVENTAS:  POSTVENTA CORREGIDA</v>
      </c>
      <c r="F131" s="51" t="str">
        <f>+IF(GENERAL!G132=GENERAL!$AI$2,GENERAL!$AI$2,CONCATENATE(OBSERVACIONES!F131,"
ESTADO DE POSTVENTAS:  ",GENERAL!G132))</f>
        <v>OK
ESTADO DE POSTVENTAS:  POSTVENTA CORREGIDA</v>
      </c>
      <c r="G131" s="51" t="str">
        <f>+IF(GENERAL!H132=GENERAL!$AI$2,GENERAL!$AI$2,CONCATENATE(OBSERVACIONES!G131,"
ESTADO DE POSTVENTAS:  ",GENERAL!H132))</f>
        <v>NO ENTREGADO
ESTADO DE POSTVENTAS:  TIENE POSTVENTA</v>
      </c>
      <c r="H131" s="51" t="str">
        <f>+IF(GENERAL!I132=GENERAL!$AI$2,GENERAL!$AI$2,CONCATENATE(OBSERVACIONES!H131,"
ESTADO DE POSTVENTAS:  ",GENERAL!I132))</f>
        <v>OK
ESTADO DE POSTVENTAS:  POSTVENTA CORREGIDA</v>
      </c>
      <c r="I131" s="51" t="str">
        <f>+IF(GENERAL!J132=GENERAL!$AI$2,GENERAL!$AI$2,CONCATENATE(OBSERVACIONES!I131,"
ESTADO DE POSTVENTAS:  ",GENERAL!J132))</f>
        <v>OK
ESTADO DE POSTVENTAS:  POSTVENTA CORREGIDA</v>
      </c>
      <c r="J131" s="51" t="str">
        <f>+IF(GENERAL!K132=GENERAL!$AI$2,GENERAL!$AI$2,CONCATENATE(OBSERVACIONES!J131,"
ESTADO DE POSTVENTAS:  ",GENERAL!K132))</f>
        <v>OK
ESTADO DE POSTVENTAS:  POSTVENTA CORREGIDA</v>
      </c>
      <c r="K131" s="51" t="str">
        <f>+IF(GENERAL!L132=GENERAL!$AI$2,GENERAL!$AI$2,CONCATENATE(OBSERVACIONES!K131,"
ESTADO DE POSTVENTAS:  ",GENERAL!L132))</f>
        <v>OK
ESTADO DE POSTVENTAS:  POSTVENTA CORREGIDA</v>
      </c>
      <c r="L131" s="51" t="str">
        <f>+IF(GENERAL!M132=GENERAL!$AI$2,GENERAL!$AI$2,CONCATENATE(OBSERVACIONES!L131,"
ESTADO DE POSTVENTAS:  ",GENERAL!M132))</f>
        <v>OK
ESTADO DE POSTVENTAS:  POSTVENTA CORREGIDA</v>
      </c>
      <c r="M131" s="70" t="str">
        <f>+IF(GENERAL!N132=GENERAL!$AI$2,GENERAL!$AI$2,CONCATENATE(OBSERVACIONES!M131,"
ESTADO DE POSTVENTAS:  ",GENERAL!N132))</f>
        <v>OK
ESTADO DE POSTVENTAS:  POSTVENTA CORREGIDA</v>
      </c>
      <c r="N131" s="51" t="str">
        <f>+IF(GENERAL!O132=GENERAL!$AI$2,GENERAL!$AI$2,CONCATENATE(OBSERVACIONES!N131,"
ESTADO DE POSTVENTAS:  ",GENERAL!O132))</f>
        <v>OK
ESTADO DE POSTVENTAS:  POSTVENTA CORREGIDA</v>
      </c>
      <c r="O131" s="51" t="str">
        <f>+IF(GENERAL!P132=GENERAL!$AI$2,GENERAL!$AI$2,CONCATENATE(OBSERVACIONES!O131,"
ESTADO DE POSTVENTAS:  ",GENERAL!P132))</f>
        <v>OK
ESTADO DE POSTVENTAS:  POSTVENTA CORREGIDA</v>
      </c>
      <c r="P131" s="70" t="str">
        <f>+IF(GENERAL!Q132=GENERAL!$AI$2,GENERAL!$AI$2,CONCATENATE(OBSERVACIONES!P131,"
ESTADO DE POSTVENTAS:  ",GENERAL!Q132))</f>
        <v>OK
ESTADO DE POSTVENTAS:  POSTVENTA CORREGIDA</v>
      </c>
      <c r="Q131" s="70" t="str">
        <f>+IF(GENERAL!R132=GENERAL!$AI$2,GENERAL!$AI$2,CONCATENATE(OBSERVACIONES!Q131,"
ESTADO DE POSTVENTAS:  ",GENERAL!R132))</f>
        <v>OK
ESTADO DE POSTVENTAS:  POSTVENTA CORREGIDA</v>
      </c>
      <c r="R131" s="51" t="str">
        <f>+IF(GENERAL!S132=GENERAL!$AI$2,GENERAL!$AI$2,CONCATENATE(OBSERVACIONES!R131,"
ESTADO DE POSTVENTAS:  ",GENERAL!S132))</f>
        <v>OK
ESTADO DE POSTVENTAS:  POSTVENTA CORREGIDA</v>
      </c>
      <c r="S131" s="51" t="str">
        <f>+IF(GENERAL!T132=GENERAL!$AI$2,GENERAL!$AI$2,CONCATENATE(OBSERVACIONES!S131,"
ESTADO DE POSTVENTAS:  ",GENERAL!T132))</f>
        <v>OK
ESTADO DE POSTVENTAS:  POSTVENTA CORREGIDA</v>
      </c>
      <c r="T131" s="51" t="str">
        <f>+IF(GENERAL!U132=GENERAL!$AI$2,GENERAL!$AI$2,CONCATENATE(OBSERVACIONES!T131,"
ESTADO DE POSTVENTAS:  ",GENERAL!U132))</f>
        <v>OK
ESTADO DE POSTVENTAS:  POSTVENTA CORREGIDA</v>
      </c>
      <c r="U131" s="51" t="str">
        <f>+IF(GENERAL!V132=GENERAL!$AI$2,GENERAL!$AI$2,CONCATENATE(OBSERVACIONES!U131,"
ESTADO DE POSTVENTAS:  ",GENERAL!V132))</f>
        <v>OK
ESTADO DE POSTVENTAS:  POSTVENTA CORREGIDA</v>
      </c>
      <c r="V131" s="51" t="str">
        <f>+IF(GENERAL!W132=GENERAL!$AI$2,GENERAL!$AI$2,CONCATENATE(OBSERVACIONES!V131,"
ESTADO DE POSTVENTAS:  ",GENERAL!W132))</f>
        <v>OK
ESTADO DE POSTVENTAS:  POSTVENTA CORREGIDA</v>
      </c>
      <c r="W131" s="51" t="str">
        <f>+IF(GENERAL!V132=GENERAL!$AI$2,GENERAL!$AI$2,CONCATENATE(OBSERVACIONES!W131,"
ESTADO DE POSTVENTAS:  ",GENERAL!V132))</f>
        <v>OK
ESTADO DE POSTVENTAS:  POSTVENTA CORREGIDA</v>
      </c>
      <c r="X131" s="51" t="str">
        <f>+IF(GENERAL!W132=GENERAL!$AI$2,GENERAL!$AI$2,CONCATENATE(OBSERVACIONES!X131,"
ESTADO DE POSTVENTAS:  ",GENERAL!W132))</f>
        <v>OK
ESTADO DE POSTVENTAS:  POSTVENTA CORREGIDA</v>
      </c>
      <c r="Y131" s="51" t="str">
        <f>+IF(GENERAL!Z132=GENERAL!$AI$2,GENERAL!$AI$2,CONCATENATE(OBSERVACIONES!Y131,"
ESTADO DE POSTVENTAS:  ",GENERAL!Z132))</f>
        <v>OK
ESTADO DE POSTVENTAS:  POSTVENTA CORREGIDA</v>
      </c>
      <c r="Z131" s="51" t="str">
        <f>+IF(GENERAL!AA132=GENERAL!$AI$2,GENERAL!$AI$2,CONCATENATE(OBSERVACIONES!Z131,"
ESTADO DE POSTVENTAS:  ",GENERAL!AA132))</f>
        <v>OK
ESTADO DE POSTVENTAS:  POSTVENTA CORREGIDA</v>
      </c>
      <c r="AA131" s="51" t="str">
        <f>+IF(GENERAL!AB132=GENERAL!$AI$2,GENERAL!$AI$2,CONCATENATE(OBSERVACIONES!AA131,"
ESTADO DE POSTVENTAS:  ",GENERAL!AB132))</f>
        <v>OK
ESTADO DE POSTVENTAS:  POSTVENTA CORREGIDA</v>
      </c>
      <c r="AB131" s="51" t="str">
        <f>+IF(GENERAL!AC132=GENERAL!$AI$2,GENERAL!$AI$2,CONCATENATE(OBSERVACIONES!AB131,"
ESTADO DE POSTVENTAS:  ",GENERAL!AC132))</f>
        <v>OK
ESTADO DE POSTVENTAS:  POSTVENTA CORREGIDA</v>
      </c>
      <c r="AC131" s="51" t="str">
        <f>+IF(GENERAL!AD132=GENERAL!$AI$2,GENERAL!$AI$2,CONCATENATE(OBSERVACIONES!AC131,"
ESTADO DE POSTVENTAS:  ",GENERAL!AD132))</f>
        <v>OK
ESTADO DE POSTVENTAS:  POSTVENTA CORREGIDA</v>
      </c>
      <c r="AD131" s="51" t="str">
        <f>+IF(GENERAL!AE132=GENERAL!$AI$2,GENERAL!$AI$2,CONCATENATE(OBSERVACIONES!AD131,"
ESTADO DE POSTVENTAS:  ",GENERAL!AE132))</f>
        <v>OK
ESTADO DE POSTVENTAS:  POSTVENTA CORREGIDA</v>
      </c>
      <c r="AE131" s="51" t="str">
        <f>+IF(GENERAL!AF132=GENERAL!$AI$2,GENERAL!$AI$2,CONCATENATE(OBSERVACIONES!AE131,"
ESTADO DE POSTVENTAS:  ",GENERAL!AF132))</f>
        <v>OK
ESTADO DE POSTVENTAS:  POSTVENTA CORREGIDA</v>
      </c>
      <c r="AF131" s="51" t="str">
        <f>+IF(GENERAL!AG132=GENERAL!$AI$2,GENERAL!$AI$2,CONCATENATE(OBSERVACIONES!AF131,"
ESTADO DE POSTVENTAS:  ",GENERAL!AG132))</f>
        <v>OK
ESTADO DE POSTVENTAS:  POSTVENTA CORREGIDA</v>
      </c>
      <c r="AG131" s="51" t="str">
        <f>+IF(GENERAL!AH132=GENERAL!$AI$2,GENERAL!$AI$2,CONCATENATE(OBSERVACIONES!AG131,"
ESTADO DE POSTVENTAS:  ",GENERAL!AH132))</f>
        <v>OK
ESTADO DE POSTVENTAS:  POSTVENTA CORREGIDA</v>
      </c>
      <c r="AH131" s="51" t="str">
        <f>+IF(GENERAL!AI132=GENERAL!$AI$2,GENERAL!$AI$2,CONCATENATE(OBSERVACIONES!AH131,"
ESTADO DE POSTVENTAS:  ",GENERAL!AI132))</f>
        <v>OK
ESTADO DE POSTVENTAS:  POSTVENTA CORREGIDA</v>
      </c>
      <c r="AI131" s="51" t="str">
        <f>+IF(GENERAL!AG132=GENERAL!$AI$2,GENERAL!$AI$2,CONCATENATE(OBSERVACIONES!AF131,"
ESTADO DE POSTVENTAS:  ",GENERAL!AG132))</f>
        <v>OK
ESTADO DE POSTVENTAS:  POSTVENTA CORREGIDA</v>
      </c>
      <c r="AJ131" s="51" t="str">
        <f>+IF(GENERAL!AI132=GENERAL!$AI$2,GENERAL!$AI$2,CONCATENATE(OBSERVACIONES!AH131,"
ESTADO DE POSTVENTAS:  ",GENERAL!AI132))</f>
        <v>OK
ESTADO DE POSTVENTAS:  POSTVENTA CORREGIDA</v>
      </c>
      <c r="AK131" s="51" t="str">
        <f>+IF(GENERAL!AJ132=GENERAL!$AI$2,GENERAL!$AI$2,CONCATENATE(OBSERVACIONES!AI131,"
ESTADO DE POSTVENTAS:  ",GENERAL!AJ132))</f>
        <v>OK
ESTADO DE POSTVENTAS:  POSTVENTA CORREGIDA</v>
      </c>
      <c r="AL131" s="51" t="str">
        <f>+IF(GENERAL!AK132=GENERAL!$AI$2,GENERAL!$AI$2,CONCATENATE(OBSERVACIONES!AJ131,"
ESTADO DE POSTVENTAS:  ",GENERAL!AK132))</f>
        <v>OK
ESTADO DE POSTVENTAS:  POSTVENTA CORREGIDA</v>
      </c>
      <c r="AM131" s="51" t="str">
        <f>+IF(GENERAL!AN132=GENERAL!$AI$2,GENERAL!$AI$2,CONCATENATE(OBSERVACIONES!AM131,"
ESTADO DE POSTVENTAS:  ",GENERAL!AN132))</f>
        <v>OK
ESTADO DE POSTVENTAS:  POSTVENTA CORREGIDA</v>
      </c>
      <c r="AN131" s="37">
        <v>1</v>
      </c>
      <c r="AO131" s="37">
        <v>10</v>
      </c>
      <c r="AP131" s="37">
        <v>3</v>
      </c>
      <c r="AQ131" s="37">
        <v>0</v>
      </c>
      <c r="AR131" s="43">
        <v>14</v>
      </c>
      <c r="AS131" s="40">
        <v>12</v>
      </c>
      <c r="AT131" s="37">
        <f>COUNTIFS($D$5:$AM$5,"&lt;&gt;"&amp;CODICIONALES!$A$1,$D$5:$AM$5,"&lt;&gt;"&amp;CODICIONALES!$A$2,$D$5:$AM$5,"&lt;&gt;"&amp;CODICIONALES!$B$2,$D$5:$AM$5,"&lt;&gt;"&amp;CODICIONALES!$C$2)</f>
        <v>6</v>
      </c>
      <c r="AU131" s="43">
        <f>COUNTIFS(D131:AM131,CODICIONALES!$A$2)</f>
        <v>34</v>
      </c>
      <c r="AV131" s="40">
        <f t="shared" si="1"/>
        <v>-4</v>
      </c>
    </row>
    <row r="132" spans="1:48" ht="51" customHeight="1" x14ac:dyDescent="0.25">
      <c r="A132" s="110"/>
      <c r="B132" s="2">
        <v>128</v>
      </c>
      <c r="C132" s="21" t="s">
        <v>46</v>
      </c>
      <c r="D132" s="51" t="str">
        <f>+IF(GENERAL!E133=GENERAL!$AI$2,GENERAL!$AI$2,CONCATENATE(OBSERVACIONES!D132,"
ESTADO DE POSTVENTAS:  ",GENERAL!E133))</f>
        <v>NO ENTREGADO
ESTADO DE POSTVENTAS:  TIENE POSTVENTA</v>
      </c>
      <c r="E132" s="70" t="str">
        <f>+IF(GENERAL!F133=GENERAL!$AI$2,GENERAL!$AI$2,CONCATENATE(OBSERVACIONES!E132,"
ESTADO DE POSTVENTAS:  ",GENERAL!F133))</f>
        <v>OK
ESTADO DE POSTVENTAS:  POSTVENTA CORREGIDA</v>
      </c>
      <c r="F132" s="51" t="str">
        <f>+IF(GENERAL!G133=GENERAL!$AI$2,GENERAL!$AI$2,CONCATENATE(OBSERVACIONES!F132,"
ESTADO DE POSTVENTAS:  ",GENERAL!G133))</f>
        <v>OK
ESTADO DE POSTVENTAS:  POSTVENTA CORREGIDA</v>
      </c>
      <c r="G132" s="51" t="str">
        <f>+IF(GENERAL!H133=GENERAL!$AI$2,GENERAL!$AI$2,CONCATENATE(OBSERVACIONES!G132,"
ESTADO DE POSTVENTAS:  ",GENERAL!H133))</f>
        <v>NO ENTREGADO
ESTADO DE POSTVENTAS:  TIENE POSTVENTA</v>
      </c>
      <c r="H132" s="51" t="str">
        <f>+IF(GENERAL!I133=GENERAL!$AI$2,GENERAL!$AI$2,CONCATENATE(OBSERVACIONES!H132,"
ESTADO DE POSTVENTAS:  ",GENERAL!I133))</f>
        <v>OK
ESTADO DE POSTVENTAS:  POSTVENTA CORREGIDA</v>
      </c>
      <c r="I132" s="51" t="str">
        <f>+IF(GENERAL!J133=GENERAL!$AI$2,GENERAL!$AI$2,CONCATENATE(OBSERVACIONES!I132,"
ESTADO DE POSTVENTAS:  ",GENERAL!J133))</f>
        <v>OK
ESTADO DE POSTVENTAS:  POSTVENTA CORREGIDA</v>
      </c>
      <c r="J132" s="51" t="str">
        <f>+IF(GENERAL!K133=GENERAL!$AI$2,GENERAL!$AI$2,CONCATENATE(OBSERVACIONES!J132,"
ESTADO DE POSTVENTAS:  ",GENERAL!K133))</f>
        <v>OK
ESTADO DE POSTVENTAS:  POSTVENTA CORREGIDA</v>
      </c>
      <c r="K132" s="51" t="str">
        <f>+IF(GENERAL!L133=GENERAL!$AI$2,GENERAL!$AI$2,CONCATENATE(OBSERVACIONES!K132,"
ESTADO DE POSTVENTAS:  ",GENERAL!L133))</f>
        <v>OK
ESTADO DE POSTVENTAS:  POSTVENTA CORREGIDA</v>
      </c>
      <c r="L132" s="51" t="str">
        <f>+IF(GENERAL!M133=GENERAL!$AI$2,GENERAL!$AI$2,CONCATENATE(OBSERVACIONES!L132,"
ESTADO DE POSTVENTAS:  ",GENERAL!M133))</f>
        <v>OK
ESTADO DE POSTVENTAS:  POSTVENTA CORREGIDA</v>
      </c>
      <c r="M132" s="70" t="str">
        <f>+IF(GENERAL!N133=GENERAL!$AI$2,GENERAL!$AI$2,CONCATENATE(OBSERVACIONES!M132,"
ESTADO DE POSTVENTAS:  ",GENERAL!N133))</f>
        <v>DETALLE ACABADO
ESTADO DE POSTVENTAS:  TIENE POSTVENTA</v>
      </c>
      <c r="N132" s="51" t="str">
        <f>+IF(GENERAL!O133=GENERAL!$AI$2,GENERAL!$AI$2,CONCATENATE(OBSERVACIONES!N132,"
ESTADO DE POSTVENTAS:  ",GENERAL!O133))</f>
        <v>OK
ESTADO DE POSTVENTAS:  POSTVENTA CORREGIDA</v>
      </c>
      <c r="O132" s="51" t="str">
        <f>+IF(GENERAL!P133=GENERAL!$AI$2,GENERAL!$AI$2,CONCATENATE(OBSERVACIONES!O132,"
ESTADO DE POSTVENTAS:  ",GENERAL!P133))</f>
        <v>OK
ESTADO DE POSTVENTAS:  POSTVENTA CORREGIDA</v>
      </c>
      <c r="P132" s="70" t="str">
        <f>+IF(GENERAL!Q133=GENERAL!$AI$2,GENERAL!$AI$2,CONCATENATE(OBSERVACIONES!P132,"
ESTADO DE POSTVENTAS:  ",GENERAL!Q133))</f>
        <v>OK
ESTADO DE POSTVENTAS:  POSTVENTA CORREGIDA</v>
      </c>
      <c r="Q132" s="70" t="str">
        <f>+IF(GENERAL!R133=GENERAL!$AI$2,GENERAL!$AI$2,CONCATENATE(OBSERVACIONES!Q132,"
ESTADO DE POSTVENTAS:  ",GENERAL!R133))</f>
        <v>OK
ESTADO DE POSTVENTAS:  POSTVENTA CORREGIDA</v>
      </c>
      <c r="R132" s="51" t="str">
        <f>+IF(GENERAL!S133=GENERAL!$AI$2,GENERAL!$AI$2,CONCATENATE(OBSERVACIONES!R132,"
ESTADO DE POSTVENTAS:  ",GENERAL!S133))</f>
        <v>OK
ESTADO DE POSTVENTAS:  POSTVENTA CORREGIDA</v>
      </c>
      <c r="S132" s="51" t="str">
        <f>+IF(GENERAL!T133=GENERAL!$AI$2,GENERAL!$AI$2,CONCATENATE(OBSERVACIONES!S132,"
ESTADO DE POSTVENTAS:  ",GENERAL!T133))</f>
        <v>OK
ESTADO DE POSTVENTAS:  POSTVENTA CORREGIDA</v>
      </c>
      <c r="T132" s="51" t="str">
        <f>+IF(GENERAL!U133=GENERAL!$AI$2,GENERAL!$AI$2,CONCATENATE(OBSERVACIONES!T132,"
ESTADO DE POSTVENTAS:  ",GENERAL!U133))</f>
        <v>OK
ESTADO DE POSTVENTAS:  POSTVENTA CORREGIDA</v>
      </c>
      <c r="U132" s="51" t="str">
        <f>+IF(GENERAL!V133=GENERAL!$AI$2,GENERAL!$AI$2,CONCATENATE(OBSERVACIONES!U132,"
ESTADO DE POSTVENTAS:  ",GENERAL!V133))</f>
        <v>OK
ESTADO DE POSTVENTAS:  POSTVENTA CORREGIDA</v>
      </c>
      <c r="V132" s="51" t="str">
        <f>+IF(GENERAL!W133=GENERAL!$AI$2,GENERAL!$AI$2,CONCATENATE(OBSERVACIONES!V132,"
ESTADO DE POSTVENTAS:  ",GENERAL!W133))</f>
        <v>OK
ESTADO DE POSTVENTAS:  POSTVENTA CORREGIDA</v>
      </c>
      <c r="W132" s="51" t="str">
        <f>+IF(GENERAL!V133=GENERAL!$AI$2,GENERAL!$AI$2,CONCATENATE(OBSERVACIONES!W132,"
ESTADO DE POSTVENTAS:  ",GENERAL!V133))</f>
        <v>OK
ESTADO DE POSTVENTAS:  POSTVENTA CORREGIDA</v>
      </c>
      <c r="X132" s="51" t="str">
        <f>+IF(GENERAL!W133=GENERAL!$AI$2,GENERAL!$AI$2,CONCATENATE(OBSERVACIONES!X132,"
ESTADO DE POSTVENTAS:  ",GENERAL!W133))</f>
        <v>OK
ESTADO DE POSTVENTAS:  POSTVENTA CORREGIDA</v>
      </c>
      <c r="Y132" s="51" t="str">
        <f>+IF(GENERAL!Z133=GENERAL!$AI$2,GENERAL!$AI$2,CONCATENATE(OBSERVACIONES!Y132,"
ESTADO DE POSTVENTAS:  ",GENERAL!Z133))</f>
        <v>OK
ESTADO DE POSTVENTAS:  POSTVENTA CORREGIDA</v>
      </c>
      <c r="Z132" s="51" t="str">
        <f>+IF(GENERAL!AA133=GENERAL!$AI$2,GENERAL!$AI$2,CONCATENATE(OBSERVACIONES!Z132,"
ESTADO DE POSTVENTAS:  ",GENERAL!AA133))</f>
        <v>OK
ESTADO DE POSTVENTAS:  POSTVENTA CORREGIDA</v>
      </c>
      <c r="AA132" s="51" t="str">
        <f>+IF(GENERAL!AB133=GENERAL!$AI$2,GENERAL!$AI$2,CONCATENATE(OBSERVACIONES!AA132,"
ESTADO DE POSTVENTAS:  ",GENERAL!AB133))</f>
        <v>OK
ESTADO DE POSTVENTAS:  POSTVENTA CORREGIDA</v>
      </c>
      <c r="AB132" s="51" t="str">
        <f>+IF(GENERAL!AC133=GENERAL!$AI$2,GENERAL!$AI$2,CONCATENATE(OBSERVACIONES!AB132,"
ESTADO DE POSTVENTAS:  ",GENERAL!AC133))</f>
        <v>OK
ESTADO DE POSTVENTAS:  POSTVENTA CORREGIDA</v>
      </c>
      <c r="AC132" s="51" t="str">
        <f>+IF(GENERAL!AD133=GENERAL!$AI$2,GENERAL!$AI$2,CONCATENATE(OBSERVACIONES!AC132,"
ESTADO DE POSTVENTAS:  ",GENERAL!AD133))</f>
        <v>OK
ESTADO DE POSTVENTAS:  POSTVENTA CORREGIDA</v>
      </c>
      <c r="AD132" s="51" t="str">
        <f>+IF(GENERAL!AE133=GENERAL!$AI$2,GENERAL!$AI$2,CONCATENATE(OBSERVACIONES!AD132,"
ESTADO DE POSTVENTAS:  ",GENERAL!AE133))</f>
        <v>OK
ESTADO DE POSTVENTAS:  POSTVENTA CORREGIDA</v>
      </c>
      <c r="AE132" s="51" t="str">
        <f>+IF(GENERAL!AF133=GENERAL!$AI$2,GENERAL!$AI$2,CONCATENATE(OBSERVACIONES!AE132,"
ESTADO DE POSTVENTAS:  ",GENERAL!AF133))</f>
        <v>OK
ESTADO DE POSTVENTAS:  POSTVENTA CORREGIDA</v>
      </c>
      <c r="AF132" s="51" t="str">
        <f>+IF(GENERAL!AG133=GENERAL!$AI$2,GENERAL!$AI$2,CONCATENATE(OBSERVACIONES!AF132,"
ESTADO DE POSTVENTAS:  ",GENERAL!AG133))</f>
        <v>OK
ESTADO DE POSTVENTAS:  POSTVENTA CORREGIDA</v>
      </c>
      <c r="AG132" s="51" t="str">
        <f>+IF(GENERAL!AH133=GENERAL!$AI$2,GENERAL!$AI$2,CONCATENATE(OBSERVACIONES!AG132,"
ESTADO DE POSTVENTAS:  ",GENERAL!AH133))</f>
        <v>OK
ESTADO DE POSTVENTAS:  POSTVENTA CORREGIDA</v>
      </c>
      <c r="AH132" s="51" t="str">
        <f>+IF(GENERAL!AI133=GENERAL!$AI$2,GENERAL!$AI$2,CONCATENATE(OBSERVACIONES!AH132,"
ESTADO DE POSTVENTAS:  ",GENERAL!AI133))</f>
        <v>OK
ESTADO DE POSTVENTAS:  POSTVENTA CORREGIDA</v>
      </c>
      <c r="AI132" s="51" t="str">
        <f>+IF(GENERAL!AG133=GENERAL!$AI$2,GENERAL!$AI$2,CONCATENATE(OBSERVACIONES!AF132,"
ESTADO DE POSTVENTAS:  ",GENERAL!AG133))</f>
        <v>OK
ESTADO DE POSTVENTAS:  POSTVENTA CORREGIDA</v>
      </c>
      <c r="AJ132" s="51" t="str">
        <f>+IF(GENERAL!AI133=GENERAL!$AI$2,GENERAL!$AI$2,CONCATENATE(OBSERVACIONES!AH132,"
ESTADO DE POSTVENTAS:  ",GENERAL!AI133))</f>
        <v>OK
ESTADO DE POSTVENTAS:  POSTVENTA CORREGIDA</v>
      </c>
      <c r="AK132" s="51" t="str">
        <f>+IF(GENERAL!AJ133=GENERAL!$AI$2,GENERAL!$AI$2,CONCATENATE(OBSERVACIONES!AI132,"
ESTADO DE POSTVENTAS:  ",GENERAL!AJ133))</f>
        <v>OK
ESTADO DE POSTVENTAS:  POSTVENTA CORREGIDA</v>
      </c>
      <c r="AL132" s="51" t="str">
        <f>+IF(GENERAL!AK133=GENERAL!$AI$2,GENERAL!$AI$2,CONCATENATE(OBSERVACIONES!AJ132,"
ESTADO DE POSTVENTAS:  ",GENERAL!AK133))</f>
        <v>OK
ESTADO DE POSTVENTAS:  POSTVENTA CORREGIDA</v>
      </c>
      <c r="AM132" s="51" t="str">
        <f>+IF(GENERAL!AN133=GENERAL!$AI$2,GENERAL!$AI$2,CONCATENATE(OBSERVACIONES!AM132,"
ESTADO DE POSTVENTAS:  ",GENERAL!AN133))</f>
        <v>OK
ESTADO DE POSTVENTAS:  POSTVENTA CORREGIDA</v>
      </c>
      <c r="AN132" s="37">
        <v>0</v>
      </c>
      <c r="AO132" s="37">
        <v>11</v>
      </c>
      <c r="AP132" s="37">
        <v>3</v>
      </c>
      <c r="AQ132" s="37">
        <v>1</v>
      </c>
      <c r="AR132" s="43">
        <v>14</v>
      </c>
      <c r="AS132" s="40">
        <v>11</v>
      </c>
      <c r="AT132" s="37">
        <f>COUNTIFS($D$5:$AM$5,"&lt;&gt;"&amp;CODICIONALES!$A$1,$D$5:$AM$5,"&lt;&gt;"&amp;CODICIONALES!$A$2,$D$5:$AM$5,"&lt;&gt;"&amp;CODICIONALES!$B$2,$D$5:$AM$5,"&lt;&gt;"&amp;CODICIONALES!$C$2)</f>
        <v>6</v>
      </c>
      <c r="AU132" s="43">
        <f>COUNTIFS(D132:AM132,CODICIONALES!$A$2)</f>
        <v>33</v>
      </c>
      <c r="AV132" s="40">
        <f t="shared" si="1"/>
        <v>-3</v>
      </c>
    </row>
    <row r="133" spans="1:48" ht="51" customHeight="1" x14ac:dyDescent="0.25">
      <c r="A133" s="110"/>
      <c r="B133" s="2">
        <v>129</v>
      </c>
      <c r="C133" s="21" t="s">
        <v>47</v>
      </c>
      <c r="D133" s="51" t="str">
        <f>+IF(GENERAL!E134=GENERAL!$AI$2,GENERAL!$AI$2,CONCATENATE(OBSERVACIONES!D133,"
ESTADO DE POSTVENTAS:  ",GENERAL!E134))</f>
        <v>NO ENTREGADO
ESTADO DE POSTVENTAS:  TIENE POSTVENTA</v>
      </c>
      <c r="E133" s="51" t="str">
        <f>+IF(GENERAL!F134=GENERAL!$AI$2,GENERAL!$AI$2,CONCATENATE(OBSERVACIONES!E133,"
ESTADO DE POSTVENTAS:  ",GENERAL!F134))</f>
        <v>OK
ESTADO DE POSTVENTAS:  POSTVENTA CORREGIDA</v>
      </c>
      <c r="F133" s="51" t="str">
        <f>+IF(GENERAL!G134=GENERAL!$AI$2,GENERAL!$AI$2,CONCATENATE(OBSERVACIONES!F133,"
ESTADO DE POSTVENTAS:  ",GENERAL!G134))</f>
        <v>OK
ESTADO DE POSTVENTAS:  POSTVENTA CORREGIDA</v>
      </c>
      <c r="G133" s="51" t="str">
        <f>+IF(GENERAL!H134=GENERAL!$AI$2,GENERAL!$AI$2,CONCATENATE(OBSERVACIONES!G133,"
ESTADO DE POSTVENTAS:  ",GENERAL!H134))</f>
        <v>NO ENTREGADO
ESTADO DE POSTVENTAS:  TIENE POSTVENTA</v>
      </c>
      <c r="H133" s="51" t="str">
        <f>+IF(GENERAL!I134=GENERAL!$AI$2,GENERAL!$AI$2,CONCATENATE(OBSERVACIONES!H133,"
ESTADO DE POSTVENTAS:  ",GENERAL!I134))</f>
        <v>OK
ESTADO DE POSTVENTAS:  POSTVENTA CORREGIDA</v>
      </c>
      <c r="I133" s="51" t="str">
        <f>+IF(GENERAL!J134=GENERAL!$AI$2,GENERAL!$AI$2,CONCATENATE(OBSERVACIONES!I133,"
ESTADO DE POSTVENTAS:  ",GENERAL!J134))</f>
        <v>OK
ESTADO DE POSTVENTAS:  POSTVENTA CORREGIDA</v>
      </c>
      <c r="J133" s="51" t="str">
        <f>+IF(GENERAL!K134=GENERAL!$AI$2,GENERAL!$AI$2,CONCATENATE(OBSERVACIONES!J133,"
ESTADO DE POSTVENTAS:  ",GENERAL!K134))</f>
        <v>OK
ESTADO DE POSTVENTAS:  POSTVENTA CORREGIDA</v>
      </c>
      <c r="K133" s="51" t="str">
        <f>+IF(GENERAL!L134=GENERAL!$AI$2,GENERAL!$AI$2,CONCATENATE(OBSERVACIONES!K133,"
ESTADO DE POSTVENTAS:  ",GENERAL!L134))</f>
        <v>OK
ESTADO DE POSTVENTAS:  POSTVENTA CORREGIDA</v>
      </c>
      <c r="L133" s="51" t="str">
        <f>+IF(GENERAL!M134=GENERAL!$AI$2,GENERAL!$AI$2,CONCATENATE(OBSERVACIONES!L133,"
ESTADO DE POSTVENTAS:  ",GENERAL!M134))</f>
        <v>OK
ESTADO DE POSTVENTAS:  POSTVENTA CORREGIDA</v>
      </c>
      <c r="M133" s="70" t="str">
        <f>+IF(GENERAL!N134=GENERAL!$AI$2,GENERAL!$AI$2,CONCATENATE(OBSERVACIONES!M133,"
ESTADO DE POSTVENTAS:  ",GENERAL!N134))</f>
        <v>OK
ESTADO DE POSTVENTAS:  POSTVENTA CORREGIDA</v>
      </c>
      <c r="N133" s="51" t="str">
        <f>+IF(GENERAL!O134=GENERAL!$AI$2,GENERAL!$AI$2,CONCATENATE(OBSERVACIONES!N133,"
ESTADO DE POSTVENTAS:  ",GENERAL!O134))</f>
        <v>OK
ESTADO DE POSTVENTAS:  POSTVENTA CORREGIDA</v>
      </c>
      <c r="O133" s="51" t="str">
        <f>+IF(GENERAL!P134=GENERAL!$AI$2,GENERAL!$AI$2,CONCATENATE(OBSERVACIONES!O133,"
ESTADO DE POSTVENTAS:  ",GENERAL!P134))</f>
        <v>OK
ESTADO DE POSTVENTAS:  POSTVENTA CORREGIDA</v>
      </c>
      <c r="P133" s="70" t="str">
        <f>+IF(GENERAL!Q134=GENERAL!$AI$2,GENERAL!$AI$2,CONCATENATE(OBSERVACIONES!P133,"
ESTADO DE POSTVENTAS:  ",GENERAL!Q134))</f>
        <v>OK
ESTADO DE POSTVENTAS:  POSTVENTA CORREGIDA</v>
      </c>
      <c r="Q133" s="70" t="str">
        <f>+IF(GENERAL!R134=GENERAL!$AI$2,GENERAL!$AI$2,CONCATENATE(OBSERVACIONES!Q133,"
ESTADO DE POSTVENTAS:  ",GENERAL!R134))</f>
        <v>OK
ESTADO DE POSTVENTAS:  POSTVENTA CORREGIDA</v>
      </c>
      <c r="R133" s="51" t="str">
        <f>+IF(GENERAL!S134=GENERAL!$AI$2,GENERAL!$AI$2,CONCATENATE(OBSERVACIONES!R133,"
ESTADO DE POSTVENTAS:  ",GENERAL!S134))</f>
        <v>OK
ESTADO DE POSTVENTAS:  POSTVENTA CORREGIDA</v>
      </c>
      <c r="S133" s="51" t="str">
        <f>+IF(GENERAL!T134=GENERAL!$AI$2,GENERAL!$AI$2,CONCATENATE(OBSERVACIONES!S133,"
ESTADO DE POSTVENTAS:  ",GENERAL!T134))</f>
        <v>OK
ESTADO DE POSTVENTAS:  POSTVENTA CORREGIDA</v>
      </c>
      <c r="T133" s="51" t="str">
        <f>+IF(GENERAL!U134=GENERAL!$AI$2,GENERAL!$AI$2,CONCATENATE(OBSERVACIONES!T133,"
ESTADO DE POSTVENTAS:  ",GENERAL!U134))</f>
        <v>OK
ESTADO DE POSTVENTAS:  POSTVENTA CORREGIDA</v>
      </c>
      <c r="U133" s="51" t="str">
        <f>+IF(GENERAL!V134=GENERAL!$AI$2,GENERAL!$AI$2,CONCATENATE(OBSERVACIONES!U133,"
ESTADO DE POSTVENTAS:  ",GENERAL!V134))</f>
        <v>OK
ESTADO DE POSTVENTAS:  POSTVENTA CORREGIDA</v>
      </c>
      <c r="V133" s="51" t="str">
        <f>+IF(GENERAL!W134=GENERAL!$AI$2,GENERAL!$AI$2,CONCATENATE(OBSERVACIONES!V133,"
ESTADO DE POSTVENTAS:  ",GENERAL!W134))</f>
        <v>OK
ESTADO DE POSTVENTAS:  POSTVENTA CORREGIDA</v>
      </c>
      <c r="W133" s="51" t="str">
        <f>+IF(GENERAL!V134=GENERAL!$AI$2,GENERAL!$AI$2,CONCATENATE(OBSERVACIONES!W133,"
ESTADO DE POSTVENTAS:  ",GENERAL!V134))</f>
        <v>OK
ESTADO DE POSTVENTAS:  POSTVENTA CORREGIDA</v>
      </c>
      <c r="X133" s="51" t="str">
        <f>+IF(GENERAL!W134=GENERAL!$AI$2,GENERAL!$AI$2,CONCATENATE(OBSERVACIONES!X133,"
ESTADO DE POSTVENTAS:  ",GENERAL!W134))</f>
        <v>OK
ESTADO DE POSTVENTAS:  POSTVENTA CORREGIDA</v>
      </c>
      <c r="Y133" s="51" t="str">
        <f>+IF(GENERAL!Z134=GENERAL!$AI$2,GENERAL!$AI$2,CONCATENATE(OBSERVACIONES!Y133,"
ESTADO DE POSTVENTAS:  ",GENERAL!Z134))</f>
        <v>OK
ESTADO DE POSTVENTAS:  POSTVENTA CORREGIDA</v>
      </c>
      <c r="Z133" s="51" t="str">
        <f>+IF(GENERAL!AA134=GENERAL!$AI$2,GENERAL!$AI$2,CONCATENATE(OBSERVACIONES!Z133,"
ESTADO DE POSTVENTAS:  ",GENERAL!AA134))</f>
        <v>OK
ESTADO DE POSTVENTAS:  POSTVENTA CORREGIDA</v>
      </c>
      <c r="AA133" s="51" t="str">
        <f>+IF(GENERAL!AB134=GENERAL!$AI$2,GENERAL!$AI$2,CONCATENATE(OBSERVACIONES!AA133,"
ESTADO DE POSTVENTAS:  ",GENERAL!AB134))</f>
        <v>OK
ESTADO DE POSTVENTAS:  POSTVENTA CORREGIDA</v>
      </c>
      <c r="AB133" s="51" t="str">
        <f>+IF(GENERAL!AC134=GENERAL!$AI$2,GENERAL!$AI$2,CONCATENATE(OBSERVACIONES!AB133,"
ESTADO DE POSTVENTAS:  ",GENERAL!AC134))</f>
        <v>OK
ESTADO DE POSTVENTAS:  POSTVENTA CORREGIDA</v>
      </c>
      <c r="AC133" s="51" t="str">
        <f>+IF(GENERAL!AD134=GENERAL!$AI$2,GENERAL!$AI$2,CONCATENATE(OBSERVACIONES!AC133,"
ESTADO DE POSTVENTAS:  ",GENERAL!AD134))</f>
        <v>OK
ESTADO DE POSTVENTAS:  POSTVENTA CORREGIDA</v>
      </c>
      <c r="AD133" s="51" t="str">
        <f>+IF(GENERAL!AE134=GENERAL!$AI$2,GENERAL!$AI$2,CONCATENATE(OBSERVACIONES!AD133,"
ESTADO DE POSTVENTAS:  ",GENERAL!AE134))</f>
        <v>OK
ESTADO DE POSTVENTAS:  POSTVENTA CORREGIDA</v>
      </c>
      <c r="AE133" s="51" t="str">
        <f>+IF(GENERAL!AF134=GENERAL!$AI$2,GENERAL!$AI$2,CONCATENATE(OBSERVACIONES!AE133,"
ESTADO DE POSTVENTAS:  ",GENERAL!AF134))</f>
        <v>OK
ESTADO DE POSTVENTAS:  POSTVENTA CORREGIDA</v>
      </c>
      <c r="AF133" s="51" t="str">
        <f>+IF(GENERAL!AG134=GENERAL!$AI$2,GENERAL!$AI$2,CONCATENATE(OBSERVACIONES!AF133,"
ESTADO DE POSTVENTAS:  ",GENERAL!AG134))</f>
        <v>OK
ESTADO DE POSTVENTAS:  POSTVENTA CORREGIDA</v>
      </c>
      <c r="AG133" s="51" t="str">
        <f>+IF(GENERAL!AH134=GENERAL!$AI$2,GENERAL!$AI$2,CONCATENATE(OBSERVACIONES!AG133,"
ESTADO DE POSTVENTAS:  ",GENERAL!AH134))</f>
        <v>OK
ESTADO DE POSTVENTAS:  POSTVENTA CORREGIDA</v>
      </c>
      <c r="AH133" s="51" t="str">
        <f>+IF(GENERAL!AI134=GENERAL!$AI$2,GENERAL!$AI$2,CONCATENATE(OBSERVACIONES!AH133,"
ESTADO DE POSTVENTAS:  ",GENERAL!AI134))</f>
        <v>OK
ESTADO DE POSTVENTAS:  POSTVENTA CORREGIDA</v>
      </c>
      <c r="AI133" s="51" t="str">
        <f>+IF(GENERAL!AG134=GENERAL!$AI$2,GENERAL!$AI$2,CONCATENATE(OBSERVACIONES!AF133,"
ESTADO DE POSTVENTAS:  ",GENERAL!AG134))</f>
        <v>OK
ESTADO DE POSTVENTAS:  POSTVENTA CORREGIDA</v>
      </c>
      <c r="AJ133" s="51" t="str">
        <f>+IF(GENERAL!AI134=GENERAL!$AI$2,GENERAL!$AI$2,CONCATENATE(OBSERVACIONES!AH133,"
ESTADO DE POSTVENTAS:  ",GENERAL!AI134))</f>
        <v>OK
ESTADO DE POSTVENTAS:  POSTVENTA CORREGIDA</v>
      </c>
      <c r="AK133" s="51" t="str">
        <f>+IF(GENERAL!AJ134=GENERAL!$AI$2,GENERAL!$AI$2,CONCATENATE(OBSERVACIONES!AI133,"
ESTADO DE POSTVENTAS:  ",GENERAL!AJ134))</f>
        <v>OK
ESTADO DE POSTVENTAS:  POSTVENTA CORREGIDA</v>
      </c>
      <c r="AL133" s="51" t="str">
        <f>+IF(GENERAL!AK134=GENERAL!$AI$2,GENERAL!$AI$2,CONCATENATE(OBSERVACIONES!AJ133,"
ESTADO DE POSTVENTAS:  ",GENERAL!AK134))</f>
        <v>OK
ESTADO DE POSTVENTAS:  POSTVENTA CORREGIDA</v>
      </c>
      <c r="AM133" s="51" t="str">
        <f>+IF(GENERAL!AN134=GENERAL!$AI$2,GENERAL!$AI$2,CONCATENATE(OBSERVACIONES!AM133,"
ESTADO DE POSTVENTAS:  ",GENERAL!AN134))</f>
        <v>OK
ESTADO DE POSTVENTAS:  POSTVENTA CORREGIDA</v>
      </c>
      <c r="AN133" s="37">
        <v>0</v>
      </c>
      <c r="AO133" s="37">
        <v>11</v>
      </c>
      <c r="AP133" s="37">
        <v>3</v>
      </c>
      <c r="AQ133" s="37">
        <v>0</v>
      </c>
      <c r="AR133" s="43">
        <v>14</v>
      </c>
      <c r="AS133" s="40">
        <v>12</v>
      </c>
      <c r="AT133" s="37">
        <f>COUNTIFS($D$5:$AM$5,"&lt;&gt;"&amp;CODICIONALES!$A$1,$D$5:$AM$5,"&lt;&gt;"&amp;CODICIONALES!$A$2,$D$5:$AM$5,"&lt;&gt;"&amp;CODICIONALES!$B$2,$D$5:$AM$5,"&lt;&gt;"&amp;CODICIONALES!$C$2)</f>
        <v>6</v>
      </c>
      <c r="AU133" s="43">
        <f>COUNTIFS(D133:AM133,CODICIONALES!$A$2)</f>
        <v>34</v>
      </c>
      <c r="AV133" s="40">
        <f t="shared" si="1"/>
        <v>-4</v>
      </c>
    </row>
    <row r="134" spans="1:48" ht="51" customHeight="1" x14ac:dyDescent="0.25">
      <c r="A134" s="110"/>
      <c r="B134" s="2">
        <v>130</v>
      </c>
      <c r="C134" s="21" t="s">
        <v>49</v>
      </c>
      <c r="D134" s="51" t="str">
        <f>+IF(GENERAL!E135=GENERAL!$AI$2,GENERAL!$AI$2,CONCATENATE(OBSERVACIONES!D134,"
ESTADO DE POSTVENTAS:  ",GENERAL!E135))</f>
        <v>NO ENTREGADO
ESTADO DE POSTVENTAS:  TIENE POSTVENTA</v>
      </c>
      <c r="E134" s="51" t="str">
        <f>+IF(GENERAL!F135=GENERAL!$AI$2,GENERAL!$AI$2,CONCATENATE(OBSERVACIONES!E134,"
ESTADO DE POSTVENTAS:  ",GENERAL!F135))</f>
        <v>OK
ESTADO DE POSTVENTAS:  POSTVENTA CORREGIDA</v>
      </c>
      <c r="F134" s="51" t="str">
        <f>+IF(GENERAL!G135=GENERAL!$AI$2,GENERAL!$AI$2,CONCATENATE(OBSERVACIONES!F134,"
ESTADO DE POSTVENTAS:  ",GENERAL!G135))</f>
        <v>OK
ESTADO DE POSTVENTAS:  POSTVENTA CORREGIDA</v>
      </c>
      <c r="G134" s="51" t="str">
        <f>+IF(GENERAL!H135=GENERAL!$AI$2,GENERAL!$AI$2,CONCATENATE(OBSERVACIONES!G134,"
ESTADO DE POSTVENTAS:  ",GENERAL!H135))</f>
        <v>NO ENTREGADO
ESTADO DE POSTVENTAS:  TIENE POSTVENTA</v>
      </c>
      <c r="H134" s="51" t="str">
        <f>+IF(GENERAL!I135=GENERAL!$AI$2,GENERAL!$AI$2,CONCATENATE(OBSERVACIONES!H134,"
ESTADO DE POSTVENTAS:  ",GENERAL!I135))</f>
        <v>OK
ESTADO DE POSTVENTAS:  POSTVENTA CORREGIDA</v>
      </c>
      <c r="I134" s="51" t="str">
        <f>+IF(GENERAL!J135=GENERAL!$AI$2,GENERAL!$AI$2,CONCATENATE(OBSERVACIONES!I134,"
ESTADO DE POSTVENTAS:  ",GENERAL!J135))</f>
        <v>OK
ESTADO DE POSTVENTAS:  POSTVENTA CORREGIDA</v>
      </c>
      <c r="J134" s="51" t="str">
        <f>+IF(GENERAL!K135=GENERAL!$AI$2,GENERAL!$AI$2,CONCATENATE(OBSERVACIONES!J134,"
ESTADO DE POSTVENTAS:  ",GENERAL!K135))</f>
        <v>OK
ESTADO DE POSTVENTAS:  POSTVENTA CORREGIDA</v>
      </c>
      <c r="K134" s="51" t="str">
        <f>+IF(GENERAL!L135=GENERAL!$AI$2,GENERAL!$AI$2,CONCATENATE(OBSERVACIONES!K134,"
ESTADO DE POSTVENTAS:  ",GENERAL!L135))</f>
        <v>OK
ESTADO DE POSTVENTAS:  POSTVENTA CORREGIDA</v>
      </c>
      <c r="L134" s="51" t="str">
        <f>+IF(GENERAL!M135=GENERAL!$AI$2,GENERAL!$AI$2,CONCATENATE(OBSERVACIONES!L134,"
ESTADO DE POSTVENTAS:  ",GENERAL!M135))</f>
        <v>OK
ESTADO DE POSTVENTAS:  POSTVENTA CORREGIDA</v>
      </c>
      <c r="M134" s="70" t="str">
        <f>+IF(GENERAL!N135=GENERAL!$AI$2,GENERAL!$AI$2,CONCATENATE(OBSERVACIONES!M134,"
ESTADO DE POSTVENTAS:  ",GENERAL!N135))</f>
        <v>OK
ESTADO DE POSTVENTAS:  POSTVENTA CORREGIDA</v>
      </c>
      <c r="N134" s="51" t="str">
        <f>+IF(GENERAL!O135=GENERAL!$AI$2,GENERAL!$AI$2,CONCATENATE(OBSERVACIONES!N134,"
ESTADO DE POSTVENTAS:  ",GENERAL!O135))</f>
        <v>OK
ESTADO DE POSTVENTAS:  POSTVENTA CORREGIDA</v>
      </c>
      <c r="O134" s="51" t="str">
        <f>+IF(GENERAL!P135=GENERAL!$AI$2,GENERAL!$AI$2,CONCATENATE(OBSERVACIONES!O134,"
ESTADO DE POSTVENTAS:  ",GENERAL!P135))</f>
        <v>OK
ESTADO DE POSTVENTAS:  POSTVENTA CORREGIDA</v>
      </c>
      <c r="P134" s="70" t="str">
        <f>+IF(GENERAL!Q135=GENERAL!$AI$2,GENERAL!$AI$2,CONCATENATE(OBSERVACIONES!P134,"
ESTADO DE POSTVENTAS:  ",GENERAL!Q135))</f>
        <v>OK
ESTADO DE POSTVENTAS:  POSTVENTA CORREGIDA</v>
      </c>
      <c r="Q134" s="70" t="str">
        <f>+IF(GENERAL!R135=GENERAL!$AI$2,GENERAL!$AI$2,CONCATENATE(OBSERVACIONES!Q134,"
ESTADO DE POSTVENTAS:  ",GENERAL!R135))</f>
        <v>OK
ESTADO DE POSTVENTAS:  POSTVENTA CORREGIDA</v>
      </c>
      <c r="R134" s="51" t="str">
        <f>+IF(GENERAL!S135=GENERAL!$AI$2,GENERAL!$AI$2,CONCATENATE(OBSERVACIONES!R134,"
ESTADO DE POSTVENTAS:  ",GENERAL!S135))</f>
        <v>OK
ESTADO DE POSTVENTAS:  POSTVENTA CORREGIDA</v>
      </c>
      <c r="S134" s="51" t="str">
        <f>+IF(GENERAL!T135=GENERAL!$AI$2,GENERAL!$AI$2,CONCATENATE(OBSERVACIONES!S134,"
ESTADO DE POSTVENTAS:  ",GENERAL!T135))</f>
        <v>OK
ESTADO DE POSTVENTAS:  POSTVENTA CORREGIDA</v>
      </c>
      <c r="T134" s="51" t="str">
        <f>+IF(GENERAL!U135=GENERAL!$AI$2,GENERAL!$AI$2,CONCATENATE(OBSERVACIONES!T134,"
ESTADO DE POSTVENTAS:  ",GENERAL!U135))</f>
        <v>OK
ESTADO DE POSTVENTAS:  POSTVENTA CORREGIDA</v>
      </c>
      <c r="U134" s="51" t="str">
        <f>+IF(GENERAL!V135=GENERAL!$AI$2,GENERAL!$AI$2,CONCATENATE(OBSERVACIONES!U134,"
ESTADO DE POSTVENTAS:  ",GENERAL!V135))</f>
        <v>OK
ESTADO DE POSTVENTAS:  POSTVENTA CORREGIDA</v>
      </c>
      <c r="V134" s="51" t="str">
        <f>+IF(GENERAL!W135=GENERAL!$AI$2,GENERAL!$AI$2,CONCATENATE(OBSERVACIONES!V134,"
ESTADO DE POSTVENTAS:  ",GENERAL!W135))</f>
        <v>OK
ESTADO DE POSTVENTAS:  POSTVENTA CORREGIDA</v>
      </c>
      <c r="W134" s="51" t="str">
        <f>+IF(GENERAL!V135=GENERAL!$AI$2,GENERAL!$AI$2,CONCATENATE(OBSERVACIONES!W134,"
ESTADO DE POSTVENTAS:  ",GENERAL!V135))</f>
        <v>OK
ESTADO DE POSTVENTAS:  POSTVENTA CORREGIDA</v>
      </c>
      <c r="X134" s="51" t="str">
        <f>+IF(GENERAL!W135=GENERAL!$AI$2,GENERAL!$AI$2,CONCATENATE(OBSERVACIONES!X134,"
ESTADO DE POSTVENTAS:  ",GENERAL!W135))</f>
        <v>OK
ESTADO DE POSTVENTAS:  POSTVENTA CORREGIDA</v>
      </c>
      <c r="Y134" s="51" t="str">
        <f>+IF(GENERAL!Z135=GENERAL!$AI$2,GENERAL!$AI$2,CONCATENATE(OBSERVACIONES!Y134,"
ESTADO DE POSTVENTAS:  ",GENERAL!Z135))</f>
        <v>OK
ESTADO DE POSTVENTAS:  POSTVENTA CORREGIDA</v>
      </c>
      <c r="Z134" s="51" t="str">
        <f>+IF(GENERAL!AA135=GENERAL!$AI$2,GENERAL!$AI$2,CONCATENATE(OBSERVACIONES!Z134,"
ESTADO DE POSTVENTAS:  ",GENERAL!AA135))</f>
        <v>OK
ESTADO DE POSTVENTAS:  POSTVENTA CORREGIDA</v>
      </c>
      <c r="AA134" s="51" t="str">
        <f>+IF(GENERAL!AB135=GENERAL!$AI$2,GENERAL!$AI$2,CONCATENATE(OBSERVACIONES!AA134,"
ESTADO DE POSTVENTAS:  ",GENERAL!AB135))</f>
        <v>OK
ESTADO DE POSTVENTAS:  POSTVENTA CORREGIDA</v>
      </c>
      <c r="AB134" s="51" t="str">
        <f>+IF(GENERAL!AC135=GENERAL!$AI$2,GENERAL!$AI$2,CONCATENATE(OBSERVACIONES!AB134,"
ESTADO DE POSTVENTAS:  ",GENERAL!AC135))</f>
        <v>OK
ESTADO DE POSTVENTAS:  POSTVENTA CORREGIDA</v>
      </c>
      <c r="AC134" s="51" t="str">
        <f>+IF(GENERAL!AD135=GENERAL!$AI$2,GENERAL!$AI$2,CONCATENATE(OBSERVACIONES!AC134,"
ESTADO DE POSTVENTAS:  ",GENERAL!AD135))</f>
        <v>OK
ESTADO DE POSTVENTAS:  POSTVENTA CORREGIDA</v>
      </c>
      <c r="AD134" s="51" t="str">
        <f>+IF(GENERAL!AE135=GENERAL!$AI$2,GENERAL!$AI$2,CONCATENATE(OBSERVACIONES!AD134,"
ESTADO DE POSTVENTAS:  ",GENERAL!AE135))</f>
        <v>OK
ESTADO DE POSTVENTAS:  POSTVENTA CORREGIDA</v>
      </c>
      <c r="AE134" s="51" t="str">
        <f>+IF(GENERAL!AF135=GENERAL!$AI$2,GENERAL!$AI$2,CONCATENATE(OBSERVACIONES!AE134,"
ESTADO DE POSTVENTAS:  ",GENERAL!AF135))</f>
        <v>OK
ESTADO DE POSTVENTAS:  POSTVENTA CORREGIDA</v>
      </c>
      <c r="AF134" s="51" t="str">
        <f>+IF(GENERAL!AG135=GENERAL!$AI$2,GENERAL!$AI$2,CONCATENATE(OBSERVACIONES!AF134,"
ESTADO DE POSTVENTAS:  ",GENERAL!AG135))</f>
        <v>OK
ESTADO DE POSTVENTAS:  POSTVENTA CORREGIDA</v>
      </c>
      <c r="AG134" s="51" t="str">
        <f>+IF(GENERAL!AH135=GENERAL!$AI$2,GENERAL!$AI$2,CONCATENATE(OBSERVACIONES!AG134,"
ESTADO DE POSTVENTAS:  ",GENERAL!AH135))</f>
        <v>OK
ESTADO DE POSTVENTAS:  POSTVENTA CORREGIDA</v>
      </c>
      <c r="AH134" s="51" t="str">
        <f>+IF(GENERAL!AI135=GENERAL!$AI$2,GENERAL!$AI$2,CONCATENATE(OBSERVACIONES!AH134,"
ESTADO DE POSTVENTAS:  ",GENERAL!AI135))</f>
        <v>OK
ESTADO DE POSTVENTAS:  POSTVENTA CORREGIDA</v>
      </c>
      <c r="AI134" s="51" t="str">
        <f>+IF(GENERAL!AG135=GENERAL!$AI$2,GENERAL!$AI$2,CONCATENATE(OBSERVACIONES!AF134,"
ESTADO DE POSTVENTAS:  ",GENERAL!AG135))</f>
        <v>OK
ESTADO DE POSTVENTAS:  POSTVENTA CORREGIDA</v>
      </c>
      <c r="AJ134" s="51" t="str">
        <f>+IF(GENERAL!AI135=GENERAL!$AI$2,GENERAL!$AI$2,CONCATENATE(OBSERVACIONES!AH134,"
ESTADO DE POSTVENTAS:  ",GENERAL!AI135))</f>
        <v>OK
ESTADO DE POSTVENTAS:  POSTVENTA CORREGIDA</v>
      </c>
      <c r="AK134" s="51" t="str">
        <f>+IF(GENERAL!AJ135=GENERAL!$AI$2,GENERAL!$AI$2,CONCATENATE(OBSERVACIONES!AI134,"
ESTADO DE POSTVENTAS:  ",GENERAL!AJ135))</f>
        <v>OK
ESTADO DE POSTVENTAS:  POSTVENTA CORREGIDA</v>
      </c>
      <c r="AL134" s="51" t="str">
        <f>+IF(GENERAL!AK135=GENERAL!$AI$2,GENERAL!$AI$2,CONCATENATE(OBSERVACIONES!AJ134,"
ESTADO DE POSTVENTAS:  ",GENERAL!AK135))</f>
        <v>OK
ESTADO DE POSTVENTAS:  POSTVENTA CORREGIDA</v>
      </c>
      <c r="AM134" s="51" t="str">
        <f>+IF(GENERAL!AN135=GENERAL!$AI$2,GENERAL!$AI$2,CONCATENATE(OBSERVACIONES!AM134,"
ESTADO DE POSTVENTAS:  ",GENERAL!AN135))</f>
        <v>OK
ESTADO DE POSTVENTAS:  POSTVENTA CORREGIDA</v>
      </c>
      <c r="AN134" s="37">
        <v>0</v>
      </c>
      <c r="AO134" s="37">
        <v>11</v>
      </c>
      <c r="AP134" s="37">
        <v>3</v>
      </c>
      <c r="AQ134" s="37">
        <v>0</v>
      </c>
      <c r="AR134" s="43">
        <v>14</v>
      </c>
      <c r="AS134" s="40">
        <v>12</v>
      </c>
      <c r="AT134" s="37">
        <f>COUNTIFS($D$5:$AM$5,"&lt;&gt;"&amp;CODICIONALES!$A$1,$D$5:$AM$5,"&lt;&gt;"&amp;CODICIONALES!$A$2,$D$5:$AM$5,"&lt;&gt;"&amp;CODICIONALES!$B$2,$D$5:$AM$5,"&lt;&gt;"&amp;CODICIONALES!$C$2)</f>
        <v>6</v>
      </c>
      <c r="AU134" s="43">
        <f>COUNTIFS(D134:AM134,CODICIONALES!$A$2)</f>
        <v>34</v>
      </c>
      <c r="AV134" s="40">
        <f t="shared" ref="AV134:AV175" si="2">COUNTA(D134:AM134)-SUM(AT134:AU134)</f>
        <v>-4</v>
      </c>
    </row>
    <row r="135" spans="1:48" ht="51" customHeight="1" x14ac:dyDescent="0.25">
      <c r="A135" s="110"/>
      <c r="B135" s="2">
        <v>131</v>
      </c>
      <c r="C135" s="21" t="s">
        <v>52</v>
      </c>
      <c r="D135" s="51" t="str">
        <f>+IF(GENERAL!E136=GENERAL!$AI$2,GENERAL!$AI$2,CONCATENATE(OBSERVACIONES!D135,"
ESTADO DE POSTVENTAS:  ",GENERAL!E136))</f>
        <v>NO ENTREGADO
ESTADO DE POSTVENTAS:  TIENE POSTVENTA</v>
      </c>
      <c r="E135" s="51" t="str">
        <f>+IF(GENERAL!F136=GENERAL!$AI$2,GENERAL!$AI$2,CONCATENATE(OBSERVACIONES!E135,"
ESTADO DE POSTVENTAS:  ",GENERAL!F136))</f>
        <v>OK
ESTADO DE POSTVENTAS:  POSTVENTA CORREGIDA</v>
      </c>
      <c r="F135" s="51" t="str">
        <f>+IF(GENERAL!G136=GENERAL!$AI$2,GENERAL!$AI$2,CONCATENATE(OBSERVACIONES!F135,"
ESTADO DE POSTVENTAS:  ",GENERAL!G136))</f>
        <v>OK
ESTADO DE POSTVENTAS:  POSTVENTA CORREGIDA</v>
      </c>
      <c r="G135" s="51" t="str">
        <f>+IF(GENERAL!H136=GENERAL!$AI$2,GENERAL!$AI$2,CONCATENATE(OBSERVACIONES!G135,"
ESTADO DE POSTVENTAS:  ",GENERAL!H136))</f>
        <v>NO ENTREGADO
ESTADO DE POSTVENTAS:  TIENE POSTVENTA</v>
      </c>
      <c r="H135" s="51" t="str">
        <f>+IF(GENERAL!I136=GENERAL!$AI$2,GENERAL!$AI$2,CONCATENATE(OBSERVACIONES!H135,"
ESTADO DE POSTVENTAS:  ",GENERAL!I136))</f>
        <v>OK
ESTADO DE POSTVENTAS:  POSTVENTA CORREGIDA</v>
      </c>
      <c r="I135" s="51" t="str">
        <f>+IF(GENERAL!J136=GENERAL!$AI$2,GENERAL!$AI$2,CONCATENATE(OBSERVACIONES!I135,"
ESTADO DE POSTVENTAS:  ",GENERAL!J136))</f>
        <v>OK
ESTADO DE POSTVENTAS:  POSTVENTA CORREGIDA</v>
      </c>
      <c r="J135" s="51" t="str">
        <f>+IF(GENERAL!K136=GENERAL!$AI$2,GENERAL!$AI$2,CONCATENATE(OBSERVACIONES!J135,"
ESTADO DE POSTVENTAS:  ",GENERAL!K136))</f>
        <v>OK
ESTADO DE POSTVENTAS:  POSTVENTA CORREGIDA</v>
      </c>
      <c r="K135" s="51" t="str">
        <f>+IF(GENERAL!L136=GENERAL!$AI$2,GENERAL!$AI$2,CONCATENATE(OBSERVACIONES!K135,"
ESTADO DE POSTVENTAS:  ",GENERAL!L136))</f>
        <v>OK
ESTADO DE POSTVENTAS:  POSTVENTA CORREGIDA</v>
      </c>
      <c r="L135" s="51" t="str">
        <f>+IF(GENERAL!M136=GENERAL!$AI$2,GENERAL!$AI$2,CONCATENATE(OBSERVACIONES!L135,"
ESTADO DE POSTVENTAS:  ",GENERAL!M136))</f>
        <v>OK
ESTADO DE POSTVENTAS:  POSTVENTA CORREGIDA</v>
      </c>
      <c r="M135" s="70" t="str">
        <f>+IF(GENERAL!N136=GENERAL!$AI$2,GENERAL!$AI$2,CONCATENATE(OBSERVACIONES!M135,"
ESTADO DE POSTVENTAS:  ",GENERAL!N136))</f>
        <v>OK
ESTADO DE POSTVENTAS:  POSTVENTA CORREGIDA</v>
      </c>
      <c r="N135" s="51" t="str">
        <f>+IF(GENERAL!O136=GENERAL!$AI$2,GENERAL!$AI$2,CONCATENATE(OBSERVACIONES!N135,"
ESTADO DE POSTVENTAS:  ",GENERAL!O136))</f>
        <v>OK
ESTADO DE POSTVENTAS:  POSTVENTA CORREGIDA</v>
      </c>
      <c r="O135" s="51" t="str">
        <f>+IF(GENERAL!P136=GENERAL!$AI$2,GENERAL!$AI$2,CONCATENATE(OBSERVACIONES!O135,"
ESTADO DE POSTVENTAS:  ",GENERAL!P136))</f>
        <v>OK
ESTADO DE POSTVENTAS:  POSTVENTA CORREGIDA</v>
      </c>
      <c r="P135" s="70" t="str">
        <f>+IF(GENERAL!Q136=GENERAL!$AI$2,GENERAL!$AI$2,CONCATENATE(OBSERVACIONES!P135,"
ESTADO DE POSTVENTAS:  ",GENERAL!Q136))</f>
        <v>OK
ESTADO DE POSTVENTAS:  POSTVENTA CORREGIDA</v>
      </c>
      <c r="Q135" s="70" t="str">
        <f>+IF(GENERAL!R136=GENERAL!$AI$2,GENERAL!$AI$2,CONCATENATE(OBSERVACIONES!Q135,"
ESTADO DE POSTVENTAS:  ",GENERAL!R136))</f>
        <v>OK
ESTADO DE POSTVENTAS:  POSTVENTA CORREGIDA</v>
      </c>
      <c r="R135" s="51" t="str">
        <f>+IF(GENERAL!S136=GENERAL!$AI$2,GENERAL!$AI$2,CONCATENATE(OBSERVACIONES!R135,"
ESTADO DE POSTVENTAS:  ",GENERAL!S136))</f>
        <v>OK
ESTADO DE POSTVENTAS:  POSTVENTA CORREGIDA</v>
      </c>
      <c r="S135" s="51" t="str">
        <f>+IF(GENERAL!T136=GENERAL!$AI$2,GENERAL!$AI$2,CONCATENATE(OBSERVACIONES!S135,"
ESTADO DE POSTVENTAS:  ",GENERAL!T136))</f>
        <v>OK
ESTADO DE POSTVENTAS:  POSTVENTA CORREGIDA</v>
      </c>
      <c r="T135" s="51" t="str">
        <f>+IF(GENERAL!U136=GENERAL!$AI$2,GENERAL!$AI$2,CONCATENATE(OBSERVACIONES!T135,"
ESTADO DE POSTVENTAS:  ",GENERAL!U136))</f>
        <v>OK
ESTADO DE POSTVENTAS:  POSTVENTA CORREGIDA</v>
      </c>
      <c r="U135" s="51" t="str">
        <f>+IF(GENERAL!V136=GENERAL!$AI$2,GENERAL!$AI$2,CONCATENATE(OBSERVACIONES!U135,"
ESTADO DE POSTVENTAS:  ",GENERAL!V136))</f>
        <v>OK
ESTADO DE POSTVENTAS:  POSTVENTA CORREGIDA</v>
      </c>
      <c r="V135" s="51" t="str">
        <f>+IF(GENERAL!W136=GENERAL!$AI$2,GENERAL!$AI$2,CONCATENATE(OBSERVACIONES!V135,"
ESTADO DE POSTVENTAS:  ",GENERAL!W136))</f>
        <v>OK
ESTADO DE POSTVENTAS:  POSTVENTA CORREGIDA</v>
      </c>
      <c r="W135" s="51" t="str">
        <f>+IF(GENERAL!V136=GENERAL!$AI$2,GENERAL!$AI$2,CONCATENATE(OBSERVACIONES!W135,"
ESTADO DE POSTVENTAS:  ",GENERAL!V136))</f>
        <v>OK
ESTADO DE POSTVENTAS:  POSTVENTA CORREGIDA</v>
      </c>
      <c r="X135" s="51" t="str">
        <f>+IF(GENERAL!W136=GENERAL!$AI$2,GENERAL!$AI$2,CONCATENATE(OBSERVACIONES!X135,"
ESTADO DE POSTVENTAS:  ",GENERAL!W136))</f>
        <v>OK
ESTADO DE POSTVENTAS:  POSTVENTA CORREGIDA</v>
      </c>
      <c r="Y135" s="51" t="str">
        <f>+IF(GENERAL!Z136=GENERAL!$AI$2,GENERAL!$AI$2,CONCATENATE(OBSERVACIONES!Y135,"
ESTADO DE POSTVENTAS:  ",GENERAL!Z136))</f>
        <v>OK
ESTADO DE POSTVENTAS:  POSTVENTA CORREGIDA</v>
      </c>
      <c r="Z135" s="51" t="str">
        <f>+IF(GENERAL!AA136=GENERAL!$AI$2,GENERAL!$AI$2,CONCATENATE(OBSERVACIONES!Z135,"
ESTADO DE POSTVENTAS:  ",GENERAL!AA136))</f>
        <v>OK
ESTADO DE POSTVENTAS:  POSTVENTA CORREGIDA</v>
      </c>
      <c r="AA135" s="51" t="str">
        <f>+IF(GENERAL!AB136=GENERAL!$AI$2,GENERAL!$AI$2,CONCATENATE(OBSERVACIONES!AA135,"
ESTADO DE POSTVENTAS:  ",GENERAL!AB136))</f>
        <v>OK
ESTADO DE POSTVENTAS:  POSTVENTA CORREGIDA</v>
      </c>
      <c r="AB135" s="51" t="str">
        <f>+IF(GENERAL!AC136=GENERAL!$AI$2,GENERAL!$AI$2,CONCATENATE(OBSERVACIONES!AB135,"
ESTADO DE POSTVENTAS:  ",GENERAL!AC136))</f>
        <v>OK
ESTADO DE POSTVENTAS:  POSTVENTA CORREGIDA</v>
      </c>
      <c r="AC135" s="51" t="str">
        <f>+IF(GENERAL!AD136=GENERAL!$AI$2,GENERAL!$AI$2,CONCATENATE(OBSERVACIONES!AC135,"
ESTADO DE POSTVENTAS:  ",GENERAL!AD136))</f>
        <v>OK
ESTADO DE POSTVENTAS:  POSTVENTA CORREGIDA</v>
      </c>
      <c r="AD135" s="51" t="str">
        <f>+IF(GENERAL!AE136=GENERAL!$AI$2,GENERAL!$AI$2,CONCATENATE(OBSERVACIONES!AD135,"
ESTADO DE POSTVENTAS:  ",GENERAL!AE136))</f>
        <v>OK
ESTADO DE POSTVENTAS:  POSTVENTA CORREGIDA</v>
      </c>
      <c r="AE135" s="51" t="str">
        <f>+IF(GENERAL!AF136=GENERAL!$AI$2,GENERAL!$AI$2,CONCATENATE(OBSERVACIONES!AE135,"
ESTADO DE POSTVENTAS:  ",GENERAL!AF136))</f>
        <v>OK
ESTADO DE POSTVENTAS:  POSTVENTA CORREGIDA</v>
      </c>
      <c r="AF135" s="51" t="str">
        <f>+IF(GENERAL!AG136=GENERAL!$AI$2,GENERAL!$AI$2,CONCATENATE(OBSERVACIONES!AF135,"
ESTADO DE POSTVENTAS:  ",GENERAL!AG136))</f>
        <v>OK
ESTADO DE POSTVENTAS:  POSTVENTA CORREGIDA</v>
      </c>
      <c r="AG135" s="51" t="str">
        <f>+IF(GENERAL!AH136=GENERAL!$AI$2,GENERAL!$AI$2,CONCATENATE(OBSERVACIONES!AG135,"
ESTADO DE POSTVENTAS:  ",GENERAL!AH136))</f>
        <v>OK
ESTADO DE POSTVENTAS:  POSTVENTA CORREGIDA</v>
      </c>
      <c r="AH135" s="51" t="str">
        <f>+IF(GENERAL!AI136=GENERAL!$AI$2,GENERAL!$AI$2,CONCATENATE(OBSERVACIONES!AH135,"
ESTADO DE POSTVENTAS:  ",GENERAL!AI136))</f>
        <v>OK
ESTADO DE POSTVENTAS:  POSTVENTA CORREGIDA</v>
      </c>
      <c r="AI135" s="51" t="str">
        <f>+IF(GENERAL!AG136=GENERAL!$AI$2,GENERAL!$AI$2,CONCATENATE(OBSERVACIONES!AF135,"
ESTADO DE POSTVENTAS:  ",GENERAL!AG136))</f>
        <v>OK
ESTADO DE POSTVENTAS:  POSTVENTA CORREGIDA</v>
      </c>
      <c r="AJ135" s="51" t="str">
        <f>+IF(GENERAL!AI136=GENERAL!$AI$2,GENERAL!$AI$2,CONCATENATE(OBSERVACIONES!AH135,"
ESTADO DE POSTVENTAS:  ",GENERAL!AI136))</f>
        <v>OK
ESTADO DE POSTVENTAS:  POSTVENTA CORREGIDA</v>
      </c>
      <c r="AK135" s="51" t="str">
        <f>+IF(GENERAL!AJ136=GENERAL!$AI$2,GENERAL!$AI$2,CONCATENATE(OBSERVACIONES!AI135,"
ESTADO DE POSTVENTAS:  ",GENERAL!AJ136))</f>
        <v>OK
ESTADO DE POSTVENTAS:  POSTVENTA CORREGIDA</v>
      </c>
      <c r="AL135" s="51" t="str">
        <f>+IF(GENERAL!AK136=GENERAL!$AI$2,GENERAL!$AI$2,CONCATENATE(OBSERVACIONES!AJ135,"
ESTADO DE POSTVENTAS:  ",GENERAL!AK136))</f>
        <v>OK
ESTADO DE POSTVENTAS:  POSTVENTA CORREGIDA</v>
      </c>
      <c r="AM135" s="51" t="str">
        <f>+IF(GENERAL!AN136=GENERAL!$AI$2,GENERAL!$AI$2,CONCATENATE(OBSERVACIONES!AM135,"
ESTADO DE POSTVENTAS:  ",GENERAL!AN136))</f>
        <v>OK
ESTADO DE POSTVENTAS:  POSTVENTA CORREGIDA</v>
      </c>
      <c r="AN135" s="37">
        <v>1</v>
      </c>
      <c r="AO135" s="37">
        <v>10</v>
      </c>
      <c r="AP135" s="37">
        <v>3</v>
      </c>
      <c r="AQ135" s="37">
        <v>1</v>
      </c>
      <c r="AR135" s="43">
        <v>13</v>
      </c>
      <c r="AS135" s="40">
        <v>12</v>
      </c>
      <c r="AT135" s="37">
        <f>COUNTIFS($D$5:$AM$5,"&lt;&gt;"&amp;CODICIONALES!$A$1,$D$5:$AM$5,"&lt;&gt;"&amp;CODICIONALES!$A$2,$D$5:$AM$5,"&lt;&gt;"&amp;CODICIONALES!$B$2,$D$5:$AM$5,"&lt;&gt;"&amp;CODICIONALES!$C$2)</f>
        <v>6</v>
      </c>
      <c r="AU135" s="43">
        <f>COUNTIFS(D135:AM135,CODICIONALES!$A$2)</f>
        <v>34</v>
      </c>
      <c r="AV135" s="40">
        <f t="shared" si="2"/>
        <v>-4</v>
      </c>
    </row>
    <row r="136" spans="1:48" ht="51" customHeight="1" x14ac:dyDescent="0.25">
      <c r="A136" s="110"/>
      <c r="B136" s="2">
        <v>132</v>
      </c>
      <c r="C136" s="21" t="s">
        <v>54</v>
      </c>
      <c r="D136" s="51" t="str">
        <f>+IF(GENERAL!E137=GENERAL!$AI$2,GENERAL!$AI$2,CONCATENATE(OBSERVACIONES!D136,"
ESTADO DE POSTVENTAS:  ",GENERAL!E137))</f>
        <v>NO ENTREGADO
ESTADO DE POSTVENTAS:  TIENE POSTVENTA</v>
      </c>
      <c r="E136" s="51" t="str">
        <f>+IF(GENERAL!F137=GENERAL!$AI$2,GENERAL!$AI$2,CONCATENATE(OBSERVACIONES!E136,"
ESTADO DE POSTVENTAS:  ",GENERAL!F137))</f>
        <v>OK
ESTADO DE POSTVENTAS:  POSTVENTA CORREGIDA</v>
      </c>
      <c r="F136" s="70" t="str">
        <f>+IF(GENERAL!G137=GENERAL!$AI$2,GENERAL!$AI$2,CONCATENATE(OBSERVACIONES!F136,"
ESTADO DE POSTVENTAS:  ",GENERAL!G137))</f>
        <v>DETALLES FIJADO
ESTADO DE POSTVENTAS:  TIENE POSTVENTA</v>
      </c>
      <c r="G136" s="51" t="str">
        <f>+IF(GENERAL!H137=GENERAL!$AI$2,GENERAL!$AI$2,CONCATENATE(OBSERVACIONES!G136,"
ESTADO DE POSTVENTAS:  ",GENERAL!H137))</f>
        <v>NO ENTREGADO
ESTADO DE POSTVENTAS:  TIENE POSTVENTA</v>
      </c>
      <c r="H136" s="51" t="str">
        <f>+IF(GENERAL!I137=GENERAL!$AI$2,GENERAL!$AI$2,CONCATENATE(OBSERVACIONES!H136,"
ESTADO DE POSTVENTAS:  ",GENERAL!I137))</f>
        <v>OK
ESTADO DE POSTVENTAS:  POSTVENTA CORREGIDA</v>
      </c>
      <c r="I136" s="51" t="str">
        <f>+IF(GENERAL!J137=GENERAL!$AI$2,GENERAL!$AI$2,CONCATENATE(OBSERVACIONES!I136,"
ESTADO DE POSTVENTAS:  ",GENERAL!J137))</f>
        <v>OK
ESTADO DE POSTVENTAS:  POSTVENTA CORREGIDA</v>
      </c>
      <c r="J136" s="51" t="str">
        <f>+IF(GENERAL!K137=GENERAL!$AI$2,GENERAL!$AI$2,CONCATENATE(OBSERVACIONES!J136,"
ESTADO DE POSTVENTAS:  ",GENERAL!K137))</f>
        <v>OK
ESTADO DE POSTVENTAS:  POSTVENTA CORREGIDA</v>
      </c>
      <c r="K136" s="70" t="str">
        <f>+IF(GENERAL!L137=GENERAL!$AI$2,GENERAL!$AI$2,CONCATENATE(OBSERVACIONES!L136,"
ESTADO DE POSTVENTAS:  ",GENERAL!L137))</f>
        <v>OK
ESTADO DE POSTVENTAS:  POSTVENTA CORREGIDA</v>
      </c>
      <c r="L136" s="70" t="str">
        <f>+IF(GENERAL!M137=GENERAL!$AI$2,GENERAL!$AI$2,CONCATENATE(OBSERVACIONES!L136,"
ESTADO DE POSTVENTAS:  ",GENERAL!M137))</f>
        <v>OK
ESTADO DE POSTVENTAS:  POSTVENTA CORREGIDA</v>
      </c>
      <c r="M136" s="70" t="str">
        <f>+IF(GENERAL!N137=GENERAL!$AI$2,GENERAL!$AI$2,CONCATENATE(OBSERVACIONES!M136,"
ESTADO DE POSTVENTAS:  ",GENERAL!N137))</f>
        <v>OK
ESTADO DE POSTVENTAS:  POSTVENTA CORREGIDA</v>
      </c>
      <c r="N136" s="51" t="str">
        <f>+IF(GENERAL!O137=GENERAL!$AI$2,GENERAL!$AI$2,CONCATENATE(OBSERVACIONES!N136,"
ESTADO DE POSTVENTAS:  ",GENERAL!O137))</f>
        <v>OK
ESTADO DE POSTVENTAS:  POSTVENTA CORREGIDA</v>
      </c>
      <c r="O136" s="51" t="str">
        <f>+IF(GENERAL!P137=GENERAL!$AI$2,GENERAL!$AI$2,CONCATENATE(OBSERVACIONES!O136,"
ESTADO DE POSTVENTAS:  ",GENERAL!P137))</f>
        <v>OK
ESTADO DE POSTVENTAS:  POSTVENTA CORREGIDA</v>
      </c>
      <c r="P136" s="70" t="str">
        <f>+IF(GENERAL!Q137=GENERAL!$AI$2,GENERAL!$AI$2,CONCATENATE(OBSERVACIONES!P136,"
ESTADO DE POSTVENTAS:  ",GENERAL!Q137))</f>
        <v>OK
ESTADO DE POSTVENTAS:  POSTVENTA CORREGIDA</v>
      </c>
      <c r="Q136" s="70" t="str">
        <f>+IF(GENERAL!R137=GENERAL!$AI$2,GENERAL!$AI$2,CONCATENATE(OBSERVACIONES!Q136,"
ESTADO DE POSTVENTAS:  ",GENERAL!R137))</f>
        <v>DETALLE CAMBIO
ESTADO DE POSTVENTAS:  TIENE POSTVENTA</v>
      </c>
      <c r="R136" s="51" t="str">
        <f>+IF(GENERAL!S137=GENERAL!$AI$2,GENERAL!$AI$2,CONCATENATE(OBSERVACIONES!R136,"
ESTADO DE POSTVENTAS:  ",GENERAL!S137))</f>
        <v>OK
ESTADO DE POSTVENTAS:  POSTVENTA CORREGIDA</v>
      </c>
      <c r="S136" s="51" t="str">
        <f>+IF(GENERAL!T137=GENERAL!$AI$2,GENERAL!$AI$2,CONCATENATE(OBSERVACIONES!S136,"
ESTADO DE POSTVENTAS:  ",GENERAL!T137))</f>
        <v>OK
ESTADO DE POSTVENTAS:  POSTVENTA CORREGIDA</v>
      </c>
      <c r="T136" s="51" t="str">
        <f>+IF(GENERAL!U137=GENERAL!$AI$2,GENERAL!$AI$2,CONCATENATE(OBSERVACIONES!T136,"
ESTADO DE POSTVENTAS:  ",GENERAL!U137))</f>
        <v>OK
ESTADO DE POSTVENTAS:  POSTVENTA CORREGIDA</v>
      </c>
      <c r="U136" s="70" t="str">
        <f>+IF(GENERAL!V137=GENERAL!$AI$2,GENERAL!$AI$2,CONCATENATE(OBSERVACIONES!U136,"
ESTADO DE POSTVENTAS:  ",GENERAL!V137))</f>
        <v>DETALLE FIJADO
ESTADO DE POSTVENTAS:  TIENE POSTVENTA</v>
      </c>
      <c r="V136" s="51" t="str">
        <f>+IF(GENERAL!W137=GENERAL!$AI$2,GENERAL!$AI$2,CONCATENATE(OBSERVACIONES!V136,"
ESTADO DE POSTVENTAS:  ",GENERAL!W137))</f>
        <v>OK
ESTADO DE POSTVENTAS:  POSTVENTA CORREGIDA</v>
      </c>
      <c r="W136" s="70" t="str">
        <f>+IF(GENERAL!V137=GENERAL!$AI$2,GENERAL!$AI$2,CONCATENATE(OBSERVACIONES!W136,"
ESTADO DE POSTVENTAS:  ",GENERAL!V137))</f>
        <v>OK
ESTADO DE POSTVENTAS:  TIENE POSTVENTA</v>
      </c>
      <c r="X136" s="51" t="str">
        <f>+IF(GENERAL!W137=GENERAL!$AI$2,GENERAL!$AI$2,CONCATENATE(OBSERVACIONES!X136,"
ESTADO DE POSTVENTAS:  ",GENERAL!W137))</f>
        <v>OK
ESTADO DE POSTVENTAS:  POSTVENTA CORREGIDA</v>
      </c>
      <c r="Y136" s="51" t="str">
        <f>+IF(GENERAL!Z137=GENERAL!$AI$2,GENERAL!$AI$2,CONCATENATE(OBSERVACIONES!Y136,"
ESTADO DE POSTVENTAS:  ",GENERAL!Z137))</f>
        <v>OK
ESTADO DE POSTVENTAS:  POSTVENTA CORREGIDA</v>
      </c>
      <c r="Z136" s="51" t="str">
        <f>+IF(GENERAL!AA137=GENERAL!$AI$2,GENERAL!$AI$2,CONCATENATE(OBSERVACIONES!Z136,"
ESTADO DE POSTVENTAS:  ",GENERAL!AA137))</f>
        <v>OK
ESTADO DE POSTVENTAS:  POSTVENTA CORREGIDA</v>
      </c>
      <c r="AA136" s="51" t="str">
        <f>+IF(GENERAL!AB137=GENERAL!$AI$2,GENERAL!$AI$2,CONCATENATE(OBSERVACIONES!AA136,"
ESTADO DE POSTVENTAS:  ",GENERAL!AB137))</f>
        <v>OK
ESTADO DE POSTVENTAS:  POSTVENTA CORREGIDA</v>
      </c>
      <c r="AB136" s="70" t="str">
        <f>+IF(GENERAL!AC137=GENERAL!$AI$2,GENERAL!$AI$2,CONCATENATE(OBSERVACIONES!AB136,"
ESTADO DE POSTVENTAS:  ",GENERAL!AC137))</f>
        <v>OK
ESTADO DE POSTVENTAS:  POSTVENTA CORREGIDA</v>
      </c>
      <c r="AC136" s="70" t="str">
        <f>+IF(GENERAL!AD137=GENERAL!$AI$2,GENERAL!$AI$2,CONCATENATE(OBSERVACIONES!AC136,"
ESTADO DE POSTVENTAS:  ",GENERAL!AD137))</f>
        <v>OK
ESTADO DE POSTVENTAS:  POSTVENTA CORREGIDA</v>
      </c>
      <c r="AD136" s="51" t="str">
        <f>+IF(GENERAL!AE137=GENERAL!$AI$2,GENERAL!$AI$2,CONCATENATE(OBSERVACIONES!AD136,"
ESTADO DE POSTVENTAS:  ",GENERAL!AE137))</f>
        <v>OK
ESTADO DE POSTVENTAS:  POSTVENTA CORREGIDA</v>
      </c>
      <c r="AE136" s="51" t="str">
        <f>+IF(GENERAL!AF137=GENERAL!$AI$2,GENERAL!$AI$2,CONCATENATE(OBSERVACIONES!AE136,"
ESTADO DE POSTVENTAS:  ",GENERAL!AF137))</f>
        <v>OK
ESTADO DE POSTVENTAS:  POSTVENTA CORREGIDA</v>
      </c>
      <c r="AF136" s="51" t="str">
        <f>+IF(GENERAL!AG137=GENERAL!$AI$2,GENERAL!$AI$2,CONCATENATE(OBSERVACIONES!AF136,"
ESTADO DE POSTVENTAS:  ",GENERAL!AG137))</f>
        <v>OK
ESTADO DE POSTVENTAS:  POSTVENTA CORREGIDA</v>
      </c>
      <c r="AG136" s="51" t="str">
        <f>+IF(GENERAL!AH137=GENERAL!$AI$2,GENERAL!$AI$2,CONCATENATE(OBSERVACIONES!AG136,"
ESTADO DE POSTVENTAS:  ",GENERAL!AH137))</f>
        <v>OK
ESTADO DE POSTVENTAS:  POSTVENTA CORREGIDA</v>
      </c>
      <c r="AH136" s="51" t="str">
        <f>+IF(GENERAL!AI137=GENERAL!$AI$2,GENERAL!$AI$2,CONCATENATE(OBSERVACIONES!AH136,"
ESTADO DE POSTVENTAS:  ",GENERAL!AI137))</f>
        <v>OK
ESTADO DE POSTVENTAS:  POSTVENTA CORREGIDA</v>
      </c>
      <c r="AI136" s="51" t="str">
        <f>+IF(GENERAL!AG137=GENERAL!$AI$2,GENERAL!$AI$2,CONCATENATE(OBSERVACIONES!AF136,"
ESTADO DE POSTVENTAS:  ",GENERAL!AG137))</f>
        <v>OK
ESTADO DE POSTVENTAS:  POSTVENTA CORREGIDA</v>
      </c>
      <c r="AJ136" s="51" t="str">
        <f>+IF(GENERAL!AI137=GENERAL!$AI$2,GENERAL!$AI$2,CONCATENATE(OBSERVACIONES!AH136,"
ESTADO DE POSTVENTAS:  ",GENERAL!AI137))</f>
        <v>OK
ESTADO DE POSTVENTAS:  POSTVENTA CORREGIDA</v>
      </c>
      <c r="AK136" s="51" t="str">
        <f>+IF(GENERAL!AJ137=GENERAL!$AI$2,GENERAL!$AI$2,CONCATENATE(OBSERVACIONES!AI136,"
ESTADO DE POSTVENTAS:  ",GENERAL!AJ137))</f>
        <v>OK
ESTADO DE POSTVENTAS:  POSTVENTA CORREGIDA</v>
      </c>
      <c r="AL136" s="51" t="str">
        <f>+IF(GENERAL!AK137=GENERAL!$AI$2,GENERAL!$AI$2,CONCATENATE(OBSERVACIONES!AJ136,"
ESTADO DE POSTVENTAS:  ",GENERAL!AK137))</f>
        <v>OK
ESTADO DE POSTVENTAS:  POSTVENTA CORREGIDA</v>
      </c>
      <c r="AM136" s="51" t="str">
        <f>+IF(GENERAL!AN137=GENERAL!$AI$2,GENERAL!$AI$2,CONCATENATE(OBSERVACIONES!AM136,"
ESTADO DE POSTVENTAS:  ",GENERAL!AN137))</f>
        <v>OK
ESTADO DE POSTVENTAS:  POSTVENTA CORREGIDA</v>
      </c>
      <c r="AN136" s="37">
        <v>6</v>
      </c>
      <c r="AO136" s="37">
        <v>5</v>
      </c>
      <c r="AP136" s="37">
        <v>3</v>
      </c>
      <c r="AQ136" s="37">
        <v>2</v>
      </c>
      <c r="AR136" s="43">
        <v>12</v>
      </c>
      <c r="AS136" s="40">
        <v>12</v>
      </c>
      <c r="AT136" s="37">
        <f>COUNTIFS($D$5:$AM$5,"&lt;&gt;"&amp;CODICIONALES!$A$1,$D$5:$AM$5,"&lt;&gt;"&amp;CODICIONALES!$A$2,$D$5:$AM$5,"&lt;&gt;"&amp;CODICIONALES!$B$2,$D$5:$AM$5,"&lt;&gt;"&amp;CODICIONALES!$C$2)</f>
        <v>6</v>
      </c>
      <c r="AU136" s="43">
        <f>COUNTIFS(D136:AM136,CODICIONALES!$A$2)</f>
        <v>30</v>
      </c>
      <c r="AV136" s="40">
        <f t="shared" si="2"/>
        <v>0</v>
      </c>
    </row>
    <row r="137" spans="1:48" ht="51" customHeight="1" x14ac:dyDescent="0.25">
      <c r="A137" s="110"/>
      <c r="B137" s="2">
        <v>133</v>
      </c>
      <c r="C137" s="21" t="s">
        <v>55</v>
      </c>
      <c r="D137" s="51" t="str">
        <f>+IF(GENERAL!E138=GENERAL!$AI$2,GENERAL!$AI$2,CONCATENATE(OBSERVACIONES!D137,"
ESTADO DE POSTVENTAS:  ",GENERAL!E138))</f>
        <v>NO ENTREGADO
ESTADO DE POSTVENTAS:  TIENE POSTVENTA</v>
      </c>
      <c r="E137" s="51" t="str">
        <f>+IF(GENERAL!F138=GENERAL!$AI$2,GENERAL!$AI$2,CONCATENATE(OBSERVACIONES!E137,"
ESTADO DE POSTVENTAS:  ",GENERAL!F138))</f>
        <v>OK
ESTADO DE POSTVENTAS:  POSTVENTA CORREGIDA</v>
      </c>
      <c r="F137" s="51" t="str">
        <f>+IF(GENERAL!G138=GENERAL!$AI$2,GENERAL!$AI$2,CONCATENATE(OBSERVACIONES!F137,"
ESTADO DE POSTVENTAS:  ",GENERAL!G138))</f>
        <v>OK
ESTADO DE POSTVENTAS:  POSTVENTA CORREGIDA</v>
      </c>
      <c r="G137" s="51" t="str">
        <f>+IF(GENERAL!H138=GENERAL!$AI$2,GENERAL!$AI$2,CONCATENATE(OBSERVACIONES!G137,"
ESTADO DE POSTVENTAS:  ",GENERAL!H138))</f>
        <v>NO ENTREGADO
ESTADO DE POSTVENTAS:  TIENE POSTVENTA</v>
      </c>
      <c r="H137" s="51" t="str">
        <f>+IF(GENERAL!I138=GENERAL!$AI$2,GENERAL!$AI$2,CONCATENATE(OBSERVACIONES!H137,"
ESTADO DE POSTVENTAS:  ",GENERAL!I138))</f>
        <v>OK
ESTADO DE POSTVENTAS:  POSTVENTA CORREGIDA</v>
      </c>
      <c r="I137" s="51" t="str">
        <f>+IF(GENERAL!J138=GENERAL!$AI$2,GENERAL!$AI$2,CONCATENATE(OBSERVACIONES!I137,"
ESTADO DE POSTVENTAS:  ",GENERAL!J138))</f>
        <v>OK
ESTADO DE POSTVENTAS:  POSTVENTA CORREGIDA</v>
      </c>
      <c r="J137" s="51" t="str">
        <f>+IF(GENERAL!K138=GENERAL!$AI$2,GENERAL!$AI$2,CONCATENATE(OBSERVACIONES!J137,"
ESTADO DE POSTVENTAS:  ",GENERAL!K138))</f>
        <v>OK
ESTADO DE POSTVENTAS:  POSTVENTA CORREGIDA</v>
      </c>
      <c r="K137" s="51" t="str">
        <f>+IF(GENERAL!L138=GENERAL!$AI$2,GENERAL!$AI$2,CONCATENATE(OBSERVACIONES!K137,"
ESTADO DE POSTVENTAS:  ",GENERAL!L138))</f>
        <v>OK
ESTADO DE POSTVENTAS:  POSTVENTA CORREGIDA</v>
      </c>
      <c r="L137" s="51" t="str">
        <f>+IF(GENERAL!M138=GENERAL!$AI$2,GENERAL!$AI$2,CONCATENATE(OBSERVACIONES!L137,"
ESTADO DE POSTVENTAS:  ",GENERAL!M138))</f>
        <v>OK
ESTADO DE POSTVENTAS:  POSTVENTA CORREGIDA</v>
      </c>
      <c r="M137" s="70" t="str">
        <f>+IF(GENERAL!N138=GENERAL!$AI$2,GENERAL!$AI$2,CONCATENATE(OBSERVACIONES!M137,"
ESTADO DE POSTVENTAS:  ",GENERAL!N138))</f>
        <v>OK
ESTADO DE POSTVENTAS:  POSTVENTA CORREGIDA</v>
      </c>
      <c r="N137" s="51" t="str">
        <f>+IF(GENERAL!O138=GENERAL!$AI$2,GENERAL!$AI$2,CONCATENATE(OBSERVACIONES!N137,"
ESTADO DE POSTVENTAS:  ",GENERAL!O138))</f>
        <v>OK
ESTADO DE POSTVENTAS:  POSTVENTA CORREGIDA</v>
      </c>
      <c r="O137" s="51" t="str">
        <f>+IF(GENERAL!P138=GENERAL!$AI$2,GENERAL!$AI$2,CONCATENATE(OBSERVACIONES!O137,"
ESTADO DE POSTVENTAS:  ",GENERAL!P138))</f>
        <v>OK
ESTADO DE POSTVENTAS:  POSTVENTA CORREGIDA</v>
      </c>
      <c r="P137" s="70" t="str">
        <f>+IF(GENERAL!Q138=GENERAL!$AI$2,GENERAL!$AI$2,CONCATENATE(OBSERVACIONES!P137,"
ESTADO DE POSTVENTAS:  ",GENERAL!Q138))</f>
        <v>OK
ESTADO DE POSTVENTAS:  POSTVENTA CORREGIDA</v>
      </c>
      <c r="Q137" s="70" t="str">
        <f>+IF(GENERAL!R138=GENERAL!$AI$2,GENERAL!$AI$2,CONCATENATE(OBSERVACIONES!Q137,"
ESTADO DE POSTVENTAS:  ",GENERAL!R138))</f>
        <v>OK
ESTADO DE POSTVENTAS:  POSTVENTA CORREGIDA</v>
      </c>
      <c r="R137" s="51" t="str">
        <f>+IF(GENERAL!S138=GENERAL!$AI$2,GENERAL!$AI$2,CONCATENATE(OBSERVACIONES!R137,"
ESTADO DE POSTVENTAS:  ",GENERAL!S138))</f>
        <v>OK
ESTADO DE POSTVENTAS:  POSTVENTA CORREGIDA</v>
      </c>
      <c r="S137" s="51" t="str">
        <f>+IF(GENERAL!T138=GENERAL!$AI$2,GENERAL!$AI$2,CONCATENATE(OBSERVACIONES!S137,"
ESTADO DE POSTVENTAS:  ",GENERAL!T138))</f>
        <v>OK
ESTADO DE POSTVENTAS:  POSTVENTA CORREGIDA</v>
      </c>
      <c r="T137" s="51" t="str">
        <f>+IF(GENERAL!U138=GENERAL!$AI$2,GENERAL!$AI$2,CONCATENATE(OBSERVACIONES!T137,"
ESTADO DE POSTVENTAS:  ",GENERAL!U138))</f>
        <v>OK
ESTADO DE POSTVENTAS:  POSTVENTA CORREGIDA</v>
      </c>
      <c r="U137" s="51" t="str">
        <f>+IF(GENERAL!V138=GENERAL!$AI$2,GENERAL!$AI$2,CONCATENATE(OBSERVACIONES!U137,"
ESTADO DE POSTVENTAS:  ",GENERAL!V138))</f>
        <v>OK
ESTADO DE POSTVENTAS:  POSTVENTA CORREGIDA</v>
      </c>
      <c r="V137" s="51" t="str">
        <f>+IF(GENERAL!W138=GENERAL!$AI$2,GENERAL!$AI$2,CONCATENATE(OBSERVACIONES!V137,"
ESTADO DE POSTVENTAS:  ",GENERAL!W138))</f>
        <v>OK
ESTADO DE POSTVENTAS:  POSTVENTA CORREGIDA</v>
      </c>
      <c r="W137" s="51" t="str">
        <f>+IF(GENERAL!V138=GENERAL!$AI$2,GENERAL!$AI$2,CONCATENATE(OBSERVACIONES!W137,"
ESTADO DE POSTVENTAS:  ",GENERAL!V138))</f>
        <v>OK
ESTADO DE POSTVENTAS:  POSTVENTA CORREGIDA</v>
      </c>
      <c r="X137" s="51" t="str">
        <f>+IF(GENERAL!W138=GENERAL!$AI$2,GENERAL!$AI$2,CONCATENATE(OBSERVACIONES!X137,"
ESTADO DE POSTVENTAS:  ",GENERAL!W138))</f>
        <v>OK
ESTADO DE POSTVENTAS:  POSTVENTA CORREGIDA</v>
      </c>
      <c r="Y137" s="51" t="str">
        <f>+IF(GENERAL!Z138=GENERAL!$AI$2,GENERAL!$AI$2,CONCATENATE(OBSERVACIONES!Y137,"
ESTADO DE POSTVENTAS:  ",GENERAL!Z138))</f>
        <v>OK
ESTADO DE POSTVENTAS:  POSTVENTA CORREGIDA</v>
      </c>
      <c r="Z137" s="51" t="str">
        <f>+IF(GENERAL!AA138=GENERAL!$AI$2,GENERAL!$AI$2,CONCATENATE(OBSERVACIONES!Z137,"
ESTADO DE POSTVENTAS:  ",GENERAL!AA138))</f>
        <v>OK
ESTADO DE POSTVENTAS:  POSTVENTA CORREGIDA</v>
      </c>
      <c r="AA137" s="51" t="str">
        <f>+IF(GENERAL!AB138=GENERAL!$AI$2,GENERAL!$AI$2,CONCATENATE(OBSERVACIONES!AA137,"
ESTADO DE POSTVENTAS:  ",GENERAL!AB138))</f>
        <v>OK
ESTADO DE POSTVENTAS:  POSTVENTA CORREGIDA</v>
      </c>
      <c r="AB137" s="51" t="str">
        <f>+IF(GENERAL!AC138=GENERAL!$AI$2,GENERAL!$AI$2,CONCATENATE(OBSERVACIONES!AB137,"
ESTADO DE POSTVENTAS:  ",GENERAL!AC138))</f>
        <v>OK
ESTADO DE POSTVENTAS:  POSTVENTA CORREGIDA</v>
      </c>
      <c r="AC137" s="51" t="str">
        <f>+IF(GENERAL!AD138=GENERAL!$AI$2,GENERAL!$AI$2,CONCATENATE(OBSERVACIONES!AC137,"
ESTADO DE POSTVENTAS:  ",GENERAL!AD138))</f>
        <v>OK
ESTADO DE POSTVENTAS:  POSTVENTA CORREGIDA</v>
      </c>
      <c r="AD137" s="51" t="str">
        <f>+IF(GENERAL!AE138=GENERAL!$AI$2,GENERAL!$AI$2,CONCATENATE(OBSERVACIONES!AD137,"
ESTADO DE POSTVENTAS:  ",GENERAL!AE138))</f>
        <v>OK
ESTADO DE POSTVENTAS:  POSTVENTA CORREGIDA</v>
      </c>
      <c r="AE137" s="51" t="str">
        <f>+IF(GENERAL!AF138=GENERAL!$AI$2,GENERAL!$AI$2,CONCATENATE(OBSERVACIONES!AE137,"
ESTADO DE POSTVENTAS:  ",GENERAL!AF138))</f>
        <v>OK
ESTADO DE POSTVENTAS:  POSTVENTA CORREGIDA</v>
      </c>
      <c r="AF137" s="51" t="str">
        <f>+IF(GENERAL!AG138=GENERAL!$AI$2,GENERAL!$AI$2,CONCATENATE(OBSERVACIONES!AF137,"
ESTADO DE POSTVENTAS:  ",GENERAL!AG138))</f>
        <v>OK
ESTADO DE POSTVENTAS:  POSTVENTA CORREGIDA</v>
      </c>
      <c r="AG137" s="51" t="str">
        <f>+IF(GENERAL!AH138=GENERAL!$AI$2,GENERAL!$AI$2,CONCATENATE(OBSERVACIONES!AG137,"
ESTADO DE POSTVENTAS:  ",GENERAL!AH138))</f>
        <v>OK
ESTADO DE POSTVENTAS:  POSTVENTA CORREGIDA</v>
      </c>
      <c r="AH137" s="51" t="str">
        <f>+IF(GENERAL!AI138=GENERAL!$AI$2,GENERAL!$AI$2,CONCATENATE(OBSERVACIONES!AH137,"
ESTADO DE POSTVENTAS:  ",GENERAL!AI138))</f>
        <v>OK
ESTADO DE POSTVENTAS:  POSTVENTA CORREGIDA</v>
      </c>
      <c r="AI137" s="51" t="str">
        <f>+IF(GENERAL!AG138=GENERAL!$AI$2,GENERAL!$AI$2,CONCATENATE(OBSERVACIONES!AF137,"
ESTADO DE POSTVENTAS:  ",GENERAL!AG138))</f>
        <v>OK
ESTADO DE POSTVENTAS:  POSTVENTA CORREGIDA</v>
      </c>
      <c r="AJ137" s="51" t="str">
        <f>+IF(GENERAL!AI138=GENERAL!$AI$2,GENERAL!$AI$2,CONCATENATE(OBSERVACIONES!AH137,"
ESTADO DE POSTVENTAS:  ",GENERAL!AI138))</f>
        <v>OK
ESTADO DE POSTVENTAS:  POSTVENTA CORREGIDA</v>
      </c>
      <c r="AK137" s="51" t="str">
        <f>+IF(GENERAL!AJ138=GENERAL!$AI$2,GENERAL!$AI$2,CONCATENATE(OBSERVACIONES!AI137,"
ESTADO DE POSTVENTAS:  ",GENERAL!AJ138))</f>
        <v>OK
ESTADO DE POSTVENTAS:  POSTVENTA CORREGIDA</v>
      </c>
      <c r="AL137" s="51" t="str">
        <f>+IF(GENERAL!AK138=GENERAL!$AI$2,GENERAL!$AI$2,CONCATENATE(OBSERVACIONES!AJ137,"
ESTADO DE POSTVENTAS:  ",GENERAL!AK138))</f>
        <v>OK
ESTADO DE POSTVENTAS:  POSTVENTA CORREGIDA</v>
      </c>
      <c r="AM137" s="51" t="str">
        <f>+IF(GENERAL!AN138=GENERAL!$AI$2,GENERAL!$AI$2,CONCATENATE(OBSERVACIONES!AM137,"
ESTADO DE POSTVENTAS:  ",GENERAL!AN138))</f>
        <v>OK
ESTADO DE POSTVENTAS:  POSTVENTA CORREGIDA</v>
      </c>
      <c r="AN137" s="37">
        <v>0</v>
      </c>
      <c r="AO137" s="37">
        <v>11</v>
      </c>
      <c r="AP137" s="37">
        <v>3</v>
      </c>
      <c r="AQ137" s="37">
        <v>0</v>
      </c>
      <c r="AR137" s="43">
        <v>14</v>
      </c>
      <c r="AS137" s="40">
        <v>12</v>
      </c>
      <c r="AT137" s="37">
        <f>COUNTIFS($D$5:$AM$5,"&lt;&gt;"&amp;CODICIONALES!$A$1,$D$5:$AM$5,"&lt;&gt;"&amp;CODICIONALES!$A$2,$D$5:$AM$5,"&lt;&gt;"&amp;CODICIONALES!$B$2,$D$5:$AM$5,"&lt;&gt;"&amp;CODICIONALES!$C$2)</f>
        <v>6</v>
      </c>
      <c r="AU137" s="43">
        <f>COUNTIFS(D137:AM137,CODICIONALES!$A$2)</f>
        <v>34</v>
      </c>
      <c r="AV137" s="40">
        <f t="shared" si="2"/>
        <v>-4</v>
      </c>
    </row>
    <row r="138" spans="1:48" ht="51" customHeight="1" x14ac:dyDescent="0.25">
      <c r="A138" s="110"/>
      <c r="B138" s="2">
        <v>134</v>
      </c>
      <c r="C138" s="21" t="s">
        <v>57</v>
      </c>
      <c r="D138" s="51" t="str">
        <f>+IF(GENERAL!E139=GENERAL!$AI$2,GENERAL!$AI$2,CONCATENATE(OBSERVACIONES!D138,"
ESTADO DE POSTVENTAS:  ",GENERAL!E139))</f>
        <v>NO ENTREGADO
ESTADO DE POSTVENTAS:  TIENE POSTVENTA</v>
      </c>
      <c r="E138" s="51" t="str">
        <f>+IF(GENERAL!F139=GENERAL!$AI$2,GENERAL!$AI$2,CONCATENATE(OBSERVACIONES!E138,"
ESTADO DE POSTVENTAS:  ",GENERAL!F139))</f>
        <v>OK
ESTADO DE POSTVENTAS:  POSTVENTA CORREGIDA</v>
      </c>
      <c r="F138" s="51" t="str">
        <f>+IF(GENERAL!G139=GENERAL!$AI$2,GENERAL!$AI$2,CONCATENATE(OBSERVACIONES!F138,"
ESTADO DE POSTVENTAS:  ",GENERAL!G139))</f>
        <v>OK
ESTADO DE POSTVENTAS:  POSTVENTA CORREGIDA</v>
      </c>
      <c r="G138" s="51" t="str">
        <f>+IF(GENERAL!H139=GENERAL!$AI$2,GENERAL!$AI$2,CONCATENATE(OBSERVACIONES!G138,"
ESTADO DE POSTVENTAS:  ",GENERAL!H139))</f>
        <v>NO ENTREGADO
ESTADO DE POSTVENTAS:  TIENE POSTVENTA</v>
      </c>
      <c r="H138" s="51" t="str">
        <f>+IF(GENERAL!I139=GENERAL!$AI$2,GENERAL!$AI$2,CONCATENATE(OBSERVACIONES!H138,"
ESTADO DE POSTVENTAS:  ",GENERAL!I139))</f>
        <v>OK
ESTADO DE POSTVENTAS:  POSTVENTA CORREGIDA</v>
      </c>
      <c r="I138" s="51" t="str">
        <f>+IF(GENERAL!J139=GENERAL!$AI$2,GENERAL!$AI$2,CONCATENATE(OBSERVACIONES!I138,"
ESTADO DE POSTVENTAS:  ",GENERAL!J139))</f>
        <v>OK
ESTADO DE POSTVENTAS:  POSTVENTA CORREGIDA</v>
      </c>
      <c r="J138" s="51" t="str">
        <f>+IF(GENERAL!K139=GENERAL!$AI$2,GENERAL!$AI$2,CONCATENATE(OBSERVACIONES!J138,"
ESTADO DE POSTVENTAS:  ",GENERAL!K139))</f>
        <v>OK
ESTADO DE POSTVENTAS:  POSTVENTA CORREGIDA</v>
      </c>
      <c r="K138" s="51" t="str">
        <f>+IF(GENERAL!L139=GENERAL!$AI$2,GENERAL!$AI$2,CONCATENATE(OBSERVACIONES!K138,"
ESTADO DE POSTVENTAS:  ",GENERAL!L139))</f>
        <v>OK
ESTADO DE POSTVENTAS:  POSTVENTA CORREGIDA</v>
      </c>
      <c r="L138" s="51" t="str">
        <f>+IF(GENERAL!M139=GENERAL!$AI$2,GENERAL!$AI$2,CONCATENATE(OBSERVACIONES!L138,"
ESTADO DE POSTVENTAS:  ",GENERAL!M139))</f>
        <v>OK
ESTADO DE POSTVENTAS:  POSTVENTA CORREGIDA</v>
      </c>
      <c r="M138" s="70" t="str">
        <f>+IF(GENERAL!N139=GENERAL!$AI$2,GENERAL!$AI$2,CONCATENATE(OBSERVACIONES!M138,"
ESTADO DE POSTVENTAS:  ",GENERAL!N139))</f>
        <v>OK
ESTADO DE POSTVENTAS:  POSTVENTA CORREGIDA</v>
      </c>
      <c r="N138" s="51" t="str">
        <f>+IF(GENERAL!O139=GENERAL!$AI$2,GENERAL!$AI$2,CONCATENATE(OBSERVACIONES!N138,"
ESTADO DE POSTVENTAS:  ",GENERAL!O139))</f>
        <v>OK
ESTADO DE POSTVENTAS:  POSTVENTA CORREGIDA</v>
      </c>
      <c r="O138" s="51" t="str">
        <f>+IF(GENERAL!P139=GENERAL!$AI$2,GENERAL!$AI$2,CONCATENATE(OBSERVACIONES!O138,"
ESTADO DE POSTVENTAS:  ",GENERAL!P139))</f>
        <v>OK
ESTADO DE POSTVENTAS:  POSTVENTA CORREGIDA</v>
      </c>
      <c r="P138" s="70" t="str">
        <f>+IF(GENERAL!Q139=GENERAL!$AI$2,GENERAL!$AI$2,CONCATENATE(OBSERVACIONES!P138,"
ESTADO DE POSTVENTAS:  ",GENERAL!Q139))</f>
        <v>OK
ESTADO DE POSTVENTAS:  POSTVENTA CORREGIDA</v>
      </c>
      <c r="Q138" s="70" t="str">
        <f>+IF(GENERAL!R139=GENERAL!$AI$2,GENERAL!$AI$2,CONCATENATE(OBSERVACIONES!Q138,"
ESTADO DE POSTVENTAS:  ",GENERAL!R139))</f>
        <v>OK
ESTADO DE POSTVENTAS:  POSTVENTA CORREGIDA</v>
      </c>
      <c r="R138" s="51" t="str">
        <f>+IF(GENERAL!S139=GENERAL!$AI$2,GENERAL!$AI$2,CONCATENATE(OBSERVACIONES!R138,"
ESTADO DE POSTVENTAS:  ",GENERAL!S139))</f>
        <v>OK
ESTADO DE POSTVENTAS:  POSTVENTA CORREGIDA</v>
      </c>
      <c r="S138" s="51" t="str">
        <f>+IF(GENERAL!T139=GENERAL!$AI$2,GENERAL!$AI$2,CONCATENATE(OBSERVACIONES!S138,"
ESTADO DE POSTVENTAS:  ",GENERAL!T139))</f>
        <v>OK
ESTADO DE POSTVENTAS:  POSTVENTA CORREGIDA</v>
      </c>
      <c r="T138" s="51" t="str">
        <f>+IF(GENERAL!U139=GENERAL!$AI$2,GENERAL!$AI$2,CONCATENATE(OBSERVACIONES!T138,"
ESTADO DE POSTVENTAS:  ",GENERAL!U139))</f>
        <v>OK
ESTADO DE POSTVENTAS:  POSTVENTA CORREGIDA</v>
      </c>
      <c r="U138" s="51" t="str">
        <f>+IF(GENERAL!V139=GENERAL!$AI$2,GENERAL!$AI$2,CONCATENATE(OBSERVACIONES!U138,"
ESTADO DE POSTVENTAS:  ",GENERAL!V139))</f>
        <v>OK
ESTADO DE POSTVENTAS:  POSTVENTA CORREGIDA</v>
      </c>
      <c r="V138" s="51" t="str">
        <f>+IF(GENERAL!W139=GENERAL!$AI$2,GENERAL!$AI$2,CONCATENATE(OBSERVACIONES!V138,"
ESTADO DE POSTVENTAS:  ",GENERAL!W139))</f>
        <v>OK
ESTADO DE POSTVENTAS:  POSTVENTA CORREGIDA</v>
      </c>
      <c r="W138" s="51" t="str">
        <f>+IF(GENERAL!V139=GENERAL!$AI$2,GENERAL!$AI$2,CONCATENATE(OBSERVACIONES!W138,"
ESTADO DE POSTVENTAS:  ",GENERAL!V139))</f>
        <v>OK
ESTADO DE POSTVENTAS:  POSTVENTA CORREGIDA</v>
      </c>
      <c r="X138" s="51" t="str">
        <f>+IF(GENERAL!W139=GENERAL!$AI$2,GENERAL!$AI$2,CONCATENATE(OBSERVACIONES!X138,"
ESTADO DE POSTVENTAS:  ",GENERAL!W139))</f>
        <v>OK
ESTADO DE POSTVENTAS:  POSTVENTA CORREGIDA</v>
      </c>
      <c r="Y138" s="51" t="str">
        <f>+IF(GENERAL!Z139=GENERAL!$AI$2,GENERAL!$AI$2,CONCATENATE(OBSERVACIONES!Y138,"
ESTADO DE POSTVENTAS:  ",GENERAL!Z139))</f>
        <v>OK
ESTADO DE POSTVENTAS:  POSTVENTA CORREGIDA</v>
      </c>
      <c r="Z138" s="51" t="str">
        <f>+IF(GENERAL!AA139=GENERAL!$AI$2,GENERAL!$AI$2,CONCATENATE(OBSERVACIONES!Z138,"
ESTADO DE POSTVENTAS:  ",GENERAL!AA139))</f>
        <v>OK
ESTADO DE POSTVENTAS:  POSTVENTA CORREGIDA</v>
      </c>
      <c r="AA138" s="51" t="str">
        <f>+IF(GENERAL!AB139=GENERAL!$AI$2,GENERAL!$AI$2,CONCATENATE(OBSERVACIONES!AA138,"
ESTADO DE POSTVENTAS:  ",GENERAL!AB139))</f>
        <v>OK
ESTADO DE POSTVENTAS:  POSTVENTA CORREGIDA</v>
      </c>
      <c r="AB138" s="51" t="str">
        <f>+IF(GENERAL!AC139=GENERAL!$AI$2,GENERAL!$AI$2,CONCATENATE(OBSERVACIONES!AB138,"
ESTADO DE POSTVENTAS:  ",GENERAL!AC139))</f>
        <v>OK
ESTADO DE POSTVENTAS:  POSTVENTA CORREGIDA</v>
      </c>
      <c r="AC138" s="51" t="str">
        <f>+IF(GENERAL!AD139=GENERAL!$AI$2,GENERAL!$AI$2,CONCATENATE(OBSERVACIONES!AC138,"
ESTADO DE POSTVENTAS:  ",GENERAL!AD139))</f>
        <v>OK
ESTADO DE POSTVENTAS:  POSTVENTA CORREGIDA</v>
      </c>
      <c r="AD138" s="51" t="str">
        <f>+IF(GENERAL!AE139=GENERAL!$AI$2,GENERAL!$AI$2,CONCATENATE(OBSERVACIONES!AD138,"
ESTADO DE POSTVENTAS:  ",GENERAL!AE139))</f>
        <v>OK
ESTADO DE POSTVENTAS:  POSTVENTA CORREGIDA</v>
      </c>
      <c r="AE138" s="51" t="str">
        <f>+IF(GENERAL!AF139=GENERAL!$AI$2,GENERAL!$AI$2,CONCATENATE(OBSERVACIONES!AE138,"
ESTADO DE POSTVENTAS:  ",GENERAL!AF139))</f>
        <v>OK
ESTADO DE POSTVENTAS:  POSTVENTA CORREGIDA</v>
      </c>
      <c r="AF138" s="51" t="str">
        <f>+IF(GENERAL!AG139=GENERAL!$AI$2,GENERAL!$AI$2,CONCATENATE(OBSERVACIONES!AF138,"
ESTADO DE POSTVENTAS:  ",GENERAL!AG139))</f>
        <v>OK
ESTADO DE POSTVENTAS:  POSTVENTA CORREGIDA</v>
      </c>
      <c r="AG138" s="51" t="str">
        <f>+IF(GENERAL!AH139=GENERAL!$AI$2,GENERAL!$AI$2,CONCATENATE(OBSERVACIONES!AG138,"
ESTADO DE POSTVENTAS:  ",GENERAL!AH139))</f>
        <v>OK
ESTADO DE POSTVENTAS:  POSTVENTA CORREGIDA</v>
      </c>
      <c r="AH138" s="51" t="str">
        <f>+IF(GENERAL!AI139=GENERAL!$AI$2,GENERAL!$AI$2,CONCATENATE(OBSERVACIONES!AH138,"
ESTADO DE POSTVENTAS:  ",GENERAL!AI139))</f>
        <v>OK
ESTADO DE POSTVENTAS:  POSTVENTA CORREGIDA</v>
      </c>
      <c r="AI138" s="51" t="str">
        <f>+IF(GENERAL!AG139=GENERAL!$AI$2,GENERAL!$AI$2,CONCATENATE(OBSERVACIONES!AF138,"
ESTADO DE POSTVENTAS:  ",GENERAL!AG139))</f>
        <v>OK
ESTADO DE POSTVENTAS:  POSTVENTA CORREGIDA</v>
      </c>
      <c r="AJ138" s="51" t="str">
        <f>+IF(GENERAL!AI139=GENERAL!$AI$2,GENERAL!$AI$2,CONCATENATE(OBSERVACIONES!AH138,"
ESTADO DE POSTVENTAS:  ",GENERAL!AI139))</f>
        <v>OK
ESTADO DE POSTVENTAS:  POSTVENTA CORREGIDA</v>
      </c>
      <c r="AK138" s="51" t="str">
        <f>+IF(GENERAL!AJ139=GENERAL!$AI$2,GENERAL!$AI$2,CONCATENATE(OBSERVACIONES!AI138,"
ESTADO DE POSTVENTAS:  ",GENERAL!AJ139))</f>
        <v>OK
ESTADO DE POSTVENTAS:  POSTVENTA CORREGIDA</v>
      </c>
      <c r="AL138" s="51" t="str">
        <f>+IF(GENERAL!AK139=GENERAL!$AI$2,GENERAL!$AI$2,CONCATENATE(OBSERVACIONES!AJ138,"
ESTADO DE POSTVENTAS:  ",GENERAL!AK139))</f>
        <v>OK
ESTADO DE POSTVENTAS:  POSTVENTA CORREGIDA</v>
      </c>
      <c r="AM138" s="51" t="str">
        <f>+IF(GENERAL!AN139=GENERAL!$AI$2,GENERAL!$AI$2,CONCATENATE(OBSERVACIONES!AM138,"
ESTADO DE POSTVENTAS:  ",GENERAL!AN139))</f>
        <v>OK
ESTADO DE POSTVENTAS:  POSTVENTA CORREGIDA</v>
      </c>
      <c r="AN138" s="37">
        <v>0</v>
      </c>
      <c r="AO138" s="37">
        <v>11</v>
      </c>
      <c r="AP138" s="37">
        <v>3</v>
      </c>
      <c r="AQ138" s="37">
        <v>0</v>
      </c>
      <c r="AR138" s="43">
        <v>14</v>
      </c>
      <c r="AS138" s="40">
        <v>12</v>
      </c>
      <c r="AT138" s="37">
        <f>COUNTIFS($D$5:$AM$5,"&lt;&gt;"&amp;CODICIONALES!$A$1,$D$5:$AM$5,"&lt;&gt;"&amp;CODICIONALES!$A$2,$D$5:$AM$5,"&lt;&gt;"&amp;CODICIONALES!$B$2,$D$5:$AM$5,"&lt;&gt;"&amp;CODICIONALES!$C$2)</f>
        <v>6</v>
      </c>
      <c r="AU138" s="43">
        <f>COUNTIFS(D138:AM138,CODICIONALES!$A$2)</f>
        <v>34</v>
      </c>
      <c r="AV138" s="40">
        <f t="shared" si="2"/>
        <v>-4</v>
      </c>
    </row>
    <row r="139" spans="1:48" ht="51" customHeight="1" x14ac:dyDescent="0.25">
      <c r="A139" s="110"/>
      <c r="B139" s="2">
        <v>135</v>
      </c>
      <c r="C139" s="21" t="s">
        <v>59</v>
      </c>
      <c r="D139" s="51" t="str">
        <f>+IF(GENERAL!E140=GENERAL!$AI$2,GENERAL!$AI$2,CONCATENATE(OBSERVACIONES!D139,"
ESTADO DE POSTVENTAS:  ",GENERAL!E140))</f>
        <v>NO ENTREGADO
ESTADO DE POSTVENTAS:  TIENE POSTVENTA</v>
      </c>
      <c r="E139" s="51" t="str">
        <f>+IF(GENERAL!F140=GENERAL!$AI$2,GENERAL!$AI$2,CONCATENATE(OBSERVACIONES!E139,"
ESTADO DE POSTVENTAS:  ",GENERAL!F140))</f>
        <v>OK
ESTADO DE POSTVENTAS:  POSTVENTA CORREGIDA</v>
      </c>
      <c r="F139" s="51" t="str">
        <f>+IF(GENERAL!G140=GENERAL!$AI$2,GENERAL!$AI$2,CONCATENATE(OBSERVACIONES!F139,"
ESTADO DE POSTVENTAS:  ",GENERAL!G140))</f>
        <v>OK
ESTADO DE POSTVENTAS:  POSTVENTA CORREGIDA</v>
      </c>
      <c r="G139" s="51" t="str">
        <f>+IF(GENERAL!H140=GENERAL!$AI$2,GENERAL!$AI$2,CONCATENATE(OBSERVACIONES!G139,"
ESTADO DE POSTVENTAS:  ",GENERAL!H140))</f>
        <v>NO ENTREGADO
ESTADO DE POSTVENTAS:  TIENE POSTVENTA</v>
      </c>
      <c r="H139" s="51" t="str">
        <f>+IF(GENERAL!I140=GENERAL!$AI$2,GENERAL!$AI$2,CONCATENATE(OBSERVACIONES!H139,"
ESTADO DE POSTVENTAS:  ",GENERAL!I140))</f>
        <v>OK
ESTADO DE POSTVENTAS:  POSTVENTA CORREGIDA</v>
      </c>
      <c r="I139" s="51" t="str">
        <f>+IF(GENERAL!J140=GENERAL!$AI$2,GENERAL!$AI$2,CONCATENATE(OBSERVACIONES!I139,"
ESTADO DE POSTVENTAS:  ",GENERAL!J140))</f>
        <v>OK
ESTADO DE POSTVENTAS:  POSTVENTA CORREGIDA</v>
      </c>
      <c r="J139" s="51" t="str">
        <f>+IF(GENERAL!K140=GENERAL!$AI$2,GENERAL!$AI$2,CONCATENATE(OBSERVACIONES!J139,"
ESTADO DE POSTVENTAS:  ",GENERAL!K140))</f>
        <v>OK
ESTADO DE POSTVENTAS:  POSTVENTA CORREGIDA</v>
      </c>
      <c r="K139" s="51" t="str">
        <f>+IF(GENERAL!L140=GENERAL!$AI$2,GENERAL!$AI$2,CONCATENATE(OBSERVACIONES!K139,"
ESTADO DE POSTVENTAS:  ",GENERAL!L140))</f>
        <v>OK
ESTADO DE POSTVENTAS:  POSTVENTA CORREGIDA</v>
      </c>
      <c r="L139" s="51" t="str">
        <f>+IF(GENERAL!M140=GENERAL!$AI$2,GENERAL!$AI$2,CONCATENATE(OBSERVACIONES!L139,"
ESTADO DE POSTVENTAS:  ",GENERAL!M140))</f>
        <v>OK
ESTADO DE POSTVENTAS:  POSTVENTA CORREGIDA</v>
      </c>
      <c r="M139" s="70" t="str">
        <f>+IF(GENERAL!N140=GENERAL!$AI$2,GENERAL!$AI$2,CONCATENATE(OBSERVACIONES!M139,"
ESTADO DE POSTVENTAS:  ",GENERAL!N140))</f>
        <v>OK
ESTADO DE POSTVENTAS:  POSTVENTA CORREGIDA</v>
      </c>
      <c r="N139" s="51" t="str">
        <f>+IF(GENERAL!O140=GENERAL!$AI$2,GENERAL!$AI$2,CONCATENATE(OBSERVACIONES!N139,"
ESTADO DE POSTVENTAS:  ",GENERAL!O140))</f>
        <v>OK
ESTADO DE POSTVENTAS:  POSTVENTA CORREGIDA</v>
      </c>
      <c r="O139" s="51" t="str">
        <f>+IF(GENERAL!P140=GENERAL!$AI$2,GENERAL!$AI$2,CONCATENATE(OBSERVACIONES!O139,"
ESTADO DE POSTVENTAS:  ",GENERAL!P140))</f>
        <v>OK
ESTADO DE POSTVENTAS:  POSTVENTA CORREGIDA</v>
      </c>
      <c r="P139" s="70" t="str">
        <f>+IF(GENERAL!Q140=GENERAL!$AI$2,GENERAL!$AI$2,CONCATENATE(OBSERVACIONES!P139,"
ESTADO DE POSTVENTAS:  ",GENERAL!Q140))</f>
        <v>OK
ESTADO DE POSTVENTAS:  POSTVENTA CORREGIDA</v>
      </c>
      <c r="Q139" s="70" t="str">
        <f>+IF(GENERAL!R140=GENERAL!$AI$2,GENERAL!$AI$2,CONCATENATE(OBSERVACIONES!Q139,"
ESTADO DE POSTVENTAS:  ",GENERAL!R140))</f>
        <v>OK
ESTADO DE POSTVENTAS:  POSTVENTA CORREGIDA</v>
      </c>
      <c r="R139" s="51" t="str">
        <f>+IF(GENERAL!S140=GENERAL!$AI$2,GENERAL!$AI$2,CONCATENATE(OBSERVACIONES!R139,"
ESTADO DE POSTVENTAS:  ",GENERAL!S140))</f>
        <v>OK
ESTADO DE POSTVENTAS:  POSTVENTA CORREGIDA</v>
      </c>
      <c r="S139" s="51" t="str">
        <f>+IF(GENERAL!T140=GENERAL!$AI$2,GENERAL!$AI$2,CONCATENATE(OBSERVACIONES!S139,"
ESTADO DE POSTVENTAS:  ",GENERAL!T140))</f>
        <v>OK
ESTADO DE POSTVENTAS:  POSTVENTA CORREGIDA</v>
      </c>
      <c r="T139" s="51" t="str">
        <f>+IF(GENERAL!U140=GENERAL!$AI$2,GENERAL!$AI$2,CONCATENATE(OBSERVACIONES!T139,"
ESTADO DE POSTVENTAS:  ",GENERAL!U140))</f>
        <v>OK
ESTADO DE POSTVENTAS:  POSTVENTA CORREGIDA</v>
      </c>
      <c r="U139" s="70" t="str">
        <f>+IF(GENERAL!V140=GENERAL!$AI$2,GENERAL!$AI$2,CONCATENATE(OBSERVACIONES!U139,"
ESTADO DE POSTVENTAS:  ",GENERAL!V140))</f>
        <v>DETALLE BALDOSAS
ESTADO DE POSTVENTAS:  TIENE POSTVENTA</v>
      </c>
      <c r="V139" s="51" t="str">
        <f>+IF(GENERAL!W140=GENERAL!$AI$2,GENERAL!$AI$2,CONCATENATE(OBSERVACIONES!V139,"
ESTADO DE POSTVENTAS:  ",GENERAL!W140))</f>
        <v>OK
ESTADO DE POSTVENTAS:  POSTVENTA CORREGIDA</v>
      </c>
      <c r="W139" s="70" t="str">
        <f>+IF(GENERAL!V140=GENERAL!$AI$2,GENERAL!$AI$2,CONCATENATE(OBSERVACIONES!W139,"
ESTADO DE POSTVENTAS:  ",GENERAL!V140))</f>
        <v>OK
ESTADO DE POSTVENTAS:  TIENE POSTVENTA</v>
      </c>
      <c r="X139" s="51" t="str">
        <f>+IF(GENERAL!W140=GENERAL!$AI$2,GENERAL!$AI$2,CONCATENATE(OBSERVACIONES!X139,"
ESTADO DE POSTVENTAS:  ",GENERAL!W140))</f>
        <v>OK
ESTADO DE POSTVENTAS:  POSTVENTA CORREGIDA</v>
      </c>
      <c r="Y139" s="51" t="str">
        <f>+IF(GENERAL!Z140=GENERAL!$AI$2,GENERAL!$AI$2,CONCATENATE(OBSERVACIONES!Y139,"
ESTADO DE POSTVENTAS:  ",GENERAL!Z140))</f>
        <v>OK
ESTADO DE POSTVENTAS:  POSTVENTA CORREGIDA</v>
      </c>
      <c r="Z139" s="51" t="str">
        <f>+IF(GENERAL!AA140=GENERAL!$AI$2,GENERAL!$AI$2,CONCATENATE(OBSERVACIONES!Z139,"
ESTADO DE POSTVENTAS:  ",GENERAL!AA140))</f>
        <v>OK
ESTADO DE POSTVENTAS:  POSTVENTA CORREGIDA</v>
      </c>
      <c r="AA139" s="51" t="str">
        <f>+IF(GENERAL!AB140=GENERAL!$AI$2,GENERAL!$AI$2,CONCATENATE(OBSERVACIONES!AA139,"
ESTADO DE POSTVENTAS:  ",GENERAL!AB140))</f>
        <v>OK
ESTADO DE POSTVENTAS:  POSTVENTA CORREGIDA</v>
      </c>
      <c r="AB139" s="70" t="str">
        <f>+IF(GENERAL!AC140=GENERAL!$AI$2,GENERAL!$AI$2,CONCATENATE(OBSERVACIONES!AB139,"
ESTADO DE POSTVENTAS:  ",GENERAL!AC140))</f>
        <v>OK
ESTADO DE POSTVENTAS:  POSTVENTA CORREGIDA</v>
      </c>
      <c r="AC139" s="70" t="str">
        <f>+IF(GENERAL!AD140=GENERAL!$AI$2,GENERAL!$AI$2,CONCATENATE(OBSERVACIONES!AC139,"
ESTADO DE POSTVENTAS:  ",GENERAL!AD140))</f>
        <v>OK
ESTADO DE POSTVENTAS:  POSTVENTA CORREGIDA</v>
      </c>
      <c r="AD139" s="51" t="str">
        <f>+IF(GENERAL!AE140=GENERAL!$AI$2,GENERAL!$AI$2,CONCATENATE(OBSERVACIONES!AD139,"
ESTADO DE POSTVENTAS:  ",GENERAL!AE140))</f>
        <v>OK
ESTADO DE POSTVENTAS:  POSTVENTA CORREGIDA</v>
      </c>
      <c r="AE139" s="51" t="str">
        <f>+IF(GENERAL!AF140=GENERAL!$AI$2,GENERAL!$AI$2,CONCATENATE(OBSERVACIONES!AE139,"
ESTADO DE POSTVENTAS:  ",GENERAL!AF140))</f>
        <v>OK
ESTADO DE POSTVENTAS:  POSTVENTA CORREGIDA</v>
      </c>
      <c r="AF139" s="51" t="str">
        <f>+IF(GENERAL!AG140=GENERAL!$AI$2,GENERAL!$AI$2,CONCATENATE(OBSERVACIONES!AF139,"
ESTADO DE POSTVENTAS:  ",GENERAL!AG140))</f>
        <v>OK
ESTADO DE POSTVENTAS:  POSTVENTA CORREGIDA</v>
      </c>
      <c r="AG139" s="51" t="str">
        <f>+IF(GENERAL!AH140=GENERAL!$AI$2,GENERAL!$AI$2,CONCATENATE(OBSERVACIONES!AG139,"
ESTADO DE POSTVENTAS:  ",GENERAL!AH140))</f>
        <v>DETALLES JUNTAS
ESTADO DE POSTVENTAS:  TIENE POSTVENTA</v>
      </c>
      <c r="AH139" s="51" t="str">
        <f>+IF(GENERAL!AI140=GENERAL!$AI$2,GENERAL!$AI$2,CONCATENATE(OBSERVACIONES!AH139,"
ESTADO DE POSTVENTAS:  ",GENERAL!AI140))</f>
        <v>OK
ESTADO DE POSTVENTAS:  POSTVENTA CORREGIDA</v>
      </c>
      <c r="AI139" s="51" t="str">
        <f>+IF(GENERAL!AG140=GENERAL!$AI$2,GENERAL!$AI$2,CONCATENATE(OBSERVACIONES!AF139,"
ESTADO DE POSTVENTAS:  ",GENERAL!AG140))</f>
        <v>OK
ESTADO DE POSTVENTAS:  POSTVENTA CORREGIDA</v>
      </c>
      <c r="AJ139" s="51" t="str">
        <f>+IF(GENERAL!AI140=GENERAL!$AI$2,GENERAL!$AI$2,CONCATENATE(OBSERVACIONES!AH139,"
ESTADO DE POSTVENTAS:  ",GENERAL!AI140))</f>
        <v>OK
ESTADO DE POSTVENTAS:  POSTVENTA CORREGIDA</v>
      </c>
      <c r="AK139" s="70" t="str">
        <f>+IF(GENERAL!AJ140=GENERAL!$AI$2,GENERAL!$AI$2,CONCATENATE(OBSERVACIONES!AI139,"
ESTADO DE POSTVENTAS:  ",GENERAL!AJ140))</f>
        <v>DETALLE BALDOSAS
ESTADO DE POSTVENTAS:  TIENE POSTVENTA</v>
      </c>
      <c r="AL139" s="51" t="str">
        <f>+IF(GENERAL!AK140=GENERAL!$AI$2,GENERAL!$AI$2,CONCATENATE(OBSERVACIONES!AJ139,"
ESTADO DE POSTVENTAS:  ",GENERAL!AK140))</f>
        <v>OK
ESTADO DE POSTVENTAS:  POSTVENTA CORREGIDA</v>
      </c>
      <c r="AM139" s="51" t="str">
        <f>+IF(GENERAL!AN140=GENERAL!$AI$2,GENERAL!$AI$2,CONCATENATE(OBSERVACIONES!AM139,"
ESTADO DE POSTVENTAS:  ",GENERAL!AN140))</f>
        <v>OK
ESTADO DE POSTVENTAS:  POSTVENTA CORREGIDA</v>
      </c>
      <c r="AN139" s="37">
        <v>3</v>
      </c>
      <c r="AO139" s="37">
        <v>8</v>
      </c>
      <c r="AP139" s="37">
        <v>3</v>
      </c>
      <c r="AQ139" s="37">
        <v>1</v>
      </c>
      <c r="AR139" s="43">
        <v>13</v>
      </c>
      <c r="AS139" s="40">
        <v>12</v>
      </c>
      <c r="AT139" s="37">
        <f>COUNTIFS($D$5:$AM$5,"&lt;&gt;"&amp;CODICIONALES!$A$1,$D$5:$AM$5,"&lt;&gt;"&amp;CODICIONALES!$A$2,$D$5:$AM$5,"&lt;&gt;"&amp;CODICIONALES!$B$2,$D$5:$AM$5,"&lt;&gt;"&amp;CODICIONALES!$C$2)</f>
        <v>6</v>
      </c>
      <c r="AU139" s="43">
        <f>COUNTIFS(D139:AM139,CODICIONALES!$A$2)</f>
        <v>30</v>
      </c>
      <c r="AV139" s="40">
        <f t="shared" si="2"/>
        <v>0</v>
      </c>
    </row>
    <row r="140" spans="1:48" ht="51" customHeight="1" x14ac:dyDescent="0.25">
      <c r="A140" s="110"/>
      <c r="B140" s="2">
        <v>136</v>
      </c>
      <c r="C140" s="21" t="s">
        <v>61</v>
      </c>
      <c r="D140" s="51" t="str">
        <f>+IF(GENERAL!E141=GENERAL!$AI$2,GENERAL!$AI$2,CONCATENATE(OBSERVACIONES!D140,"
ESTADO DE POSTVENTAS:  ",GENERAL!E141))</f>
        <v>NO ENTREGADO
ESTADO DE POSTVENTAS:  TIENE POSTVENTA</v>
      </c>
      <c r="E140" s="51" t="str">
        <f>+IF(GENERAL!F141=GENERAL!$AI$2,GENERAL!$AI$2,CONCATENATE(OBSERVACIONES!E140,"
ESTADO DE POSTVENTAS:  ",GENERAL!F141))</f>
        <v>OK
ESTADO DE POSTVENTAS:  POSTVENTA CORREGIDA</v>
      </c>
      <c r="F140" s="51" t="str">
        <f>+IF(GENERAL!G141=GENERAL!$AI$2,GENERAL!$AI$2,CONCATENATE(OBSERVACIONES!F140,"
ESTADO DE POSTVENTAS:  ",GENERAL!G141))</f>
        <v>OK
ESTADO DE POSTVENTAS:  POSTVENTA CORREGIDA</v>
      </c>
      <c r="G140" s="51" t="str">
        <f>+IF(GENERAL!H141=GENERAL!$AI$2,GENERAL!$AI$2,CONCATENATE(OBSERVACIONES!G140,"
ESTADO DE POSTVENTAS:  ",GENERAL!H141))</f>
        <v>NO ENTREGADO
ESTADO DE POSTVENTAS:  TIENE POSTVENTA</v>
      </c>
      <c r="H140" s="51" t="str">
        <f>+IF(GENERAL!I141=GENERAL!$AI$2,GENERAL!$AI$2,CONCATENATE(OBSERVACIONES!H140,"
ESTADO DE POSTVENTAS:  ",GENERAL!I141))</f>
        <v>OK
ESTADO DE POSTVENTAS:  POSTVENTA CORREGIDA</v>
      </c>
      <c r="I140" s="51" t="str">
        <f>+IF(GENERAL!J141=GENERAL!$AI$2,GENERAL!$AI$2,CONCATENATE(OBSERVACIONES!I140,"
ESTADO DE POSTVENTAS:  ",GENERAL!J141))</f>
        <v>OK
ESTADO DE POSTVENTAS:  POSTVENTA CORREGIDA</v>
      </c>
      <c r="J140" s="51" t="str">
        <f>+IF(GENERAL!K141=GENERAL!$AI$2,GENERAL!$AI$2,CONCATENATE(OBSERVACIONES!J140,"
ESTADO DE POSTVENTAS:  ",GENERAL!K141))</f>
        <v>OK
ESTADO DE POSTVENTAS:  POSTVENTA CORREGIDA</v>
      </c>
      <c r="K140" s="51" t="str">
        <f>+IF(GENERAL!L141=GENERAL!$AI$2,GENERAL!$AI$2,CONCATENATE(OBSERVACIONES!K140,"
ESTADO DE POSTVENTAS:  ",GENERAL!L141))</f>
        <v>OK
ESTADO DE POSTVENTAS:  POSTVENTA CORREGIDA</v>
      </c>
      <c r="L140" s="51" t="str">
        <f>+IF(GENERAL!M141=GENERAL!$AI$2,GENERAL!$AI$2,CONCATENATE(OBSERVACIONES!L140,"
ESTADO DE POSTVENTAS:  ",GENERAL!M141))</f>
        <v>OK
ESTADO DE POSTVENTAS:  POSTVENTA CORREGIDA</v>
      </c>
      <c r="M140" s="70" t="str">
        <f>+IF(GENERAL!N141=GENERAL!$AI$2,GENERAL!$AI$2,CONCATENATE(OBSERVACIONES!M140,"
ESTADO DE POSTVENTAS:  ",GENERAL!N141))</f>
        <v>OK
ESTADO DE POSTVENTAS:  POSTVENTA CORREGIDA</v>
      </c>
      <c r="N140" s="51" t="str">
        <f>+IF(GENERAL!O141=GENERAL!$AI$2,GENERAL!$AI$2,CONCATENATE(OBSERVACIONES!N140,"
ESTADO DE POSTVENTAS:  ",GENERAL!O141))</f>
        <v>OK
ESTADO DE POSTVENTAS:  POSTVENTA CORREGIDA</v>
      </c>
      <c r="O140" s="51" t="str">
        <f>+IF(GENERAL!P141=GENERAL!$AI$2,GENERAL!$AI$2,CONCATENATE(OBSERVACIONES!O140,"
ESTADO DE POSTVENTAS:  ",GENERAL!P141))</f>
        <v>OK
ESTADO DE POSTVENTAS:  POSTVENTA CORREGIDA</v>
      </c>
      <c r="P140" s="70" t="str">
        <f>+IF(GENERAL!Q141=GENERAL!$AI$2,GENERAL!$AI$2,CONCATENATE(OBSERVACIONES!P140,"
ESTADO DE POSTVENTAS:  ",GENERAL!Q141))</f>
        <v>OK
ESTADO DE POSTVENTAS:  POSTVENTA CORREGIDA</v>
      </c>
      <c r="Q140" s="70" t="str">
        <f>+IF(GENERAL!R141=GENERAL!$AI$2,GENERAL!$AI$2,CONCATENATE(OBSERVACIONES!Q140,"
ESTADO DE POSTVENTAS:  ",GENERAL!R141))</f>
        <v>OK
ESTADO DE POSTVENTAS:  POSTVENTA CORREGIDA</v>
      </c>
      <c r="R140" s="51" t="str">
        <f>+IF(GENERAL!S141=GENERAL!$AI$2,GENERAL!$AI$2,CONCATENATE(OBSERVACIONES!R140,"
ESTADO DE POSTVENTAS:  ",GENERAL!S141))</f>
        <v>OK
ESTADO DE POSTVENTAS:  POSTVENTA CORREGIDA</v>
      </c>
      <c r="S140" s="51" t="str">
        <f>+IF(GENERAL!T141=GENERAL!$AI$2,GENERAL!$AI$2,CONCATENATE(OBSERVACIONES!S140,"
ESTADO DE POSTVENTAS:  ",GENERAL!T141))</f>
        <v>OK
ESTADO DE POSTVENTAS:  POSTVENTA CORREGIDA</v>
      </c>
      <c r="T140" s="51" t="str">
        <f>+IF(GENERAL!U141=GENERAL!$AI$2,GENERAL!$AI$2,CONCATENATE(OBSERVACIONES!T140,"
ESTADO DE POSTVENTAS:  ",GENERAL!U141))</f>
        <v>OK
ESTADO DE POSTVENTAS:  POSTVENTA CORREGIDA</v>
      </c>
      <c r="U140" s="51" t="str">
        <f>+IF(GENERAL!V141=GENERAL!$AI$2,GENERAL!$AI$2,CONCATENATE(OBSERVACIONES!U140,"
ESTADO DE POSTVENTAS:  ",GENERAL!V141))</f>
        <v>OK
ESTADO DE POSTVENTAS:  POSTVENTA CORREGIDA</v>
      </c>
      <c r="V140" s="51" t="str">
        <f>+IF(GENERAL!W141=GENERAL!$AI$2,GENERAL!$AI$2,CONCATENATE(OBSERVACIONES!V140,"
ESTADO DE POSTVENTAS:  ",GENERAL!W141))</f>
        <v>OK
ESTADO DE POSTVENTAS:  POSTVENTA CORREGIDA</v>
      </c>
      <c r="W140" s="51" t="str">
        <f>+IF(GENERAL!V141=GENERAL!$AI$2,GENERAL!$AI$2,CONCATENATE(OBSERVACIONES!W140,"
ESTADO DE POSTVENTAS:  ",GENERAL!V141))</f>
        <v>OK
ESTADO DE POSTVENTAS:  POSTVENTA CORREGIDA</v>
      </c>
      <c r="X140" s="51" t="str">
        <f>+IF(GENERAL!W141=GENERAL!$AI$2,GENERAL!$AI$2,CONCATENATE(OBSERVACIONES!X140,"
ESTADO DE POSTVENTAS:  ",GENERAL!W141))</f>
        <v>OK
ESTADO DE POSTVENTAS:  POSTVENTA CORREGIDA</v>
      </c>
      <c r="Y140" s="51" t="str">
        <f>+IF(GENERAL!Z141=GENERAL!$AI$2,GENERAL!$AI$2,CONCATENATE(OBSERVACIONES!Y140,"
ESTADO DE POSTVENTAS:  ",GENERAL!Z141))</f>
        <v>OK
ESTADO DE POSTVENTAS:  POSTVENTA CORREGIDA</v>
      </c>
      <c r="Z140" s="51" t="str">
        <f>+IF(GENERAL!AA141=GENERAL!$AI$2,GENERAL!$AI$2,CONCATENATE(OBSERVACIONES!Z140,"
ESTADO DE POSTVENTAS:  ",GENERAL!AA141))</f>
        <v>OK
ESTADO DE POSTVENTAS:  POSTVENTA CORREGIDA</v>
      </c>
      <c r="AA140" s="51" t="str">
        <f>+IF(GENERAL!AB141=GENERAL!$AI$2,GENERAL!$AI$2,CONCATENATE(OBSERVACIONES!AA140,"
ESTADO DE POSTVENTAS:  ",GENERAL!AB141))</f>
        <v>OK
ESTADO DE POSTVENTAS:  POSTVENTA CORREGIDA</v>
      </c>
      <c r="AB140" s="70" t="str">
        <f>+IF(GENERAL!AC141=GENERAL!$AI$2,GENERAL!$AI$2,CONCATENATE(OBSERVACIONES!AB140,"
ESTADO DE POSTVENTAS:  ",GENERAL!AC141))</f>
        <v>OK
ESTADO DE POSTVENTAS:  POSTVENTA CORREGIDA</v>
      </c>
      <c r="AC140" s="70" t="str">
        <f>+IF(GENERAL!AD141=GENERAL!$AI$2,GENERAL!$AI$2,CONCATENATE(OBSERVACIONES!AC140,"
ESTADO DE POSTVENTAS:  ",GENERAL!AD141))</f>
        <v>OK
ESTADO DE POSTVENTAS:  POSTVENTA CORREGIDA</v>
      </c>
      <c r="AD140" s="51" t="str">
        <f>+IF(GENERAL!AE141=GENERAL!$AI$2,GENERAL!$AI$2,CONCATENATE(OBSERVACIONES!AD140,"
ESTADO DE POSTVENTAS:  ",GENERAL!AE141))</f>
        <v>OK
ESTADO DE POSTVENTAS:  POSTVENTA CORREGIDA</v>
      </c>
      <c r="AE140" s="51" t="str">
        <f>+IF(GENERAL!AF141=GENERAL!$AI$2,GENERAL!$AI$2,CONCATENATE(OBSERVACIONES!AE140,"
ESTADO DE POSTVENTAS:  ",GENERAL!AF141))</f>
        <v>OK
ESTADO DE POSTVENTAS:  POSTVENTA CORREGIDA</v>
      </c>
      <c r="AF140" s="51" t="str">
        <f>+IF(GENERAL!AG141=GENERAL!$AI$2,GENERAL!$AI$2,CONCATENATE(OBSERVACIONES!AF140,"
ESTADO DE POSTVENTAS:  ",GENERAL!AG141))</f>
        <v>OK
ESTADO DE POSTVENTAS:  POSTVENTA CORREGIDA</v>
      </c>
      <c r="AG140" s="51" t="str">
        <f>+IF(GENERAL!AH141=GENERAL!$AI$2,GENERAL!$AI$2,CONCATENATE(OBSERVACIONES!AG140,"
ESTADO DE POSTVENTAS:  ",GENERAL!AH141))</f>
        <v>OK
ESTADO DE POSTVENTAS:  POSTVENTA CORREGIDA</v>
      </c>
      <c r="AH140" s="51" t="str">
        <f>+IF(GENERAL!AI141=GENERAL!$AI$2,GENERAL!$AI$2,CONCATENATE(OBSERVACIONES!AH140,"
ESTADO DE POSTVENTAS:  ",GENERAL!AI141))</f>
        <v>OK
ESTADO DE POSTVENTAS:  POSTVENTA CORREGIDA</v>
      </c>
      <c r="AI140" s="51" t="str">
        <f>+IF(GENERAL!AG141=GENERAL!$AI$2,GENERAL!$AI$2,CONCATENATE(OBSERVACIONES!AF140,"
ESTADO DE POSTVENTAS:  ",GENERAL!AG141))</f>
        <v>OK
ESTADO DE POSTVENTAS:  POSTVENTA CORREGIDA</v>
      </c>
      <c r="AJ140" s="51" t="str">
        <f>+IF(GENERAL!AI141=GENERAL!$AI$2,GENERAL!$AI$2,CONCATENATE(OBSERVACIONES!AH140,"
ESTADO DE POSTVENTAS:  ",GENERAL!AI141))</f>
        <v>OK
ESTADO DE POSTVENTAS:  POSTVENTA CORREGIDA</v>
      </c>
      <c r="AK140" s="51" t="str">
        <f>+IF(GENERAL!AJ141=GENERAL!$AI$2,GENERAL!$AI$2,CONCATENATE(OBSERVACIONES!AI140,"
ESTADO DE POSTVENTAS:  ",GENERAL!AJ141))</f>
        <v>OK
ESTADO DE POSTVENTAS:  POSTVENTA CORREGIDA</v>
      </c>
      <c r="AL140" s="51" t="str">
        <f>+IF(GENERAL!AK141=GENERAL!$AI$2,GENERAL!$AI$2,CONCATENATE(OBSERVACIONES!AJ140,"
ESTADO DE POSTVENTAS:  ",GENERAL!AK141))</f>
        <v>OK
ESTADO DE POSTVENTAS:  POSTVENTA CORREGIDA</v>
      </c>
      <c r="AM140" s="51" t="str">
        <f>+IF(GENERAL!AN141=GENERAL!$AI$2,GENERAL!$AI$2,CONCATENATE(OBSERVACIONES!AM140,"
ESTADO DE POSTVENTAS:  ",GENERAL!AN141))</f>
        <v>OK
ESTADO DE POSTVENTAS:  POSTVENTA CORREGIDA</v>
      </c>
      <c r="AN140" s="37">
        <v>3</v>
      </c>
      <c r="AO140" s="37">
        <v>8</v>
      </c>
      <c r="AP140" s="37">
        <v>3</v>
      </c>
      <c r="AQ140" s="37">
        <v>1</v>
      </c>
      <c r="AR140" s="43">
        <v>13</v>
      </c>
      <c r="AS140" s="40">
        <v>12</v>
      </c>
      <c r="AT140" s="37">
        <f>COUNTIFS($D$5:$AM$5,"&lt;&gt;"&amp;CODICIONALES!$A$1,$D$5:$AM$5,"&lt;&gt;"&amp;CODICIONALES!$A$2,$D$5:$AM$5,"&lt;&gt;"&amp;CODICIONALES!$B$2,$D$5:$AM$5,"&lt;&gt;"&amp;CODICIONALES!$C$2)</f>
        <v>6</v>
      </c>
      <c r="AU140" s="43">
        <f>COUNTIFS(D140:AM140,CODICIONALES!$A$2)</f>
        <v>34</v>
      </c>
      <c r="AV140" s="40">
        <f t="shared" si="2"/>
        <v>-4</v>
      </c>
    </row>
    <row r="141" spans="1:48" ht="51" customHeight="1" x14ac:dyDescent="0.25">
      <c r="A141" s="110"/>
      <c r="B141" s="2">
        <v>137</v>
      </c>
      <c r="C141" s="21" t="s">
        <v>62</v>
      </c>
      <c r="D141" s="45" t="str">
        <f>+IF(GENERAL!E142=GENERAL!$AI$2,GENERAL!$AI$2,CONCATENATE(OBSERVACIONES!D141,"
ESTADO DE POSTVENTAS:  ",GENERAL!E142))</f>
        <v>DETALLE 
ESTADO DE POSTVENTAS:  TIENE POSTVENTA</v>
      </c>
      <c r="E141" s="45" t="str">
        <f>+IF(GENERAL!F142=GENERAL!$AI$2,GENERAL!$AI$2,CONCATENATE(OBSERVACIONES!E141,"
ESTADO DE POSTVENTAS:  ",GENERAL!F142))</f>
        <v>OK
ESTADO DE POSTVENTAS:  POSTVENTA CORREGIDA</v>
      </c>
      <c r="F141" s="45" t="str">
        <f>+IF(GENERAL!G142=GENERAL!$AI$2,GENERAL!$AI$2,CONCATENATE(OBSERVACIONES!F141,"
ESTADO DE POSTVENTAS:  ",GENERAL!G142))</f>
        <v>OK
ESTADO DE POSTVENTAS:  POSTVENTA CORREGIDA</v>
      </c>
      <c r="G141" s="70" t="str">
        <f>+IF(GENERAL!H142=GENERAL!$AI$2,GENERAL!$AI$2,CONCATENATE(OBSERVACIONES!G141,"
ESTADO DE POSTVENTAS:  ",GENERAL!H142))</f>
        <v>NO ENTREGADO
ESTADO DE POSTVENTAS:  TIENE POSTVENTA</v>
      </c>
      <c r="H141" s="70" t="str">
        <f>+IF(GENERAL!I142=GENERAL!$AI$2,GENERAL!$AI$2,CONCATENATE(OBSERVACIONES!H141,"
ESTADO DE POSTVENTAS:  ",GENERAL!I142))</f>
        <v>OK
ESTADO DE POSTVENTAS:  POSTVENTA CORREGIDA</v>
      </c>
      <c r="I141" s="45" t="str">
        <f>+IF(GENERAL!J142=GENERAL!$AI$2,GENERAL!$AI$2,CONCATENATE(OBSERVACIONES!I141,"
ESTADO DE POSTVENTAS:  ",GENERAL!J142))</f>
        <v>OK
ESTADO DE POSTVENTAS:  POSTVENTA CORREGIDA</v>
      </c>
      <c r="J141" s="70" t="str">
        <f>+IF(GENERAL!K142=GENERAL!$AI$2,GENERAL!$AI$2,CONCATENATE(OBSERVACIONES!J141,"
ESTADO DE POSTVENTAS:  ",GENERAL!K142))</f>
        <v>OK
ESTADO DE POSTVENTAS:  POSTVENTA CORREGIDA</v>
      </c>
      <c r="K141" s="45" t="str">
        <f>+IF(GENERAL!L142=GENERAL!$AI$2,GENERAL!$AI$2,CONCATENATE(OBSERVACIONES!K141,"
ESTADO DE POSTVENTAS:  ",GENERAL!L142))</f>
        <v>OK
ESTADO DE POSTVENTAS:  POSTVENTA CORREGIDA</v>
      </c>
      <c r="L141" s="51" t="str">
        <f>+IF(GENERAL!M142=GENERAL!$AI$2,GENERAL!$AI$2,CONCATENATE(OBSERVACIONES!L141,"
ESTADO DE POSTVENTAS:  ",GENERAL!M142))</f>
        <v>OK
ESTADO DE POSTVENTAS:  POSTVENTA CORREGIDA</v>
      </c>
      <c r="M141" s="70" t="str">
        <f>+IF(GENERAL!N142=GENERAL!$AI$2,GENERAL!$AI$2,CONCATENATE(OBSERVACIONES!M141,"
ESTADO DE POSTVENTAS:  ",GENERAL!N142))</f>
        <v>OK
ESTADO DE POSTVENTAS:  POSTVENTA CORREGIDA</v>
      </c>
      <c r="N141" s="45" t="str">
        <f>+IF(GENERAL!O142=GENERAL!$AI$2,GENERAL!$AI$2,CONCATENATE(OBSERVACIONES!N141,"
ESTADO DE POSTVENTAS:  ",GENERAL!O142))</f>
        <v>OK
ESTADO DE POSTVENTAS:  POSTVENTA CORREGIDA</v>
      </c>
      <c r="O141" s="45" t="str">
        <f>+IF(GENERAL!P142=GENERAL!$AI$2,GENERAL!$AI$2,CONCATENATE(OBSERVACIONES!O141,"
ESTADO DE POSTVENTAS:  ",GENERAL!P142))</f>
        <v>OK
ESTADO DE POSTVENTAS:  POSTVENTA CORREGIDA</v>
      </c>
      <c r="P141" s="70" t="str">
        <f>+IF(GENERAL!Q142=GENERAL!$AI$2,GENERAL!$AI$2,CONCATENATE(OBSERVACIONES!P141,"
ESTADO DE POSTVENTAS:  ",GENERAL!Q142))</f>
        <v>OK
ESTADO DE POSTVENTAS:  POSTVENTA CORREGIDA</v>
      </c>
      <c r="Q141" s="70" t="str">
        <f>+IF(GENERAL!R142=GENERAL!$AI$2,GENERAL!$AI$2,CONCATENATE(OBSERVACIONES!Q141,"
ESTADO DE POSTVENTAS:  ",GENERAL!R142))</f>
        <v>OK
ESTADO DE POSTVENTAS:  POSTVENTA CORREGIDA</v>
      </c>
      <c r="R141" s="70" t="str">
        <f>+IF(GENERAL!S142=GENERAL!$AI$2,GENERAL!$AI$2,CONCATENATE(OBSERVACIONES!R141,"
ESTADO DE POSTVENTAS:  ",GENERAL!S142))</f>
        <v>OK
ESTADO DE POSTVENTAS:  POSTVENTA CORREGIDA</v>
      </c>
      <c r="S141" s="45" t="str">
        <f>+IF(GENERAL!T142=GENERAL!$AI$2,GENERAL!$AI$2,CONCATENATE(OBSERVACIONES!S141,"
ESTADO DE POSTVENTAS:  ",GENERAL!T142))</f>
        <v>OK
ESTADO DE POSTVENTAS:  POSTVENTA CORREGIDA</v>
      </c>
      <c r="T141" s="45" t="str">
        <f>+IF(GENERAL!U142=GENERAL!$AI$2,GENERAL!$AI$2,CONCATENATE(OBSERVACIONES!T141,"
ESTADO DE POSTVENTAS:  ",GENERAL!U142))</f>
        <v>DETALLE HUMEDAD
ESTADO DE POSTVENTAS:  TIENE POSTVENTA</v>
      </c>
      <c r="U141" s="45" t="str">
        <f>+IF(GENERAL!V142=GENERAL!$AI$2,GENERAL!$AI$2,CONCATENATE(OBSERVACIONES!U141,"
ESTADO DE POSTVENTAS:  ",GENERAL!V142))</f>
        <v>OK
ESTADO DE POSTVENTAS:  POSTVENTA CORREGIDA</v>
      </c>
      <c r="V141" s="45" t="str">
        <f>+IF(GENERAL!W142=GENERAL!$AI$2,GENERAL!$AI$2,CONCATENATE(OBSERVACIONES!V141,"
ESTADO DE POSTVENTAS:  ",GENERAL!W142))</f>
        <v>OK
ESTADO DE POSTVENTAS:  POSTVENTA CORREGIDA</v>
      </c>
      <c r="W141" s="45" t="str">
        <f>+IF(GENERAL!V142=GENERAL!$AI$2,GENERAL!$AI$2,CONCATENATE(OBSERVACIONES!W141,"
ESTADO DE POSTVENTAS:  ",GENERAL!V142))</f>
        <v>OK
ESTADO DE POSTVENTAS:  POSTVENTA CORREGIDA</v>
      </c>
      <c r="X141" s="51" t="str">
        <f>+IF(GENERAL!W142=GENERAL!$AI$2,GENERAL!$AI$2,CONCATENATE(OBSERVACIONES!X141,"
ESTADO DE POSTVENTAS:  ",GENERAL!W142))</f>
        <v>OK
ESTADO DE POSTVENTAS:  POSTVENTA CORREGIDA</v>
      </c>
      <c r="Y141" s="45" t="str">
        <f>+IF(GENERAL!Z142=GENERAL!$AI$2,GENERAL!$AI$2,CONCATENATE(OBSERVACIONES!Y141,"
ESTADO DE POSTVENTAS:  ",GENERAL!Z142))</f>
        <v>OK
ESTADO DE POSTVENTAS:  POSTVENTA CORREGIDA</v>
      </c>
      <c r="Z141" s="70" t="str">
        <f>+IF(GENERAL!AA142=GENERAL!$AI$2,GENERAL!$AI$2,CONCATENATE(OBSERVACIONES!Z141,"
ESTADO DE POSTVENTAS:  ",GENERAL!AA142))</f>
        <v>OK
ESTADO DE POSTVENTAS:  POSTVENTA CORREGIDA</v>
      </c>
      <c r="AA141" s="45" t="str">
        <f>+IF(GENERAL!AB142=GENERAL!$AI$2,GENERAL!$AI$2,CONCATENATE(OBSERVACIONES!AA141,"
ESTADO DE POSTVENTAS:  ",GENERAL!AB142))</f>
        <v>OK
ESTADO DE POSTVENTAS:  POSTVENTA CORREGIDA</v>
      </c>
      <c r="AB141" s="45" t="str">
        <f>+IF(GENERAL!AC142=GENERAL!$AI$2,GENERAL!$AI$2,CONCATENATE(OBSERVACIONES!AB141,"
ESTADO DE POSTVENTAS:  ",GENERAL!AC142))</f>
        <v>OK
ESTADO DE POSTVENTAS:  POSTVENTA CORREGIDA</v>
      </c>
      <c r="AC141" s="70" t="str">
        <f>+IF(GENERAL!AD142=GENERAL!$AI$2,GENERAL!$AI$2,CONCATENATE(OBSERVACIONES!AC141,"
ESTADO DE POSTVENTAS:  ",GENERAL!AD142))</f>
        <v>OK
ESTADO DE POSTVENTAS:  POSTVENTA CORREGIDA</v>
      </c>
      <c r="AD141" s="51" t="str">
        <f>+IF(GENERAL!AE142=GENERAL!$AI$2,GENERAL!$AI$2,CONCATENATE(OBSERVACIONES!AD141,"
ESTADO DE POSTVENTAS:  ",GENERAL!AE142))</f>
        <v>OK
ESTADO DE POSTVENTAS:  POSTVENTA CORREGIDA</v>
      </c>
      <c r="AE141" s="70" t="str">
        <f>+IF(GENERAL!AF142=GENERAL!$AI$2,GENERAL!$AI$2,CONCATENATE(OBSERVACIONES!AE141,"
ESTADO DE POSTVENTAS:  ",GENERAL!AF142))</f>
        <v>OK
ESTADO DE POSTVENTAS:  POSTVENTA CORREGIDA</v>
      </c>
      <c r="AF141" s="70" t="str">
        <f>+IF(GENERAL!AG142=GENERAL!$AI$2,GENERAL!$AI$2,CONCATENATE(OBSERVACIONES!AF141,"
ESTADO DE POSTVENTAS:  ",GENERAL!AG142))</f>
        <v>OK
ESTADO DE POSTVENTAS:  POSTVENTA CORREGIDA</v>
      </c>
      <c r="AG141" s="51" t="str">
        <f>+IF(GENERAL!AH142=GENERAL!$AI$2,GENERAL!$AI$2,CONCATENATE(OBSERVACIONES!AG141,"
ESTADO DE POSTVENTAS:  ",GENERAL!AH142))</f>
        <v>OK
ESTADO DE POSTVENTAS:  POSTVENTA CORREGIDA</v>
      </c>
      <c r="AH141" s="45" t="str">
        <f>+IF(GENERAL!AI142=GENERAL!$AI$2,GENERAL!$AI$2,CONCATENATE(OBSERVACIONES!AH141,"
ESTADO DE POSTVENTAS:  ",GENERAL!AI142))</f>
        <v>OK
ESTADO DE POSTVENTAS:  POSTVENTA CORREGIDA</v>
      </c>
      <c r="AI141" s="70" t="str">
        <f>+IF(GENERAL!AG142=GENERAL!$AI$2,GENERAL!$AI$2,CONCATENATE(OBSERVACIONES!AF141,"
ESTADO DE POSTVENTAS:  ",GENERAL!AG142))</f>
        <v>OK
ESTADO DE POSTVENTAS:  POSTVENTA CORREGIDA</v>
      </c>
      <c r="AJ141" s="45" t="str">
        <f>+IF(GENERAL!AI142=GENERAL!$AI$2,GENERAL!$AI$2,CONCATENATE(OBSERVACIONES!AH141,"
ESTADO DE POSTVENTAS:  ",GENERAL!AI142))</f>
        <v>OK
ESTADO DE POSTVENTAS:  POSTVENTA CORREGIDA</v>
      </c>
      <c r="AK141" s="51" t="str">
        <f>+IF(GENERAL!AJ142=GENERAL!$AI$2,GENERAL!$AI$2,CONCATENATE(OBSERVACIONES!AI141,"
ESTADO DE POSTVENTAS:  ",GENERAL!AJ142))</f>
        <v>OK
ESTADO DE POSTVENTAS:  POSTVENTA CORREGIDA</v>
      </c>
      <c r="AL141" s="70" t="str">
        <f>+IF(GENERAL!AK142=GENERAL!$AI$2,GENERAL!$AI$2,CONCATENATE(OBSERVACIONES!AJ141,"
ESTADO DE POSTVENTAS:  ",GENERAL!AK142))</f>
        <v>OK
ESTADO DE POSTVENTAS:  POSTVENTA CORREGIDA</v>
      </c>
      <c r="AM141" s="70" t="str">
        <f>+IF(GENERAL!AN142=GENERAL!$AI$2,GENERAL!$AI$2,CONCATENATE(OBSERVACIONES!AM141,"
ESTADO DE POSTVENTAS:  ",GENERAL!AN142))</f>
        <v>OK
ESTADO DE POSTVENTAS:  POSTVENTA CORREGIDA</v>
      </c>
      <c r="AN141" s="37">
        <v>0</v>
      </c>
      <c r="AO141" s="37">
        <v>11</v>
      </c>
      <c r="AP141" s="37">
        <v>3</v>
      </c>
      <c r="AQ141" s="37">
        <v>1</v>
      </c>
      <c r="AR141" s="43">
        <v>14</v>
      </c>
      <c r="AS141" s="40">
        <v>11</v>
      </c>
      <c r="AT141" s="37">
        <f>COUNTIFS($D$5:$AM$5,"&lt;&gt;"&amp;CODICIONALES!$A$1,$D$5:$AM$5,"&lt;&gt;"&amp;CODICIONALES!$A$2,$D$5:$AM$5,"&lt;&gt;"&amp;CODICIONALES!$B$2,$D$5:$AM$5,"&lt;&gt;"&amp;CODICIONALES!$C$2)</f>
        <v>6</v>
      </c>
      <c r="AU141" s="43">
        <f>COUNTIFS(D141:AM141,CODICIONALES!$A$2)</f>
        <v>33</v>
      </c>
      <c r="AV141" s="40">
        <f t="shared" si="2"/>
        <v>-3</v>
      </c>
    </row>
    <row r="142" spans="1:48" ht="51" customHeight="1" x14ac:dyDescent="0.25">
      <c r="A142" s="110"/>
      <c r="B142" s="2">
        <v>138</v>
      </c>
      <c r="C142" s="20" t="s">
        <v>101</v>
      </c>
      <c r="D142" s="51" t="str">
        <f>+IF(GENERAL!E143=GENERAL!$AI$2,GENERAL!$AI$2,CONCATENATE(OBSERVACIONES!D142,"
ESTADO DE POSTVENTAS:  ",GENERAL!E143))</f>
        <v>NO ENTREGADO
ESTADO DE POSTVENTAS:  TIENE POSTVENTA</v>
      </c>
      <c r="E142" s="70" t="str">
        <f>+IF(GENERAL!F143=GENERAL!$AI$2,GENERAL!$AI$2,CONCATENATE(OBSERVACIONES!E142,"
ESTADO DE POSTVENTAS:  ",GENERAL!F143))</f>
        <v>DETALLES DE PUERTAS
ESTADO DE POSTVENTAS:  TIENE POSTVENTA</v>
      </c>
      <c r="F142" s="51" t="str">
        <f>+IF(GENERAL!G143=GENERAL!$AI$2,GENERAL!$AI$2,CONCATENATE(OBSERVACIONES!F142,"
ESTADO DE POSTVENTAS:  ",GENERAL!G143))</f>
        <v>OK
ESTADO DE POSTVENTAS:  POSTVENTA CORREGIDA</v>
      </c>
      <c r="G142" s="51" t="str">
        <f>+IF(GENERAL!H143=GENERAL!$AI$2,GENERAL!$AI$2,CONCATENATE(OBSERVACIONES!G142,"
ESTADO DE POSTVENTAS:  ",GENERAL!H143))</f>
        <v>NO ENTREGADO
ESTADO DE POSTVENTAS:  TIENE POSTVENTA</v>
      </c>
      <c r="H142" s="51" t="str">
        <f>+IF(GENERAL!I143=GENERAL!$AI$2,GENERAL!$AI$2,CONCATENATE(OBSERVACIONES!H142,"
ESTADO DE POSTVENTAS:  ",GENERAL!I143))</f>
        <v>OK
ESTADO DE POSTVENTAS:  POSTVENTA CORREGIDA</v>
      </c>
      <c r="I142" s="51" t="str">
        <f>+IF(GENERAL!J143=GENERAL!$AI$2,GENERAL!$AI$2,CONCATENATE(OBSERVACIONES!I142,"
ESTADO DE POSTVENTAS:  ",GENERAL!J143))</f>
        <v>OK
ESTADO DE POSTVENTAS:  POSTVENTA CORREGIDA</v>
      </c>
      <c r="J142" s="51" t="str">
        <f>+IF(GENERAL!K143=GENERAL!$AI$2,GENERAL!$AI$2,CONCATENATE(OBSERVACIONES!J142,"
ESTADO DE POSTVENTAS:  ",GENERAL!K143))</f>
        <v>OK
ESTADO DE POSTVENTAS:  POSTVENTA CORREGIDA</v>
      </c>
      <c r="K142" s="51" t="str">
        <f>+IF(GENERAL!L143=GENERAL!$AI$2,GENERAL!$AI$2,CONCATENATE(OBSERVACIONES!K142,"
ESTADO DE POSTVENTAS:  ",GENERAL!L143))</f>
        <v>OK
ESTADO DE POSTVENTAS:  POSTVENTA CORREGIDA</v>
      </c>
      <c r="L142" s="51" t="str">
        <f>+IF(GENERAL!M143=GENERAL!$AI$2,GENERAL!$AI$2,CONCATENATE(OBSERVACIONES!L142,"
ESTADO DE POSTVENTAS:  ",GENERAL!M143))</f>
        <v>OK
ESTADO DE POSTVENTAS:  POSTVENTA CORREGIDA</v>
      </c>
      <c r="M142" s="70" t="str">
        <f>+IF(GENERAL!N143=GENERAL!$AI$2,GENERAL!$AI$2,CONCATENATE(OBSERVACIONES!M142,"
ESTADO DE POSTVENTAS:  ",GENERAL!N143))</f>
        <v>OK
ESTADO DE POSTVENTAS:  POSTVENTA CORREGIDA</v>
      </c>
      <c r="N142" s="70" t="str">
        <f>+IF(GENERAL!O143=GENERAL!$AI$2,GENERAL!$AI$2,CONCATENATE(OBSERVACIONES!N142,"
ESTADO DE POSTVENTAS:  ",GENERAL!O143))</f>
        <v>DETALLAR PUERTAS
ESTADO DE POSTVENTAS:  TIENE POSTVENTA</v>
      </c>
      <c r="O142" s="51" t="str">
        <f>+IF(GENERAL!P143=GENERAL!$AI$2,GENERAL!$AI$2,CONCATENATE(OBSERVACIONES!O142,"
ESTADO DE POSTVENTAS:  ",GENERAL!P143))</f>
        <v>OK
ESTADO DE POSTVENTAS:  POSTVENTA CORREGIDA</v>
      </c>
      <c r="P142" s="70" t="str">
        <f>+IF(GENERAL!Q143=GENERAL!$AI$2,GENERAL!$AI$2,CONCATENATE(OBSERVACIONES!P142,"
ESTADO DE POSTVENTAS:  ",GENERAL!Q143))</f>
        <v>OK
ESTADO DE POSTVENTAS:  POSTVENTA CORREGIDA</v>
      </c>
      <c r="Q142" s="70" t="str">
        <f>+IF(GENERAL!R143=GENERAL!$AI$2,GENERAL!$AI$2,CONCATENATE(OBSERVACIONES!Q142,"
ESTADO DE POSTVENTAS:  ",GENERAL!R143))</f>
        <v>OK
ESTADO DE POSTVENTAS:  POSTVENTA CORREGIDA</v>
      </c>
      <c r="R142" s="51" t="str">
        <f>+IF(GENERAL!S143=GENERAL!$AI$2,GENERAL!$AI$2,CONCATENATE(OBSERVACIONES!R142,"
ESTADO DE POSTVENTAS:  ",GENERAL!S143))</f>
        <v>OK
ESTADO DE POSTVENTAS:  POSTVENTA CORREGIDA</v>
      </c>
      <c r="S142" s="51" t="str">
        <f>+IF(GENERAL!T143=GENERAL!$AI$2,GENERAL!$AI$2,CONCATENATE(OBSERVACIONES!S142,"
ESTADO DE POSTVENTAS:  ",GENERAL!T143))</f>
        <v>OK
ESTADO DE POSTVENTAS:  POSTVENTA CORREGIDA</v>
      </c>
      <c r="T142" s="51" t="str">
        <f>+IF(GENERAL!U143=GENERAL!$AI$2,GENERAL!$AI$2,CONCATENATE(OBSERVACIONES!T142,"
ESTADO DE POSTVENTAS:  ",GENERAL!U143))</f>
        <v>OK
ESTADO DE POSTVENTAS:  POSTVENTA CORREGIDA</v>
      </c>
      <c r="U142" s="51" t="str">
        <f>+IF(GENERAL!V143=GENERAL!$AI$2,GENERAL!$AI$2,CONCATENATE(OBSERVACIONES!U142,"
ESTADO DE POSTVENTAS:  ",GENERAL!V143))</f>
        <v>OK
ESTADO DE POSTVENTAS:  POSTVENTA CORREGIDA</v>
      </c>
      <c r="V142" s="51" t="str">
        <f>+IF(GENERAL!W143=GENERAL!$AI$2,GENERAL!$AI$2,CONCATENATE(OBSERVACIONES!V142,"
ESTADO DE POSTVENTAS:  ",GENERAL!W143))</f>
        <v>OK
ESTADO DE POSTVENTAS:  POSTVENTA CORREGIDA</v>
      </c>
      <c r="W142" s="51" t="str">
        <f>+IF(GENERAL!V143=GENERAL!$AI$2,GENERAL!$AI$2,CONCATENATE(OBSERVACIONES!W142,"
ESTADO DE POSTVENTAS:  ",GENERAL!V143))</f>
        <v>OK
ESTADO DE POSTVENTAS:  POSTVENTA CORREGIDA</v>
      </c>
      <c r="X142" s="51" t="str">
        <f>+IF(GENERAL!W143=GENERAL!$AI$2,GENERAL!$AI$2,CONCATENATE(OBSERVACIONES!X142,"
ESTADO DE POSTVENTAS:  ",GENERAL!W143))</f>
        <v>OK
ESTADO DE POSTVENTAS:  POSTVENTA CORREGIDA</v>
      </c>
      <c r="Y142" s="51" t="str">
        <f>+IF(GENERAL!Z143=GENERAL!$AI$2,GENERAL!$AI$2,CONCATENATE(OBSERVACIONES!Y142,"
ESTADO DE POSTVENTAS:  ",GENERAL!Z143))</f>
        <v>OK
ESTADO DE POSTVENTAS:  POSTVENTA CORREGIDA</v>
      </c>
      <c r="Z142" s="51" t="str">
        <f>+IF(GENERAL!AA143=GENERAL!$AI$2,GENERAL!$AI$2,CONCATENATE(OBSERVACIONES!Z142,"
ESTADO DE POSTVENTAS:  ",GENERAL!AA143))</f>
        <v>OK
ESTADO DE POSTVENTAS:  POSTVENTA CORREGIDA</v>
      </c>
      <c r="AA142" s="70" t="str">
        <f>+IF(GENERAL!AB143=GENERAL!$AI$2,GENERAL!$AI$2,CONCATENATE(OBSERVACIONES!AA142,"
ESTADO DE POSTVENTAS:  ",GENERAL!AB143))</f>
        <v>DETALLE CAMBIO
ESTADO DE POSTVENTAS:  TIENE POSTVENTA</v>
      </c>
      <c r="AB142" s="70" t="str">
        <f>+IF(GENERAL!AC143=GENERAL!$AI$2,GENERAL!$AI$2,CONCATENATE(OBSERVACIONES!AB142,"
ESTADO DE POSTVENTAS:  ",GENERAL!AC143))</f>
        <v>OK
ESTADO DE POSTVENTAS:  POSTVENTA CORREGIDA</v>
      </c>
      <c r="AC142" s="51" t="str">
        <f>+IF(GENERAL!AD143=GENERAL!$AI$2,GENERAL!$AI$2,CONCATENATE(OBSERVACIONES!AC142,"
ESTADO DE POSTVENTAS:  ",GENERAL!AD143))</f>
        <v>OK
ESTADO DE POSTVENTAS:  POSTVENTA CORREGIDA</v>
      </c>
      <c r="AD142" s="51" t="str">
        <f>+IF(GENERAL!AE143=GENERAL!$AI$2,GENERAL!$AI$2,CONCATENATE(OBSERVACIONES!AD142,"
ESTADO DE POSTVENTAS:  ",GENERAL!AE143))</f>
        <v>OK
ESTADO DE POSTVENTAS:  POSTVENTA CORREGIDA</v>
      </c>
      <c r="AE142" s="51" t="str">
        <f>+IF(GENERAL!AF143=GENERAL!$AI$2,GENERAL!$AI$2,CONCATENATE(OBSERVACIONES!AE142,"
ESTADO DE POSTVENTAS:  ",GENERAL!AF143))</f>
        <v>OK
ESTADO DE POSTVENTAS:  POSTVENTA CORREGIDA</v>
      </c>
      <c r="AF142" s="51" t="str">
        <f>+IF(GENERAL!AG143=GENERAL!$AI$2,GENERAL!$AI$2,CONCATENATE(OBSERVACIONES!AF142,"
ESTADO DE POSTVENTAS:  ",GENERAL!AG143))</f>
        <v>OK
ESTADO DE POSTVENTAS:  POSTVENTA CORREGIDA</v>
      </c>
      <c r="AG142" s="51" t="str">
        <f>+IF(GENERAL!AH143=GENERAL!$AI$2,GENERAL!$AI$2,CONCATENATE(OBSERVACIONES!AG142,"
ESTADO DE POSTVENTAS:  ",GENERAL!AH143))</f>
        <v>OK
ESTADO DE POSTVENTAS:  POSTVENTA CORREGIDA</v>
      </c>
      <c r="AH142" s="51" t="str">
        <f>+IF(GENERAL!AI143=GENERAL!$AI$2,GENERAL!$AI$2,CONCATENATE(OBSERVACIONES!AH142,"
ESTADO DE POSTVENTAS:  ",GENERAL!AI143))</f>
        <v>OK
ESTADO DE POSTVENTAS:  POSTVENTA CORREGIDA</v>
      </c>
      <c r="AI142" s="51" t="str">
        <f>+IF(GENERAL!AG143=GENERAL!$AI$2,GENERAL!$AI$2,CONCATENATE(OBSERVACIONES!AF142,"
ESTADO DE POSTVENTAS:  ",GENERAL!AG143))</f>
        <v>OK
ESTADO DE POSTVENTAS:  POSTVENTA CORREGIDA</v>
      </c>
      <c r="AJ142" s="51" t="str">
        <f>+IF(GENERAL!AI143=GENERAL!$AI$2,GENERAL!$AI$2,CONCATENATE(OBSERVACIONES!AH142,"
ESTADO DE POSTVENTAS:  ",GENERAL!AI143))</f>
        <v>OK
ESTADO DE POSTVENTAS:  POSTVENTA CORREGIDA</v>
      </c>
      <c r="AK142" s="51" t="str">
        <f>+IF(GENERAL!AJ143=GENERAL!$AI$2,GENERAL!$AI$2,CONCATENATE(OBSERVACIONES!AI142,"
ESTADO DE POSTVENTAS:  ",GENERAL!AJ143))</f>
        <v>OK
ESTADO DE POSTVENTAS:  POSTVENTA CORREGIDA</v>
      </c>
      <c r="AL142" s="51" t="str">
        <f>+IF(GENERAL!AK143=GENERAL!$AI$2,GENERAL!$AI$2,CONCATENATE(OBSERVACIONES!AJ142,"
ESTADO DE POSTVENTAS:  ",GENERAL!AK143))</f>
        <v>OK
ESTADO DE POSTVENTAS:  POSTVENTA CORREGIDA</v>
      </c>
      <c r="AM142" s="51" t="str">
        <f>+IF(GENERAL!AN143=GENERAL!$AI$2,GENERAL!$AI$2,CONCATENATE(OBSERVACIONES!AM142,"
ESTADO DE POSTVENTAS:  ",GENERAL!AN143))</f>
        <v>OK
ESTADO DE POSTVENTAS:  POSTVENTA CORREGIDA</v>
      </c>
      <c r="AN142" s="37">
        <v>4</v>
      </c>
      <c r="AO142" s="37">
        <v>7</v>
      </c>
      <c r="AP142" s="37">
        <v>3</v>
      </c>
      <c r="AQ142" s="37">
        <v>1</v>
      </c>
      <c r="AR142" s="43">
        <v>13</v>
      </c>
      <c r="AS142" s="40">
        <v>12</v>
      </c>
      <c r="AT142" s="37">
        <f>COUNTIFS($D$5:$AM$5,"&lt;&gt;"&amp;CODICIONALES!$A$1,$D$5:$AM$5,"&lt;&gt;"&amp;CODICIONALES!$A$2,$D$5:$AM$5,"&lt;&gt;"&amp;CODICIONALES!$B$2,$D$5:$AM$5,"&lt;&gt;"&amp;CODICIONALES!$C$2)</f>
        <v>6</v>
      </c>
      <c r="AU142" s="43">
        <f>COUNTIFS(D142:AM142,CODICIONALES!$A$2)</f>
        <v>31</v>
      </c>
      <c r="AV142" s="40">
        <f t="shared" si="2"/>
        <v>-1</v>
      </c>
    </row>
    <row r="143" spans="1:48" ht="51" customHeight="1" x14ac:dyDescent="0.25">
      <c r="A143" s="111"/>
      <c r="B143" s="2">
        <v>139</v>
      </c>
      <c r="C143" s="22" t="s">
        <v>64</v>
      </c>
      <c r="D143" s="51" t="str">
        <f>+IF(GENERAL!E144=GENERAL!$AI$2,GENERAL!$AI$2,CONCATENATE(OBSERVACIONES!D143,"
ESTADO DE POSTVENTAS:  ",GENERAL!E144))</f>
        <v>NO ENTREGADO
ESTADO DE POSTVENTAS:  TIENE POSTVENTA</v>
      </c>
      <c r="E143" s="51" t="str">
        <f>+IF(GENERAL!F144=GENERAL!$AI$2,GENERAL!$AI$2,CONCATENATE(OBSERVACIONES!E143,"
ESTADO DE POSTVENTAS:  ",GENERAL!F144))</f>
        <v>OK
ESTADO DE POSTVENTAS:  POSTVENTA CORREGIDA</v>
      </c>
      <c r="F143" s="51" t="str">
        <f>+IF(GENERAL!G144=GENERAL!$AI$2,GENERAL!$AI$2,CONCATENATE(OBSERVACIONES!F143,"
ESTADO DE POSTVENTAS:  ",GENERAL!G144))</f>
        <v>OK
ESTADO DE POSTVENTAS:  POSTVENTA CORREGIDA</v>
      </c>
      <c r="G143" s="51" t="str">
        <f>+IF(GENERAL!H144=GENERAL!$AI$2,GENERAL!$AI$2,CONCATENATE(OBSERVACIONES!G143,"
ESTADO DE POSTVENTAS:  ",GENERAL!H144))</f>
        <v>NO ENTREGADO
ESTADO DE POSTVENTAS:  TIENE POSTVENTA</v>
      </c>
      <c r="H143" s="51" t="str">
        <f>+IF(GENERAL!I144=GENERAL!$AI$2,GENERAL!$AI$2,CONCATENATE(OBSERVACIONES!H143,"
ESTADO DE POSTVENTAS:  ",GENERAL!I144))</f>
        <v>OK
ESTADO DE POSTVENTAS:  POSTVENTA CORREGIDA</v>
      </c>
      <c r="I143" s="51" t="str">
        <f>+IF(GENERAL!J144=GENERAL!$AI$2,GENERAL!$AI$2,CONCATENATE(OBSERVACIONES!I143,"
ESTADO DE POSTVENTAS:  ",GENERAL!J144))</f>
        <v>OK
ESTADO DE POSTVENTAS:  POSTVENTA CORREGIDA</v>
      </c>
      <c r="J143" s="51" t="str">
        <f>+IF(GENERAL!K144=GENERAL!$AI$2,GENERAL!$AI$2,CONCATENATE(OBSERVACIONES!J143,"
ESTADO DE POSTVENTAS:  ",GENERAL!K144))</f>
        <v>OK
ESTADO DE POSTVENTAS:  POSTVENTA CORREGIDA</v>
      </c>
      <c r="K143" s="51" t="str">
        <f>+IF(GENERAL!L144=GENERAL!$AI$2,GENERAL!$AI$2,CONCATENATE(OBSERVACIONES!K143,"
ESTADO DE POSTVENTAS:  ",GENERAL!L144))</f>
        <v>DETALLES PIMTURA Y ESTUCO
ESTADO DE POSTVENTAS:  TIENE POSTVENTA</v>
      </c>
      <c r="L143" s="51" t="str">
        <f>+IF(GENERAL!M144=GENERAL!$AI$2,GENERAL!$AI$2,CONCATENATE(OBSERVACIONES!L143,"
ESTADO DE POSTVENTAS:  ",GENERAL!M144))</f>
        <v>OK
ESTADO DE POSTVENTAS:  POSTVENTA CORREGIDA</v>
      </c>
      <c r="M143" s="70" t="str">
        <f>+IF(GENERAL!N144=GENERAL!$AI$2,GENERAL!$AI$2,CONCATENATE(OBSERVACIONES!M143,"
ESTADO DE POSTVENTAS:  ",GENERAL!N144))</f>
        <v>OK
ESTADO DE POSTVENTAS:  POSTVENTA CORREGIDA</v>
      </c>
      <c r="N143" s="51" t="str">
        <f>+IF(GENERAL!O144=GENERAL!$AI$2,GENERAL!$AI$2,CONCATENATE(OBSERVACIONES!N143,"
ESTADO DE POSTVENTAS:  ",GENERAL!O144))</f>
        <v>OK
ESTADO DE POSTVENTAS:  POSTVENTA CORREGIDA</v>
      </c>
      <c r="O143" s="70" t="str">
        <f>+IF(GENERAL!P144=GENERAL!$AI$2,GENERAL!$AI$2,CONCATENATE(OBSERVACIONES!O143,"
ESTADO DE POSTVENTAS:  ",GENERAL!P144))</f>
        <v>OK
ESTADO DE POSTVENTAS:  POSTVENTA CORREGIDA</v>
      </c>
      <c r="P143" s="70" t="str">
        <f>+IF(GENERAL!Q144=GENERAL!$AI$2,GENERAL!$AI$2,CONCATENATE(OBSERVACIONES!P143,"
ESTADO DE POSTVENTAS:  ",GENERAL!Q144))</f>
        <v>OK
ESTADO DE POSTVENTAS:  POSTVENTA CORREGIDA</v>
      </c>
      <c r="Q143" s="70" t="str">
        <f>+IF(GENERAL!R144=GENERAL!$AI$2,GENERAL!$AI$2,CONCATENATE(OBSERVACIONES!Q143,"
ESTADO DE POSTVENTAS:  ",GENERAL!R144))</f>
        <v>DETALLE HUMEDAD
ESTADO DE POSTVENTAS:  TIENE POSTVENTA</v>
      </c>
      <c r="R143" s="51" t="str">
        <f>+IF(GENERAL!S144=GENERAL!$AI$2,GENERAL!$AI$2,CONCATENATE(OBSERVACIONES!R143,"
ESTADO DE POSTVENTAS:  ",GENERAL!S144))</f>
        <v>OK
ESTADO DE POSTVENTAS:  POSTVENTA CORREGIDA</v>
      </c>
      <c r="S143" s="51" t="str">
        <f>+IF(GENERAL!T144=GENERAL!$AI$2,GENERAL!$AI$2,CONCATENATE(OBSERVACIONES!S143,"
ESTADO DE POSTVENTAS:  ",GENERAL!T144))</f>
        <v>DETALLE HUMEDAD
ESTADO DE POSTVENTAS:  TIENE POSTVENTA</v>
      </c>
      <c r="T143" s="70" t="str">
        <f>+IF(GENERAL!U144=GENERAL!$AI$2,GENERAL!$AI$2,CONCATENATE(OBSERVACIONES!T143,"
ESTADO DE POSTVENTAS:  ",GENERAL!U144))</f>
        <v>DETALLE HUMEDAD
ESTADO DE POSTVENTAS:  TIENE POSTVENTA</v>
      </c>
      <c r="U143" s="51" t="str">
        <f>+IF(GENERAL!V144=GENERAL!$AI$2,GENERAL!$AI$2,CONCATENATE(OBSERVACIONES!U143,"
ESTADO DE POSTVENTAS:  ",GENERAL!V144))</f>
        <v>OK
ESTADO DE POSTVENTAS:  POSTVENTA CORREGIDA</v>
      </c>
      <c r="V143" s="51" t="str">
        <f>+IF(GENERAL!W144=GENERAL!$AI$2,GENERAL!$AI$2,CONCATENATE(OBSERVACIONES!V143,"
ESTADO DE POSTVENTAS:  ",GENERAL!W144))</f>
        <v>OK
ESTADO DE POSTVENTAS:  POSTVENTA CORREGIDA</v>
      </c>
      <c r="W143" s="51" t="str">
        <f>+IF(GENERAL!V144=GENERAL!$AI$2,GENERAL!$AI$2,CONCATENATE(OBSERVACIONES!W143,"
ESTADO DE POSTVENTAS:  ",GENERAL!V144))</f>
        <v>OK
ESTADO DE POSTVENTAS:  POSTVENTA CORREGIDA</v>
      </c>
      <c r="X143" s="51" t="str">
        <f>+IF(GENERAL!W144=GENERAL!$AI$2,GENERAL!$AI$2,CONCATENATE(OBSERVACIONES!X143,"
ESTADO DE POSTVENTAS:  ",GENERAL!W144))</f>
        <v>OK
ESTADO DE POSTVENTAS:  POSTVENTA CORREGIDA</v>
      </c>
      <c r="Y143" s="51" t="str">
        <f>+IF(GENERAL!Z144=GENERAL!$AI$2,GENERAL!$AI$2,CONCATENATE(OBSERVACIONES!Y143,"
ESTADO DE POSTVENTAS:  ",GENERAL!Z144))</f>
        <v>DETALLE PINTURA
ESTADO DE POSTVENTAS:  TIENE POSTVENTA</v>
      </c>
      <c r="Z143" s="51" t="str">
        <f>+IF(GENERAL!AA144=GENERAL!$AI$2,GENERAL!$AI$2,CONCATENATE(OBSERVACIONES!Z143,"
ESTADO DE POSTVENTAS:  ",GENERAL!AA144))</f>
        <v>OK
ESTADO DE POSTVENTAS:  POSTVENTA CORREGIDA</v>
      </c>
      <c r="AA143" s="51" t="str">
        <f>+IF(GENERAL!AB144=GENERAL!$AI$2,GENERAL!$AI$2,CONCATENATE(OBSERVACIONES!AA143,"
ESTADO DE POSTVENTAS:  ",GENERAL!AB144))</f>
        <v>OK
ESTADO DE POSTVENTAS:  POSTVENTA CORREGIDA</v>
      </c>
      <c r="AB143" s="51" t="str">
        <f>+IF(GENERAL!AC144=GENERAL!$AI$2,GENERAL!$AI$2,CONCATENATE(OBSERVACIONES!AB143,"
ESTADO DE POSTVENTAS:  ",GENERAL!AC144))</f>
        <v>OK
ESTADO DE POSTVENTAS:  POSTVENTA CORREGIDA</v>
      </c>
      <c r="AC143" s="51" t="str">
        <f>+IF(GENERAL!AD144=GENERAL!$AI$2,GENERAL!$AI$2,CONCATENATE(OBSERVACIONES!AC143,"
ESTADO DE POSTVENTAS:  ",GENERAL!AD144))</f>
        <v>OK
ESTADO DE POSTVENTAS:  POSTVENTA CORREGIDA</v>
      </c>
      <c r="AD143" s="51" t="str">
        <f>+IF(GENERAL!AE144=GENERAL!$AI$2,GENERAL!$AI$2,CONCATENATE(OBSERVACIONES!AD143,"
ESTADO DE POSTVENTAS:  ",GENERAL!AE144))</f>
        <v>OK
ESTADO DE POSTVENTAS:  POSTVENTA CORREGIDA</v>
      </c>
      <c r="AE143" s="70" t="str">
        <f>+IF(GENERAL!AF144=GENERAL!$AI$2,GENERAL!$AI$2,CONCATENATE(OBSERVACIONES!AE143,"
ESTADO DE POSTVENTAS:  ",GENERAL!AF144))</f>
        <v>DETALLE PINTURA
ESTADO DE POSTVENTAS:  TIENE POSTVENTA</v>
      </c>
      <c r="AF143" s="51" t="str">
        <f>+IF(GENERAL!AG144=GENERAL!$AI$2,GENERAL!$AI$2,CONCATENATE(OBSERVACIONES!AF143,"
ESTADO DE POSTVENTAS:  ",GENERAL!AG144))</f>
        <v>OK
ESTADO DE POSTVENTAS:  POSTVENTA CORREGIDA</v>
      </c>
      <c r="AG143" s="51" t="str">
        <f>+IF(GENERAL!AH144=GENERAL!$AI$2,GENERAL!$AI$2,CONCATENATE(OBSERVACIONES!AG143,"
ESTADO DE POSTVENTAS:  ",GENERAL!AH144))</f>
        <v>OK
ESTADO DE POSTVENTAS:  POSTVENTA CORREGIDA</v>
      </c>
      <c r="AH143" s="70" t="str">
        <f>+IF(GENERAL!AI144=GENERAL!$AI$2,GENERAL!$AI$2,CONCATENATE(OBSERVACIONES!AH143,"
ESTADO DE POSTVENTAS:  ",GENERAL!AI144))</f>
        <v>DETALLE PINTURA
ESTADO DE POSTVENTAS:  TIENE POSTVENTA</v>
      </c>
      <c r="AI143" s="51" t="str">
        <f>+IF(GENERAL!AG144=GENERAL!$AI$2,GENERAL!$AI$2,CONCATENATE(OBSERVACIONES!AF143,"
ESTADO DE POSTVENTAS:  ",GENERAL!AG144))</f>
        <v>OK
ESTADO DE POSTVENTAS:  POSTVENTA CORREGIDA</v>
      </c>
      <c r="AJ143" s="70" t="str">
        <f>+IF(GENERAL!AI144=GENERAL!$AI$2,GENERAL!$AI$2,CONCATENATE(OBSERVACIONES!AH143,"
ESTADO DE POSTVENTAS:  ",GENERAL!AI144))</f>
        <v>DETALLE PINTURA
ESTADO DE POSTVENTAS:  TIENE POSTVENTA</v>
      </c>
      <c r="AK143" s="51" t="str">
        <f>+IF(GENERAL!AJ144=GENERAL!$AI$2,GENERAL!$AI$2,CONCATENATE(OBSERVACIONES!AI143,"
ESTADO DE POSTVENTAS:  ",GENERAL!AJ144))</f>
        <v>OK
ESTADO DE POSTVENTAS:  POSTVENTA CORREGIDA</v>
      </c>
      <c r="AL143" s="51" t="str">
        <f>+IF(GENERAL!AK144=GENERAL!$AI$2,GENERAL!$AI$2,CONCATENATE(OBSERVACIONES!AJ143,"
ESTADO DE POSTVENTAS:  ",GENERAL!AK144))</f>
        <v>OK
ESTADO DE POSTVENTAS:  POSTVENTA CORREGIDA</v>
      </c>
      <c r="AM143" s="51" t="str">
        <f>+IF(GENERAL!AN144=GENERAL!$AI$2,GENERAL!$AI$2,CONCATENATE(OBSERVACIONES!AM143,"
ESTADO DE POSTVENTAS:  ",GENERAL!AN144))</f>
        <v>OK
ESTADO DE POSTVENTAS:  POSTVENTA CORREGIDA</v>
      </c>
      <c r="AN143" s="37">
        <v>3</v>
      </c>
      <c r="AO143" s="37">
        <v>8</v>
      </c>
      <c r="AP143" s="37">
        <v>3</v>
      </c>
      <c r="AQ143" s="37">
        <v>2</v>
      </c>
      <c r="AR143" s="43">
        <v>12</v>
      </c>
      <c r="AS143" s="40">
        <v>12</v>
      </c>
      <c r="AT143" s="37">
        <f>COUNTIFS($D$5:$AM$5,"&lt;&gt;"&amp;CODICIONALES!$A$1,$D$5:$AM$5,"&lt;&gt;"&amp;CODICIONALES!$A$2,$D$5:$AM$5,"&lt;&gt;"&amp;CODICIONALES!$B$2,$D$5:$AM$5,"&lt;&gt;"&amp;CODICIONALES!$C$2)</f>
        <v>6</v>
      </c>
      <c r="AU143" s="43">
        <f>COUNTIFS(D143:AM143,CODICIONALES!$A$2)</f>
        <v>26</v>
      </c>
      <c r="AV143" s="40">
        <f t="shared" si="2"/>
        <v>4</v>
      </c>
    </row>
    <row r="144" spans="1:48" ht="51" customHeight="1" x14ac:dyDescent="0.25">
      <c r="A144" s="112" t="s">
        <v>108</v>
      </c>
      <c r="B144" s="2">
        <v>140</v>
      </c>
      <c r="C144" s="25" t="s">
        <v>86</v>
      </c>
      <c r="D144" s="51" t="str">
        <f>+IF(GENERAL!E145=GENERAL!$AI$2,GENERAL!$AI$2,CONCATENATE(OBSERVACIONES!D144,"
ESTADO DE POSTVENTAS:  ",GENERAL!E145))</f>
        <v>NO ENTREGADO
ESTADO DE POSTVENTAS:  TIENE POSTVENTA</v>
      </c>
      <c r="E144" s="70" t="str">
        <f>+IF(GENERAL!F145=GENERAL!$AI$2,GENERAL!$AI$2,CONCATENATE(OBSERVACIONES!E144,"
ESTADO DE POSTVENTAS:  ",GENERAL!F145))</f>
        <v>OK
ESTADO DE POSTVENTAS:  POSTVENTA CORREGIDA</v>
      </c>
      <c r="F144" s="51" t="str">
        <f>+IF(GENERAL!G145=GENERAL!$AI$2,GENERAL!$AI$2,CONCATENATE(OBSERVACIONES!F144,"
ESTADO DE POSTVENTAS:  ",GENERAL!G145))</f>
        <v>OK
ESTADO DE POSTVENTAS:  POSTVENTA CORREGIDA</v>
      </c>
      <c r="G144" s="51" t="str">
        <f>+IF(GENERAL!H145=GENERAL!$AI$2,GENERAL!$AI$2,CONCATENATE(OBSERVACIONES!G144,"
ESTADO DE POSTVENTAS:  ",GENERAL!H145))</f>
        <v>NO ENTREGADO
ESTADO DE POSTVENTAS:  TIENE POSTVENTA</v>
      </c>
      <c r="H144" s="51" t="str">
        <f>+IF(GENERAL!I145=GENERAL!$AI$2,GENERAL!$AI$2,CONCATENATE(OBSERVACIONES!H144,"
ESTADO DE POSTVENTAS:  ",GENERAL!I145))</f>
        <v>OK
ESTADO DE POSTVENTAS:  POSTVENTA CORREGIDA</v>
      </c>
      <c r="I144" s="51" t="str">
        <f>+IF(GENERAL!J145=GENERAL!$AI$2,GENERAL!$AI$2,CONCATENATE(OBSERVACIONES!I144,"
ESTADO DE POSTVENTAS:  ",GENERAL!J145))</f>
        <v>OK
ESTADO DE POSTVENTAS:  POSTVENTA CORREGIDA</v>
      </c>
      <c r="J144" s="51" t="str">
        <f>+IF(GENERAL!K145=GENERAL!$AI$2,GENERAL!$AI$2,CONCATENATE(OBSERVACIONES!J144,"
ESTADO DE POSTVENTAS:  ",GENERAL!K145))</f>
        <v>OK
ESTADO DE POSTVENTAS:  POSTVENTA CORREGIDA</v>
      </c>
      <c r="K144" s="51" t="str">
        <f>+IF(GENERAL!L145=GENERAL!$AI$2,GENERAL!$AI$2,CONCATENATE(OBSERVACIONES!K144,"
ESTADO DE POSTVENTAS:  ",GENERAL!L145))</f>
        <v>OK
ESTADO DE POSTVENTAS:  POSTVENTA CORREGIDA</v>
      </c>
      <c r="L144" s="51" t="str">
        <f>+IF(GENERAL!M145=GENERAL!$AI$2,GENERAL!$AI$2,CONCATENATE(OBSERVACIONES!L144,"
ESTADO DE POSTVENTAS:  ",GENERAL!M145))</f>
        <v>OK
ESTADO DE POSTVENTAS:  POSTVENTA CORREGIDA</v>
      </c>
      <c r="M144" s="70" t="str">
        <f>+IF(GENERAL!N145=GENERAL!$AI$2,GENERAL!$AI$2,CONCATENATE(OBSERVACIONES!M144,"
ESTADO DE POSTVENTAS:  ",GENERAL!N145))</f>
        <v>OK
ESTADO DE POSTVENTAS:  POSTVENTA CORREGIDA</v>
      </c>
      <c r="N144" s="51" t="str">
        <f>+IF(GENERAL!O145=GENERAL!$AI$2,GENERAL!$AI$2,CONCATENATE(OBSERVACIONES!N144,"
ESTADO DE POSTVENTAS:  ",GENERAL!O145))</f>
        <v>OK
ESTADO DE POSTVENTAS:  POSTVENTA CORREGIDA</v>
      </c>
      <c r="O144" s="70" t="str">
        <f>+IF(GENERAL!P145=GENERAL!$AI$2,GENERAL!$AI$2,CONCATENATE(OBSERVACIONES!O144,"
ESTADO DE POSTVENTAS:  ",GENERAL!P145))</f>
        <v>OK
ESTADO DE POSTVENTAS:  POSTVENTA CORREGIDA</v>
      </c>
      <c r="P144" s="70" t="str">
        <f>+IF(GENERAL!Q145=GENERAL!$AI$2,GENERAL!$AI$2,CONCATENATE(OBSERVACIONES!P144,"
ESTADO DE POSTVENTAS:  ",GENERAL!Q145))</f>
        <v>OK
ESTADO DE POSTVENTAS:  POSTVENTA CORREGIDA</v>
      </c>
      <c r="Q144" s="70" t="str">
        <f>+IF(GENERAL!R145=GENERAL!$AI$2,GENERAL!$AI$2,CONCATENATE(OBSERVACIONES!Q144,"
ESTADO DE POSTVENTAS:  ",GENERAL!R145))</f>
        <v>OK
ESTADO DE POSTVENTAS:  POSTVENTA CORREGIDA</v>
      </c>
      <c r="R144" s="51" t="str">
        <f>+IF(GENERAL!S145=GENERAL!$AI$2,GENERAL!$AI$2,CONCATENATE(OBSERVACIONES!R144,"
ESTADO DE POSTVENTAS:  ",GENERAL!S145))</f>
        <v>OK
ESTADO DE POSTVENTAS:  POSTVENTA CORREGIDA</v>
      </c>
      <c r="S144" s="51" t="str">
        <f>+IF(GENERAL!T145=GENERAL!$AI$2,GENERAL!$AI$2,CONCATENATE(OBSERVACIONES!S144,"
ESTADO DE POSTVENTAS:  ",GENERAL!T145))</f>
        <v>OK
ESTADO DE POSTVENTAS:  POSTVENTA CORREGIDA</v>
      </c>
      <c r="T144" s="51" t="str">
        <f>+IF(GENERAL!U145=GENERAL!$AI$2,GENERAL!$AI$2,CONCATENATE(OBSERVACIONES!T144,"
ESTADO DE POSTVENTAS:  ",GENERAL!U145))</f>
        <v>OK
ESTADO DE POSTVENTAS:  POSTVENTA CORREGIDA</v>
      </c>
      <c r="U144" s="51" t="str">
        <f>+IF(GENERAL!V145=GENERAL!$AI$2,GENERAL!$AI$2,CONCATENATE(OBSERVACIONES!U144,"
ESTADO DE POSTVENTAS:  ",GENERAL!V145))</f>
        <v>OK
ESTADO DE POSTVENTAS:  POSTVENTA CORREGIDA</v>
      </c>
      <c r="V144" s="51" t="str">
        <f>+IF(GENERAL!W145=GENERAL!$AI$2,GENERAL!$AI$2,CONCATENATE(OBSERVACIONES!V144,"
ESTADO DE POSTVENTAS:  ",GENERAL!W145))</f>
        <v>OK
ESTADO DE POSTVENTAS:  POSTVENTA CORREGIDA</v>
      </c>
      <c r="W144" s="51" t="str">
        <f>+IF(GENERAL!V145=GENERAL!$AI$2,GENERAL!$AI$2,CONCATENATE(OBSERVACIONES!W144,"
ESTADO DE POSTVENTAS:  ",GENERAL!V145))</f>
        <v>OK
ESTADO DE POSTVENTAS:  POSTVENTA CORREGIDA</v>
      </c>
      <c r="X144" s="51" t="str">
        <f>+IF(GENERAL!W145=GENERAL!$AI$2,GENERAL!$AI$2,CONCATENATE(OBSERVACIONES!X144,"
ESTADO DE POSTVENTAS:  ",GENERAL!W145))</f>
        <v>OK
ESTADO DE POSTVENTAS:  POSTVENTA CORREGIDA</v>
      </c>
      <c r="Y144" s="51" t="str">
        <f>+IF(GENERAL!Z145=GENERAL!$AI$2,GENERAL!$AI$2,CONCATENATE(OBSERVACIONES!Y144,"
ESTADO DE POSTVENTAS:  ",GENERAL!Z145))</f>
        <v>OK
ESTADO DE POSTVENTAS:  POSTVENTA CORREGIDA</v>
      </c>
      <c r="Z144" s="51" t="str">
        <f>+IF(GENERAL!AA145=GENERAL!$AI$2,GENERAL!$AI$2,CONCATENATE(OBSERVACIONES!Z144,"
ESTADO DE POSTVENTAS:  ",GENERAL!AA145))</f>
        <v>OK
ESTADO DE POSTVENTAS:  POSTVENTA CORREGIDA</v>
      </c>
      <c r="AA144" s="51" t="str">
        <f>+IF(GENERAL!AB145=GENERAL!$AI$2,GENERAL!$AI$2,CONCATENATE(OBSERVACIONES!AA144,"
ESTADO DE POSTVENTAS:  ",GENERAL!AB145))</f>
        <v>OK
ESTADO DE POSTVENTAS:  POSTVENTA CORREGIDA</v>
      </c>
      <c r="AB144" s="51" t="str">
        <f>+IF(GENERAL!AC145=GENERAL!$AI$2,GENERAL!$AI$2,CONCATENATE(OBSERVACIONES!AB144,"
ESTADO DE POSTVENTAS:  ",GENERAL!AC145))</f>
        <v>OK
ESTADO DE POSTVENTAS:  POSTVENTA CORREGIDA</v>
      </c>
      <c r="AC144" s="51" t="str">
        <f>+IF(GENERAL!AD145=GENERAL!$AI$2,GENERAL!$AI$2,CONCATENATE(OBSERVACIONES!AC144,"
ESTADO DE POSTVENTAS:  ",GENERAL!AD145))</f>
        <v>OK
ESTADO DE POSTVENTAS:  POSTVENTA CORREGIDA</v>
      </c>
      <c r="AD144" s="51" t="str">
        <f>+IF(GENERAL!AE145=GENERAL!$AI$2,GENERAL!$AI$2,CONCATENATE(OBSERVACIONES!AD144,"
ESTADO DE POSTVENTAS:  ",GENERAL!AE145))</f>
        <v>OK
ESTADO DE POSTVENTAS:  POSTVENTA CORREGIDA</v>
      </c>
      <c r="AE144" s="51" t="str">
        <f>+IF(GENERAL!AF145=GENERAL!$AI$2,GENERAL!$AI$2,CONCATENATE(OBSERVACIONES!AE144,"
ESTADO DE POSTVENTAS:  ",GENERAL!AF145))</f>
        <v>OK
ESTADO DE POSTVENTAS:  POSTVENTA CORREGIDA</v>
      </c>
      <c r="AF144" s="51" t="str">
        <f>+IF(GENERAL!AG145=GENERAL!$AI$2,GENERAL!$AI$2,CONCATENATE(OBSERVACIONES!AF144,"
ESTADO DE POSTVENTAS:  ",GENERAL!AG145))</f>
        <v>OK
ESTADO DE POSTVENTAS:  POSTVENTA CORREGIDA</v>
      </c>
      <c r="AG144" s="51" t="str">
        <f>+IF(GENERAL!AH145=GENERAL!$AI$2,GENERAL!$AI$2,CONCATENATE(OBSERVACIONES!AG144,"
ESTADO DE POSTVENTAS:  ",GENERAL!AH145))</f>
        <v>OK
ESTADO DE POSTVENTAS:  POSTVENTA CORREGIDA</v>
      </c>
      <c r="AH144" s="70" t="str">
        <f>+IF(GENERAL!AI145=GENERAL!$AI$2,GENERAL!$AI$2,CONCATENATE(OBSERVACIONES!AH144,"
ESTADO DE POSTVENTAS:  ",GENERAL!AI145))</f>
        <v>OK
ESTADO DE POSTVENTAS:  POSTVENTA CORREGIDA</v>
      </c>
      <c r="AI144" s="51" t="str">
        <f>+IF(GENERAL!AG145=GENERAL!$AI$2,GENERAL!$AI$2,CONCATENATE(OBSERVACIONES!AF144,"
ESTADO DE POSTVENTAS:  ",GENERAL!AG145))</f>
        <v>OK
ESTADO DE POSTVENTAS:  POSTVENTA CORREGIDA</v>
      </c>
      <c r="AJ144" s="70" t="str">
        <f>+IF(GENERAL!AI145=GENERAL!$AI$2,GENERAL!$AI$2,CONCATENATE(OBSERVACIONES!AH144,"
ESTADO DE POSTVENTAS:  ",GENERAL!AI145))</f>
        <v>OK
ESTADO DE POSTVENTAS:  POSTVENTA CORREGIDA</v>
      </c>
      <c r="AK144" s="51" t="str">
        <f>+IF(GENERAL!AJ145=GENERAL!$AI$2,GENERAL!$AI$2,CONCATENATE(OBSERVACIONES!AI144,"
ESTADO DE POSTVENTAS:  ",GENERAL!AJ145))</f>
        <v>OK
ESTADO DE POSTVENTAS:  POSTVENTA CORREGIDA</v>
      </c>
      <c r="AL144" s="51" t="str">
        <f>+IF(GENERAL!AK145=GENERAL!$AI$2,GENERAL!$AI$2,CONCATENATE(OBSERVACIONES!AJ144,"
ESTADO DE POSTVENTAS:  ",GENERAL!AK145))</f>
        <v>OK
ESTADO DE POSTVENTAS:  POSTVENTA CORREGIDA</v>
      </c>
      <c r="AM144" s="51" t="str">
        <f>+IF(GENERAL!AN145=GENERAL!$AI$2,GENERAL!$AI$2,CONCATENATE(OBSERVACIONES!AM144,"
ESTADO DE POSTVENTAS:  ",GENERAL!AN145))</f>
        <v>OK
ESTADO DE POSTVENTAS:  POSTVENTA CORREGIDA</v>
      </c>
      <c r="AN144" s="37">
        <v>1</v>
      </c>
      <c r="AO144" s="37">
        <v>10</v>
      </c>
      <c r="AP144" s="37">
        <v>3</v>
      </c>
      <c r="AQ144" s="37">
        <v>1</v>
      </c>
      <c r="AR144" s="43">
        <v>14</v>
      </c>
      <c r="AS144" s="40">
        <v>11</v>
      </c>
      <c r="AT144" s="37">
        <f>COUNTIFS($D$5:$AM$5,"&lt;&gt;"&amp;CODICIONALES!$A$1,$D$5:$AM$5,"&lt;&gt;"&amp;CODICIONALES!$A$2,$D$5:$AM$5,"&lt;&gt;"&amp;CODICIONALES!$B$2,$D$5:$AM$5,"&lt;&gt;"&amp;CODICIONALES!$C$2)</f>
        <v>6</v>
      </c>
      <c r="AU144" s="43">
        <f>COUNTIFS(D144:AM144,CODICIONALES!$A$2)</f>
        <v>34</v>
      </c>
      <c r="AV144" s="40">
        <f t="shared" si="2"/>
        <v>-4</v>
      </c>
    </row>
    <row r="145" spans="1:48" ht="51" customHeight="1" x14ac:dyDescent="0.25">
      <c r="A145" s="110"/>
      <c r="B145" s="2">
        <v>141</v>
      </c>
      <c r="C145" s="21" t="s">
        <v>87</v>
      </c>
      <c r="D145" s="51" t="str">
        <f>+IF(GENERAL!E146=GENERAL!$AI$2,GENERAL!$AI$2,CONCATENATE(OBSERVACIONES!D145,"
ESTADO DE POSTVENTAS:  ",GENERAL!E146))</f>
        <v>NO ENTREGADO
ESTADO DE POSTVENTAS:  TIENE POSTVENTA</v>
      </c>
      <c r="E145" s="70" t="str">
        <f>+IF(GENERAL!F146=GENERAL!$AI$2,GENERAL!$AI$2,CONCATENATE(OBSERVACIONES!E145,"
ESTADO DE POSTVENTAS:  ",GENERAL!F146))</f>
        <v>OK
ESTADO DE POSTVENTAS:  POSTVENTA CORREGIDA</v>
      </c>
      <c r="F145" s="51" t="str">
        <f>+IF(GENERAL!G146=GENERAL!$AI$2,GENERAL!$AI$2,CONCATENATE(OBSERVACIONES!F145,"
ESTADO DE POSTVENTAS:  ",GENERAL!G146))</f>
        <v>OK
ESTADO DE POSTVENTAS:  POSTVENTA CORREGIDA</v>
      </c>
      <c r="G145" s="51" t="str">
        <f>+IF(GENERAL!H146=GENERAL!$AI$2,GENERAL!$AI$2,CONCATENATE(OBSERVACIONES!G145,"
ESTADO DE POSTVENTAS:  ",GENERAL!H146))</f>
        <v>NO ENTREGADO
ESTADO DE POSTVENTAS:  TIENE POSTVENTA</v>
      </c>
      <c r="H145" s="51" t="str">
        <f>+IF(GENERAL!I146=GENERAL!$AI$2,GENERAL!$AI$2,CONCATENATE(OBSERVACIONES!H145,"
ESTADO DE POSTVENTAS:  ",GENERAL!I146))</f>
        <v>OK
ESTADO DE POSTVENTAS:  POSTVENTA CORREGIDA</v>
      </c>
      <c r="I145" s="51" t="str">
        <f>+IF(GENERAL!J146=GENERAL!$AI$2,GENERAL!$AI$2,CONCATENATE(OBSERVACIONES!I145,"
ESTADO DE POSTVENTAS:  ",GENERAL!J146))</f>
        <v>OK
ESTADO DE POSTVENTAS:  POSTVENTA CORREGIDA</v>
      </c>
      <c r="J145" s="51" t="str">
        <f>+IF(GENERAL!K146=GENERAL!$AI$2,GENERAL!$AI$2,CONCATENATE(OBSERVACIONES!J145,"
ESTADO DE POSTVENTAS:  ",GENERAL!K146))</f>
        <v>OK
ESTADO DE POSTVENTAS:  POSTVENTA CORREGIDA</v>
      </c>
      <c r="K145" s="51" t="str">
        <f>+IF(GENERAL!L146=GENERAL!$AI$2,GENERAL!$AI$2,CONCATENATE(OBSERVACIONES!K145,"
ESTADO DE POSTVENTAS:  ",GENERAL!L146))</f>
        <v>OK
ESTADO DE POSTVENTAS:  POSTVENTA CORREGIDA</v>
      </c>
      <c r="L145" s="51" t="str">
        <f>+IF(GENERAL!M146=GENERAL!$AI$2,GENERAL!$AI$2,CONCATENATE(OBSERVACIONES!L145,"
ESTADO DE POSTVENTAS:  ",GENERAL!M146))</f>
        <v>OK
ESTADO DE POSTVENTAS:  POSTVENTA CORREGIDA</v>
      </c>
      <c r="M145" s="70" t="str">
        <f>+IF(GENERAL!N146=GENERAL!$AI$2,GENERAL!$AI$2,CONCATENATE(OBSERVACIONES!M145,"
ESTADO DE POSTVENTAS:  ",GENERAL!N146))</f>
        <v>OK
ESTADO DE POSTVENTAS:  POSTVENTA CORREGIDA</v>
      </c>
      <c r="N145" s="51" t="str">
        <f>+IF(GENERAL!O146=GENERAL!$AI$2,GENERAL!$AI$2,CONCATENATE(OBSERVACIONES!N145,"
ESTADO DE POSTVENTAS:  ",GENERAL!O146))</f>
        <v>OK
ESTADO DE POSTVENTAS:  POSTVENTA CORREGIDA</v>
      </c>
      <c r="O145" s="51" t="str">
        <f>+IF(GENERAL!P146=GENERAL!$AI$2,GENERAL!$AI$2,CONCATENATE(OBSERVACIONES!O145,"
ESTADO DE POSTVENTAS:  ",GENERAL!P146))</f>
        <v>OK
ESTADO DE POSTVENTAS:  POSTVENTA CORREGIDA</v>
      </c>
      <c r="P145" s="70" t="str">
        <f>+IF(GENERAL!Q146=GENERAL!$AI$2,GENERAL!$AI$2,CONCATENATE(OBSERVACIONES!P145,"
ESTADO DE POSTVENTAS:  ",GENERAL!Q146))</f>
        <v>OK
ESTADO DE POSTVENTAS:  POSTVENTA CORREGIDA</v>
      </c>
      <c r="Q145" s="70" t="str">
        <f>+IF(GENERAL!R146=GENERAL!$AI$2,GENERAL!$AI$2,CONCATENATE(OBSERVACIONES!Q145,"
ESTADO DE POSTVENTAS:  ",GENERAL!R146))</f>
        <v>OK
ESTADO DE POSTVENTAS:  POSTVENTA CORREGIDA</v>
      </c>
      <c r="R145" s="51" t="str">
        <f>+IF(GENERAL!S146=GENERAL!$AI$2,GENERAL!$AI$2,CONCATENATE(OBSERVACIONES!R145,"
ESTADO DE POSTVENTAS:  ",GENERAL!S146))</f>
        <v>OK
ESTADO DE POSTVENTAS:  POSTVENTA CORREGIDA</v>
      </c>
      <c r="S145" s="51" t="str">
        <f>+IF(GENERAL!T146=GENERAL!$AI$2,GENERAL!$AI$2,CONCATENATE(OBSERVACIONES!S145,"
ESTADO DE POSTVENTAS:  ",GENERAL!T146))</f>
        <v>OK
ESTADO DE POSTVENTAS:  POSTVENTA CORREGIDA</v>
      </c>
      <c r="T145" s="51" t="str">
        <f>+IF(GENERAL!U146=GENERAL!$AI$2,GENERAL!$AI$2,CONCATENATE(OBSERVACIONES!T145,"
ESTADO DE POSTVENTAS:  ",GENERAL!U146))</f>
        <v>OK
ESTADO DE POSTVENTAS:  POSTVENTA CORREGIDA</v>
      </c>
      <c r="U145" s="51" t="str">
        <f>+IF(GENERAL!V146=GENERAL!$AI$2,GENERAL!$AI$2,CONCATENATE(OBSERVACIONES!U145,"
ESTADO DE POSTVENTAS:  ",GENERAL!V146))</f>
        <v>OK
ESTADO DE POSTVENTAS:  POSTVENTA CORREGIDA</v>
      </c>
      <c r="V145" s="51" t="str">
        <f>+IF(GENERAL!W146=GENERAL!$AI$2,GENERAL!$AI$2,CONCATENATE(OBSERVACIONES!V145,"
ESTADO DE POSTVENTAS:  ",GENERAL!W146))</f>
        <v>OK
ESTADO DE POSTVENTAS:  POSTVENTA CORREGIDA</v>
      </c>
      <c r="W145" s="51" t="str">
        <f>+IF(GENERAL!V146=GENERAL!$AI$2,GENERAL!$AI$2,CONCATENATE(OBSERVACIONES!W145,"
ESTADO DE POSTVENTAS:  ",GENERAL!V146))</f>
        <v>OK
ESTADO DE POSTVENTAS:  POSTVENTA CORREGIDA</v>
      </c>
      <c r="X145" s="51" t="str">
        <f>+IF(GENERAL!W146=GENERAL!$AI$2,GENERAL!$AI$2,CONCATENATE(OBSERVACIONES!X145,"
ESTADO DE POSTVENTAS:  ",GENERAL!W146))</f>
        <v>OK
ESTADO DE POSTVENTAS:  POSTVENTA CORREGIDA</v>
      </c>
      <c r="Y145" s="51" t="str">
        <f>+IF(GENERAL!Z146=GENERAL!$AI$2,GENERAL!$AI$2,CONCATENATE(OBSERVACIONES!Y145,"
ESTADO DE POSTVENTAS:  ",GENERAL!Z146))</f>
        <v>OK
ESTADO DE POSTVENTAS:  POSTVENTA CORREGIDA</v>
      </c>
      <c r="Z145" s="51" t="str">
        <f>+IF(GENERAL!AA146=GENERAL!$AI$2,GENERAL!$AI$2,CONCATENATE(OBSERVACIONES!Z145,"
ESTADO DE POSTVENTAS:  ",GENERAL!AA146))</f>
        <v>OK
ESTADO DE POSTVENTAS:  POSTVENTA CORREGIDA</v>
      </c>
      <c r="AA145" s="51" t="str">
        <f>+IF(GENERAL!AB146=GENERAL!$AI$2,GENERAL!$AI$2,CONCATENATE(OBSERVACIONES!AA145,"
ESTADO DE POSTVENTAS:  ",GENERAL!AB146))</f>
        <v>OK
ESTADO DE POSTVENTAS:  POSTVENTA CORREGIDA</v>
      </c>
      <c r="AB145" s="51" t="str">
        <f>+IF(GENERAL!AC146=GENERAL!$AI$2,GENERAL!$AI$2,CONCATENATE(OBSERVACIONES!AB145,"
ESTADO DE POSTVENTAS:  ",GENERAL!AC146))</f>
        <v>OK
ESTADO DE POSTVENTAS:  POSTVENTA CORREGIDA</v>
      </c>
      <c r="AC145" s="51" t="str">
        <f>+IF(GENERAL!AD146=GENERAL!$AI$2,GENERAL!$AI$2,CONCATENATE(OBSERVACIONES!AC145,"
ESTADO DE POSTVENTAS:  ",GENERAL!AD146))</f>
        <v>OK
ESTADO DE POSTVENTAS:  POSTVENTA CORREGIDA</v>
      </c>
      <c r="AD145" s="51" t="str">
        <f>+IF(GENERAL!AE146=GENERAL!$AI$2,GENERAL!$AI$2,CONCATENATE(OBSERVACIONES!AD145,"
ESTADO DE POSTVENTAS:  ",GENERAL!AE146))</f>
        <v>OK
ESTADO DE POSTVENTAS:  POSTVENTA CORREGIDA</v>
      </c>
      <c r="AE145" s="51" t="str">
        <f>+IF(GENERAL!AF146=GENERAL!$AI$2,GENERAL!$AI$2,CONCATENATE(OBSERVACIONES!AE145,"
ESTADO DE POSTVENTAS:  ",GENERAL!AF146))</f>
        <v>OK
ESTADO DE POSTVENTAS:  POSTVENTA CORREGIDA</v>
      </c>
      <c r="AF145" s="51" t="str">
        <f>+IF(GENERAL!AG146=GENERAL!$AI$2,GENERAL!$AI$2,CONCATENATE(OBSERVACIONES!AF145,"
ESTADO DE POSTVENTAS:  ",GENERAL!AG146))</f>
        <v>OK
ESTADO DE POSTVENTAS:  POSTVENTA CORREGIDA</v>
      </c>
      <c r="AG145" s="51" t="str">
        <f>+IF(GENERAL!AH146=GENERAL!$AI$2,GENERAL!$AI$2,CONCATENATE(OBSERVACIONES!AG145,"
ESTADO DE POSTVENTAS:  ",GENERAL!AH146))</f>
        <v>OK
ESTADO DE POSTVENTAS:  POSTVENTA CORREGIDA</v>
      </c>
      <c r="AH145" s="51" t="str">
        <f>+IF(GENERAL!AI146=GENERAL!$AI$2,GENERAL!$AI$2,CONCATENATE(OBSERVACIONES!AH145,"
ESTADO DE POSTVENTAS:  ",GENERAL!AI146))</f>
        <v>OK
ESTADO DE POSTVENTAS:  POSTVENTA CORREGIDA</v>
      </c>
      <c r="AI145" s="51" t="str">
        <f>+IF(GENERAL!AG146=GENERAL!$AI$2,GENERAL!$AI$2,CONCATENATE(OBSERVACIONES!AF145,"
ESTADO DE POSTVENTAS:  ",GENERAL!AG146))</f>
        <v>OK
ESTADO DE POSTVENTAS:  POSTVENTA CORREGIDA</v>
      </c>
      <c r="AJ145" s="51" t="str">
        <f>+IF(GENERAL!AI146=GENERAL!$AI$2,GENERAL!$AI$2,CONCATENATE(OBSERVACIONES!AH145,"
ESTADO DE POSTVENTAS:  ",GENERAL!AI146))</f>
        <v>OK
ESTADO DE POSTVENTAS:  POSTVENTA CORREGIDA</v>
      </c>
      <c r="AK145" s="51" t="str">
        <f>+IF(GENERAL!AJ146=GENERAL!$AI$2,GENERAL!$AI$2,CONCATENATE(OBSERVACIONES!AI145,"
ESTADO DE POSTVENTAS:  ",GENERAL!AJ146))</f>
        <v>OK
ESTADO DE POSTVENTAS:  POSTVENTA CORREGIDA</v>
      </c>
      <c r="AL145" s="51" t="str">
        <f>+IF(GENERAL!AK146=GENERAL!$AI$2,GENERAL!$AI$2,CONCATENATE(OBSERVACIONES!AJ145,"
ESTADO DE POSTVENTAS:  ",GENERAL!AK146))</f>
        <v>OK
ESTADO DE POSTVENTAS:  POSTVENTA CORREGIDA</v>
      </c>
      <c r="AM145" s="51" t="str">
        <f>+IF(GENERAL!AN146=GENERAL!$AI$2,GENERAL!$AI$2,CONCATENATE(OBSERVACIONES!AM145,"
ESTADO DE POSTVENTAS:  ",GENERAL!AN146))</f>
        <v>OK
ESTADO DE POSTVENTAS:  POSTVENTA CORREGIDA</v>
      </c>
      <c r="AN145" s="37">
        <v>1</v>
      </c>
      <c r="AO145" s="37">
        <v>10</v>
      </c>
      <c r="AP145" s="37">
        <v>3</v>
      </c>
      <c r="AQ145" s="37">
        <v>1</v>
      </c>
      <c r="AR145" s="43">
        <v>14</v>
      </c>
      <c r="AS145" s="40">
        <v>11</v>
      </c>
      <c r="AT145" s="37">
        <f>COUNTIFS($D$5:$AM$5,"&lt;&gt;"&amp;CODICIONALES!$A$1,$D$5:$AM$5,"&lt;&gt;"&amp;CODICIONALES!$A$2,$D$5:$AM$5,"&lt;&gt;"&amp;CODICIONALES!$B$2,$D$5:$AM$5,"&lt;&gt;"&amp;CODICIONALES!$C$2)</f>
        <v>6</v>
      </c>
      <c r="AU145" s="43">
        <f>COUNTIFS(D145:AM145,CODICIONALES!$A$2)</f>
        <v>34</v>
      </c>
      <c r="AV145" s="40">
        <f t="shared" si="2"/>
        <v>-4</v>
      </c>
    </row>
    <row r="146" spans="1:48" ht="51" customHeight="1" x14ac:dyDescent="0.25">
      <c r="A146" s="110"/>
      <c r="B146" s="2">
        <v>142</v>
      </c>
      <c r="C146" s="21" t="s">
        <v>88</v>
      </c>
      <c r="D146" s="51" t="str">
        <f>+IF(GENERAL!E147=GENERAL!$AI$2,GENERAL!$AI$2,CONCATENATE(OBSERVACIONES!D146,"
ESTADO DE POSTVENTAS:  ",GENERAL!E147))</f>
        <v>NO ENTREGADO
ESTADO DE POSTVENTAS:  TIENE POSTVENTA</v>
      </c>
      <c r="E146" s="70" t="str">
        <f>+IF(GENERAL!F147=GENERAL!$AI$2,GENERAL!$AI$2,CONCATENATE(OBSERVACIONES!E146,"
ESTADO DE POSTVENTAS:  ",GENERAL!F147))</f>
        <v>OK
ESTADO DE POSTVENTAS:  POSTVENTA CORREGIDA</v>
      </c>
      <c r="F146" s="51" t="str">
        <f>+IF(GENERAL!G147=GENERAL!$AI$2,GENERAL!$AI$2,CONCATENATE(OBSERVACIONES!F146,"
ESTADO DE POSTVENTAS:  ",GENERAL!G147))</f>
        <v>OK
ESTADO DE POSTVENTAS:  POSTVENTA CORREGIDA</v>
      </c>
      <c r="G146" s="51" t="str">
        <f>+IF(GENERAL!H147=GENERAL!$AI$2,GENERAL!$AI$2,CONCATENATE(OBSERVACIONES!G146,"
ESTADO DE POSTVENTAS:  ",GENERAL!H147))</f>
        <v>NO ENTREGADO
ESTADO DE POSTVENTAS:  TIENE POSTVENTA</v>
      </c>
      <c r="H146" s="51" t="str">
        <f>+IF(GENERAL!I147=GENERAL!$AI$2,GENERAL!$AI$2,CONCATENATE(OBSERVACIONES!H146,"
ESTADO DE POSTVENTAS:  ",GENERAL!I147))</f>
        <v>OK
ESTADO DE POSTVENTAS:  POSTVENTA CORREGIDA</v>
      </c>
      <c r="I146" s="51" t="str">
        <f>+IF(GENERAL!J147=GENERAL!$AI$2,GENERAL!$AI$2,CONCATENATE(OBSERVACIONES!I146,"
ESTADO DE POSTVENTAS:  ",GENERAL!J147))</f>
        <v>OK
ESTADO DE POSTVENTAS:  POSTVENTA CORREGIDA</v>
      </c>
      <c r="J146" s="51" t="str">
        <f>+IF(GENERAL!K147=GENERAL!$AI$2,GENERAL!$AI$2,CONCATENATE(OBSERVACIONES!J146,"
ESTADO DE POSTVENTAS:  ",GENERAL!K147))</f>
        <v>OK
ESTADO DE POSTVENTAS:  POSTVENTA CORREGIDA</v>
      </c>
      <c r="K146" s="51" t="str">
        <f>+IF(GENERAL!L147=GENERAL!$AI$2,GENERAL!$AI$2,CONCATENATE(OBSERVACIONES!K146,"
ESTADO DE POSTVENTAS:  ",GENERAL!L147))</f>
        <v>OK
ESTADO DE POSTVENTAS:  POSTVENTA CORREGIDA</v>
      </c>
      <c r="L146" s="51" t="str">
        <f>+IF(GENERAL!M147=GENERAL!$AI$2,GENERAL!$AI$2,CONCATENATE(OBSERVACIONES!L146,"
ESTADO DE POSTVENTAS:  ",GENERAL!M147))</f>
        <v>OK
ESTADO DE POSTVENTAS:  POSTVENTA CORREGIDA</v>
      </c>
      <c r="M146" s="70" t="str">
        <f>+IF(GENERAL!N147=GENERAL!$AI$2,GENERAL!$AI$2,CONCATENATE(OBSERVACIONES!M146,"
ESTADO DE POSTVENTAS:  ",GENERAL!N147))</f>
        <v>OK
ESTADO DE POSTVENTAS:  POSTVENTA CORREGIDA</v>
      </c>
      <c r="N146" s="51" t="str">
        <f>+IF(GENERAL!O147=GENERAL!$AI$2,GENERAL!$AI$2,CONCATENATE(OBSERVACIONES!N146,"
ESTADO DE POSTVENTAS:  ",GENERAL!O147))</f>
        <v>OK
ESTADO DE POSTVENTAS:  POSTVENTA CORREGIDA</v>
      </c>
      <c r="O146" s="51" t="str">
        <f>+IF(GENERAL!P147=GENERAL!$AI$2,GENERAL!$AI$2,CONCATENATE(OBSERVACIONES!O146,"
ESTADO DE POSTVENTAS:  ",GENERAL!P147))</f>
        <v>OK
ESTADO DE POSTVENTAS:  POSTVENTA CORREGIDA</v>
      </c>
      <c r="P146" s="70" t="str">
        <f>+IF(GENERAL!Q147=GENERAL!$AI$2,GENERAL!$AI$2,CONCATENATE(OBSERVACIONES!P146,"
ESTADO DE POSTVENTAS:  ",GENERAL!Q147))</f>
        <v>OK
ESTADO DE POSTVENTAS:  POSTVENTA CORREGIDA</v>
      </c>
      <c r="Q146" s="70" t="str">
        <f>+IF(GENERAL!R147=GENERAL!$AI$2,GENERAL!$AI$2,CONCATENATE(OBSERVACIONES!Q146,"
ESTADO DE POSTVENTAS:  ",GENERAL!R147))</f>
        <v>OK
ESTADO DE POSTVENTAS:  POSTVENTA CORREGIDA</v>
      </c>
      <c r="R146" s="51" t="str">
        <f>+IF(GENERAL!S147=GENERAL!$AI$2,GENERAL!$AI$2,CONCATENATE(OBSERVACIONES!R146,"
ESTADO DE POSTVENTAS:  ",GENERAL!S147))</f>
        <v>OK
ESTADO DE POSTVENTAS:  POSTVENTA CORREGIDA</v>
      </c>
      <c r="S146" s="51" t="str">
        <f>+IF(GENERAL!T147=GENERAL!$AI$2,GENERAL!$AI$2,CONCATENATE(OBSERVACIONES!S146,"
ESTADO DE POSTVENTAS:  ",GENERAL!T147))</f>
        <v>OK
ESTADO DE POSTVENTAS:  POSTVENTA CORREGIDA</v>
      </c>
      <c r="T146" s="51" t="str">
        <f>+IF(GENERAL!U147=GENERAL!$AI$2,GENERAL!$AI$2,CONCATENATE(OBSERVACIONES!T146,"
ESTADO DE POSTVENTAS:  ",GENERAL!U147))</f>
        <v>OK
ESTADO DE POSTVENTAS:  POSTVENTA CORREGIDA</v>
      </c>
      <c r="U146" s="51" t="str">
        <f>+IF(GENERAL!V147=GENERAL!$AI$2,GENERAL!$AI$2,CONCATENATE(OBSERVACIONES!U146,"
ESTADO DE POSTVENTAS:  ",GENERAL!V147))</f>
        <v>OK
ESTADO DE POSTVENTAS:  POSTVENTA CORREGIDA</v>
      </c>
      <c r="V146" s="51" t="str">
        <f>+IF(GENERAL!W147=GENERAL!$AI$2,GENERAL!$AI$2,CONCATENATE(OBSERVACIONES!V146,"
ESTADO DE POSTVENTAS:  ",GENERAL!W147))</f>
        <v>OK
ESTADO DE POSTVENTAS:  POSTVENTA CORREGIDA</v>
      </c>
      <c r="W146" s="51" t="str">
        <f>+IF(GENERAL!V147=GENERAL!$AI$2,GENERAL!$AI$2,CONCATENATE(OBSERVACIONES!W146,"
ESTADO DE POSTVENTAS:  ",GENERAL!V147))</f>
        <v>OK
ESTADO DE POSTVENTAS:  POSTVENTA CORREGIDA</v>
      </c>
      <c r="X146" s="51" t="str">
        <f>+IF(GENERAL!W147=GENERAL!$AI$2,GENERAL!$AI$2,CONCATENATE(OBSERVACIONES!X146,"
ESTADO DE POSTVENTAS:  ",GENERAL!W147))</f>
        <v>OK
ESTADO DE POSTVENTAS:  POSTVENTA CORREGIDA</v>
      </c>
      <c r="Y146" s="51" t="str">
        <f>+IF(GENERAL!Z147=GENERAL!$AI$2,GENERAL!$AI$2,CONCATENATE(OBSERVACIONES!Y146,"
ESTADO DE POSTVENTAS:  ",GENERAL!Z147))</f>
        <v>OK
ESTADO DE POSTVENTAS:  POSTVENTA CORREGIDA</v>
      </c>
      <c r="Z146" s="51" t="str">
        <f>+IF(GENERAL!AA147=GENERAL!$AI$2,GENERAL!$AI$2,CONCATENATE(OBSERVACIONES!Z146,"
ESTADO DE POSTVENTAS:  ",GENERAL!AA147))</f>
        <v>OK
ESTADO DE POSTVENTAS:  POSTVENTA CORREGIDA</v>
      </c>
      <c r="AA146" s="51" t="str">
        <f>+IF(GENERAL!AB147=GENERAL!$AI$2,GENERAL!$AI$2,CONCATENATE(OBSERVACIONES!AA146,"
ESTADO DE POSTVENTAS:  ",GENERAL!AB147))</f>
        <v>OK
ESTADO DE POSTVENTAS:  POSTVENTA CORREGIDA</v>
      </c>
      <c r="AB146" s="70" t="str">
        <f>+IF(GENERAL!AC147=GENERAL!$AI$2,GENERAL!$AI$2,CONCATENATE(OBSERVACIONES!AB146,"
ESTADO DE POSTVENTAS:  ",GENERAL!AC147))</f>
        <v>OK
ESTADO DE POSTVENTAS:  POSTVENTA CORREGIDA</v>
      </c>
      <c r="AC146" s="51" t="str">
        <f>+IF(GENERAL!AD147=GENERAL!$AI$2,GENERAL!$AI$2,CONCATENATE(OBSERVACIONES!AC146,"
ESTADO DE POSTVENTAS:  ",GENERAL!AD147))</f>
        <v>OK
ESTADO DE POSTVENTAS:  POSTVENTA CORREGIDA</v>
      </c>
      <c r="AD146" s="51" t="str">
        <f>+IF(GENERAL!AE147=GENERAL!$AI$2,GENERAL!$AI$2,CONCATENATE(OBSERVACIONES!AD146,"
ESTADO DE POSTVENTAS:  ",GENERAL!AE147))</f>
        <v>OK
ESTADO DE POSTVENTAS:  POSTVENTA CORREGIDA</v>
      </c>
      <c r="AE146" s="51" t="str">
        <f>+IF(GENERAL!AF147=GENERAL!$AI$2,GENERAL!$AI$2,CONCATENATE(OBSERVACIONES!AE146,"
ESTADO DE POSTVENTAS:  ",GENERAL!AF147))</f>
        <v>OK
ESTADO DE POSTVENTAS:  POSTVENTA CORREGIDA</v>
      </c>
      <c r="AF146" s="51" t="str">
        <f>+IF(GENERAL!AG147=GENERAL!$AI$2,GENERAL!$AI$2,CONCATENATE(OBSERVACIONES!AF146,"
ESTADO DE POSTVENTAS:  ",GENERAL!AG147))</f>
        <v>OK
ESTADO DE POSTVENTAS:  POSTVENTA CORREGIDA</v>
      </c>
      <c r="AG146" s="51" t="str">
        <f>+IF(GENERAL!AH147=GENERAL!$AI$2,GENERAL!$AI$2,CONCATENATE(OBSERVACIONES!AG146,"
ESTADO DE POSTVENTAS:  ",GENERAL!AH147))</f>
        <v>OK
ESTADO DE POSTVENTAS:  POSTVENTA CORREGIDA</v>
      </c>
      <c r="AH146" s="51" t="str">
        <f>+IF(GENERAL!AI147=GENERAL!$AI$2,GENERAL!$AI$2,CONCATENATE(OBSERVACIONES!AH146,"
ESTADO DE POSTVENTAS:  ",GENERAL!AI147))</f>
        <v>OK
ESTADO DE POSTVENTAS:  POSTVENTA CORREGIDA</v>
      </c>
      <c r="AI146" s="51" t="str">
        <f>+IF(GENERAL!AG147=GENERAL!$AI$2,GENERAL!$AI$2,CONCATENATE(OBSERVACIONES!AF146,"
ESTADO DE POSTVENTAS:  ",GENERAL!AG147))</f>
        <v>OK
ESTADO DE POSTVENTAS:  POSTVENTA CORREGIDA</v>
      </c>
      <c r="AJ146" s="51" t="str">
        <f>+IF(GENERAL!AI147=GENERAL!$AI$2,GENERAL!$AI$2,CONCATENATE(OBSERVACIONES!AH146,"
ESTADO DE POSTVENTAS:  ",GENERAL!AI147))</f>
        <v>OK
ESTADO DE POSTVENTAS:  POSTVENTA CORREGIDA</v>
      </c>
      <c r="AK146" s="51" t="str">
        <f>+IF(GENERAL!AJ147=GENERAL!$AI$2,GENERAL!$AI$2,CONCATENATE(OBSERVACIONES!AI146,"
ESTADO DE POSTVENTAS:  ",GENERAL!AJ147))</f>
        <v>OK
ESTADO DE POSTVENTAS:  POSTVENTA CORREGIDA</v>
      </c>
      <c r="AL146" s="51" t="str">
        <f>+IF(GENERAL!AK147=GENERAL!$AI$2,GENERAL!$AI$2,CONCATENATE(OBSERVACIONES!AJ146,"
ESTADO DE POSTVENTAS:  ",GENERAL!AK147))</f>
        <v>OK
ESTADO DE POSTVENTAS:  POSTVENTA CORREGIDA</v>
      </c>
      <c r="AM146" s="51" t="str">
        <f>+IF(GENERAL!AN147=GENERAL!$AI$2,GENERAL!$AI$2,CONCATENATE(OBSERVACIONES!AM146,"
ESTADO DE POSTVENTAS:  ",GENERAL!AN147))</f>
        <v>OK
ESTADO DE POSTVENTAS:  POSTVENTA CORREGIDA</v>
      </c>
      <c r="AN146" s="37">
        <v>3</v>
      </c>
      <c r="AO146" s="37">
        <v>8</v>
      </c>
      <c r="AP146" s="37">
        <v>3</v>
      </c>
      <c r="AQ146" s="37">
        <v>1</v>
      </c>
      <c r="AR146" s="43">
        <v>13</v>
      </c>
      <c r="AS146" s="40">
        <v>12</v>
      </c>
      <c r="AT146" s="37">
        <f>COUNTIFS($D$5:$AM$5,"&lt;&gt;"&amp;CODICIONALES!$A$1,$D$5:$AM$5,"&lt;&gt;"&amp;CODICIONALES!$A$2,$D$5:$AM$5,"&lt;&gt;"&amp;CODICIONALES!$B$2,$D$5:$AM$5,"&lt;&gt;"&amp;CODICIONALES!$C$2)</f>
        <v>6</v>
      </c>
      <c r="AU146" s="43">
        <f>COUNTIFS(D146:AM146,CODICIONALES!$A$2)</f>
        <v>34</v>
      </c>
      <c r="AV146" s="40">
        <f t="shared" si="2"/>
        <v>-4</v>
      </c>
    </row>
    <row r="147" spans="1:48" ht="51" customHeight="1" x14ac:dyDescent="0.25">
      <c r="A147" s="110"/>
      <c r="B147" s="2">
        <v>143</v>
      </c>
      <c r="C147" s="21" t="s">
        <v>89</v>
      </c>
      <c r="D147" s="51" t="str">
        <f>+IF(GENERAL!E148=GENERAL!$AI$2,GENERAL!$AI$2,CONCATENATE(OBSERVACIONES!D147,"
ESTADO DE POSTVENTAS:  ",GENERAL!E148))</f>
        <v>NO ENTREGADO
ESTADO DE POSTVENTAS:  TIENE POSTVENTA</v>
      </c>
      <c r="E147" s="51" t="str">
        <f>+IF(GENERAL!F148=GENERAL!$AI$2,GENERAL!$AI$2,CONCATENATE(OBSERVACIONES!E147,"
ESTADO DE POSTVENTAS:  ",GENERAL!F148))</f>
        <v>OK
ESTADO DE POSTVENTAS:  POSTVENTA CORREGIDA</v>
      </c>
      <c r="F147" s="51" t="str">
        <f>+IF(GENERAL!G148=GENERAL!$AI$2,GENERAL!$AI$2,CONCATENATE(OBSERVACIONES!F147,"
ESTADO DE POSTVENTAS:  ",GENERAL!G148))</f>
        <v>OK
ESTADO DE POSTVENTAS:  POSTVENTA CORREGIDA</v>
      </c>
      <c r="G147" s="51" t="str">
        <f>+IF(GENERAL!H148=GENERAL!$AI$2,GENERAL!$AI$2,CONCATENATE(OBSERVACIONES!G147,"
ESTADO DE POSTVENTAS:  ",GENERAL!H148))</f>
        <v>NO ENTREGADO
ESTADO DE POSTVENTAS:  TIENE POSTVENTA</v>
      </c>
      <c r="H147" s="51" t="str">
        <f>+IF(GENERAL!I148=GENERAL!$AI$2,GENERAL!$AI$2,CONCATENATE(OBSERVACIONES!H147,"
ESTADO DE POSTVENTAS:  ",GENERAL!I148))</f>
        <v>OK
ESTADO DE POSTVENTAS:  POSTVENTA CORREGIDA</v>
      </c>
      <c r="I147" s="51" t="str">
        <f>+IF(GENERAL!J148=GENERAL!$AI$2,GENERAL!$AI$2,CONCATENATE(OBSERVACIONES!I147,"
ESTADO DE POSTVENTAS:  ",GENERAL!J148))</f>
        <v>OK
ESTADO DE POSTVENTAS:  POSTVENTA CORREGIDA</v>
      </c>
      <c r="J147" s="51" t="str">
        <f>+IF(GENERAL!K148=GENERAL!$AI$2,GENERAL!$AI$2,CONCATENATE(OBSERVACIONES!J147,"
ESTADO DE POSTVENTAS:  ",GENERAL!K148))</f>
        <v>OK
ESTADO DE POSTVENTAS:  POSTVENTA CORREGIDA</v>
      </c>
      <c r="K147" s="51" t="str">
        <f>+IF(GENERAL!L148=GENERAL!$AI$2,GENERAL!$AI$2,CONCATENATE(OBSERVACIONES!K147,"
ESTADO DE POSTVENTAS:  ",GENERAL!L148))</f>
        <v>OK
ESTADO DE POSTVENTAS:  POSTVENTA CORREGIDA</v>
      </c>
      <c r="L147" s="51" t="str">
        <f>+IF(GENERAL!M148=GENERAL!$AI$2,GENERAL!$AI$2,CONCATENATE(OBSERVACIONES!L147,"
ESTADO DE POSTVENTAS:  ",GENERAL!M148))</f>
        <v>OK
ESTADO DE POSTVENTAS:  POSTVENTA CORREGIDA</v>
      </c>
      <c r="M147" s="70" t="str">
        <f>+IF(GENERAL!N148=GENERAL!$AI$2,GENERAL!$AI$2,CONCATENATE(OBSERVACIONES!M147,"
ESTADO DE POSTVENTAS:  ",GENERAL!N148))</f>
        <v>OK
ESTADO DE POSTVENTAS:  POSTVENTA CORREGIDA</v>
      </c>
      <c r="N147" s="51" t="str">
        <f>+IF(GENERAL!O148=GENERAL!$AI$2,GENERAL!$AI$2,CONCATENATE(OBSERVACIONES!N147,"
ESTADO DE POSTVENTAS:  ",GENERAL!O148))</f>
        <v>OK
ESTADO DE POSTVENTAS:  POSTVENTA CORREGIDA</v>
      </c>
      <c r="O147" s="51" t="str">
        <f>+IF(GENERAL!P148=GENERAL!$AI$2,GENERAL!$AI$2,CONCATENATE(OBSERVACIONES!O147,"
ESTADO DE POSTVENTAS:  ",GENERAL!P148))</f>
        <v>OK
ESTADO DE POSTVENTAS:  POSTVENTA CORREGIDA</v>
      </c>
      <c r="P147" s="70" t="str">
        <f>+IF(GENERAL!Q148=GENERAL!$AI$2,GENERAL!$AI$2,CONCATENATE(OBSERVACIONES!P147,"
ESTADO DE POSTVENTAS:  ",GENERAL!Q148))</f>
        <v>OK
ESTADO DE POSTVENTAS:  POSTVENTA CORREGIDA</v>
      </c>
      <c r="Q147" s="70" t="str">
        <f>+IF(GENERAL!R148=GENERAL!$AI$2,GENERAL!$AI$2,CONCATENATE(OBSERVACIONES!Q147,"
ESTADO DE POSTVENTAS:  ",GENERAL!R148))</f>
        <v>OK
ESTADO DE POSTVENTAS:  POSTVENTA CORREGIDA</v>
      </c>
      <c r="R147" s="51" t="str">
        <f>+IF(GENERAL!S148=GENERAL!$AI$2,GENERAL!$AI$2,CONCATENATE(OBSERVACIONES!R147,"
ESTADO DE POSTVENTAS:  ",GENERAL!S148))</f>
        <v>OK
ESTADO DE POSTVENTAS:  POSTVENTA CORREGIDA</v>
      </c>
      <c r="S147" s="51" t="str">
        <f>+IF(GENERAL!T148=GENERAL!$AI$2,GENERAL!$AI$2,CONCATENATE(OBSERVACIONES!S147,"
ESTADO DE POSTVENTAS:  ",GENERAL!T148))</f>
        <v>OK
ESTADO DE POSTVENTAS:  POSTVENTA CORREGIDA</v>
      </c>
      <c r="T147" s="51" t="str">
        <f>+IF(GENERAL!U148=GENERAL!$AI$2,GENERAL!$AI$2,CONCATENATE(OBSERVACIONES!T147,"
ESTADO DE POSTVENTAS:  ",GENERAL!U148))</f>
        <v>OK
ESTADO DE POSTVENTAS:  POSTVENTA CORREGIDA</v>
      </c>
      <c r="U147" s="51" t="str">
        <f>+IF(GENERAL!V148=GENERAL!$AI$2,GENERAL!$AI$2,CONCATENATE(OBSERVACIONES!U147,"
ESTADO DE POSTVENTAS:  ",GENERAL!V148))</f>
        <v>OK
ESTADO DE POSTVENTAS:  POSTVENTA CORREGIDA</v>
      </c>
      <c r="V147" s="51" t="str">
        <f>+IF(GENERAL!W148=GENERAL!$AI$2,GENERAL!$AI$2,CONCATENATE(OBSERVACIONES!V147,"
ESTADO DE POSTVENTAS:  ",GENERAL!W148))</f>
        <v>OK
ESTADO DE POSTVENTAS:  POSTVENTA CORREGIDA</v>
      </c>
      <c r="W147" s="51" t="str">
        <f>+IF(GENERAL!V148=GENERAL!$AI$2,GENERAL!$AI$2,CONCATENATE(OBSERVACIONES!W147,"
ESTADO DE POSTVENTAS:  ",GENERAL!V148))</f>
        <v>OK
ESTADO DE POSTVENTAS:  POSTVENTA CORREGIDA</v>
      </c>
      <c r="X147" s="51" t="str">
        <f>+IF(GENERAL!W148=GENERAL!$AI$2,GENERAL!$AI$2,CONCATENATE(OBSERVACIONES!X147,"
ESTADO DE POSTVENTAS:  ",GENERAL!W148))</f>
        <v>OK
ESTADO DE POSTVENTAS:  POSTVENTA CORREGIDA</v>
      </c>
      <c r="Y147" s="51" t="str">
        <f>+IF(GENERAL!Z148=GENERAL!$AI$2,GENERAL!$AI$2,CONCATENATE(OBSERVACIONES!Y147,"
ESTADO DE POSTVENTAS:  ",GENERAL!Z148))</f>
        <v>OK
ESTADO DE POSTVENTAS:  POSTVENTA CORREGIDA</v>
      </c>
      <c r="Z147" s="51" t="str">
        <f>+IF(GENERAL!AA148=GENERAL!$AI$2,GENERAL!$AI$2,CONCATENATE(OBSERVACIONES!Z147,"
ESTADO DE POSTVENTAS:  ",GENERAL!AA148))</f>
        <v>OK
ESTADO DE POSTVENTAS:  POSTVENTA CORREGIDA</v>
      </c>
      <c r="AA147" s="51" t="str">
        <f>+IF(GENERAL!AB148=GENERAL!$AI$2,GENERAL!$AI$2,CONCATENATE(OBSERVACIONES!AA147,"
ESTADO DE POSTVENTAS:  ",GENERAL!AB148))</f>
        <v>OK
ESTADO DE POSTVENTAS:  POSTVENTA CORREGIDA</v>
      </c>
      <c r="AB147" s="51" t="str">
        <f>+IF(GENERAL!AC148=GENERAL!$AI$2,GENERAL!$AI$2,CONCATENATE(OBSERVACIONES!AB147,"
ESTADO DE POSTVENTAS:  ",GENERAL!AC148))</f>
        <v>OK
ESTADO DE POSTVENTAS:  POSTVENTA CORREGIDA</v>
      </c>
      <c r="AC147" s="51" t="str">
        <f>+IF(GENERAL!AD148=GENERAL!$AI$2,GENERAL!$AI$2,CONCATENATE(OBSERVACIONES!AC147,"
ESTADO DE POSTVENTAS:  ",GENERAL!AD148))</f>
        <v>OK
ESTADO DE POSTVENTAS:  POSTVENTA CORREGIDA</v>
      </c>
      <c r="AD147" s="51" t="str">
        <f>+IF(GENERAL!AE148=GENERAL!$AI$2,GENERAL!$AI$2,CONCATENATE(OBSERVACIONES!AD147,"
ESTADO DE POSTVENTAS:  ",GENERAL!AE148))</f>
        <v>OK
ESTADO DE POSTVENTAS:  POSTVENTA CORREGIDA</v>
      </c>
      <c r="AE147" s="51" t="str">
        <f>+IF(GENERAL!AF148=GENERAL!$AI$2,GENERAL!$AI$2,CONCATENATE(OBSERVACIONES!AE147,"
ESTADO DE POSTVENTAS:  ",GENERAL!AF148))</f>
        <v>OK
ESTADO DE POSTVENTAS:  POSTVENTA CORREGIDA</v>
      </c>
      <c r="AF147" s="51" t="str">
        <f>+IF(GENERAL!AG148=GENERAL!$AI$2,GENERAL!$AI$2,CONCATENATE(OBSERVACIONES!AF147,"
ESTADO DE POSTVENTAS:  ",GENERAL!AG148))</f>
        <v>OK
ESTADO DE POSTVENTAS:  POSTVENTA CORREGIDA</v>
      </c>
      <c r="AG147" s="51" t="str">
        <f>+IF(GENERAL!AH148=GENERAL!$AI$2,GENERAL!$AI$2,CONCATENATE(OBSERVACIONES!AG147,"
ESTADO DE POSTVENTAS:  ",GENERAL!AH148))</f>
        <v>OK
ESTADO DE POSTVENTAS:  POSTVENTA CORREGIDA</v>
      </c>
      <c r="AH147" s="51" t="str">
        <f>+IF(GENERAL!AI148=GENERAL!$AI$2,GENERAL!$AI$2,CONCATENATE(OBSERVACIONES!AH147,"
ESTADO DE POSTVENTAS:  ",GENERAL!AI148))</f>
        <v>OK
ESTADO DE POSTVENTAS:  POSTVENTA CORREGIDA</v>
      </c>
      <c r="AI147" s="51" t="str">
        <f>+IF(GENERAL!AG148=GENERAL!$AI$2,GENERAL!$AI$2,CONCATENATE(OBSERVACIONES!AF147,"
ESTADO DE POSTVENTAS:  ",GENERAL!AG148))</f>
        <v>OK
ESTADO DE POSTVENTAS:  POSTVENTA CORREGIDA</v>
      </c>
      <c r="AJ147" s="51" t="str">
        <f>+IF(GENERAL!AI148=GENERAL!$AI$2,GENERAL!$AI$2,CONCATENATE(OBSERVACIONES!AH147,"
ESTADO DE POSTVENTAS:  ",GENERAL!AI148))</f>
        <v>OK
ESTADO DE POSTVENTAS:  POSTVENTA CORREGIDA</v>
      </c>
      <c r="AK147" s="51" t="str">
        <f>+IF(GENERAL!AJ148=GENERAL!$AI$2,GENERAL!$AI$2,CONCATENATE(OBSERVACIONES!AI147,"
ESTADO DE POSTVENTAS:  ",GENERAL!AJ148))</f>
        <v>OK
ESTADO DE POSTVENTAS:  POSTVENTA CORREGIDA</v>
      </c>
      <c r="AL147" s="51" t="str">
        <f>+IF(GENERAL!AK148=GENERAL!$AI$2,GENERAL!$AI$2,CONCATENATE(OBSERVACIONES!AJ147,"
ESTADO DE POSTVENTAS:  ",GENERAL!AK148))</f>
        <v>OK
ESTADO DE POSTVENTAS:  POSTVENTA CORREGIDA</v>
      </c>
      <c r="AM147" s="51" t="str">
        <f>+IF(GENERAL!AN148=GENERAL!$AI$2,GENERAL!$AI$2,CONCATENATE(OBSERVACIONES!AM147,"
ESTADO DE POSTVENTAS:  ",GENERAL!AN148))</f>
        <v>OK
ESTADO DE POSTVENTAS:  POSTVENTA CORREGIDA</v>
      </c>
      <c r="AN147" s="37">
        <v>2</v>
      </c>
      <c r="AO147" s="37">
        <v>9</v>
      </c>
      <c r="AP147" s="37">
        <v>3</v>
      </c>
      <c r="AQ147" s="37">
        <v>1</v>
      </c>
      <c r="AR147" s="43">
        <v>13</v>
      </c>
      <c r="AS147" s="40">
        <v>12</v>
      </c>
      <c r="AT147" s="37">
        <f>COUNTIFS($D$5:$AM$5,"&lt;&gt;"&amp;CODICIONALES!$A$1,$D$5:$AM$5,"&lt;&gt;"&amp;CODICIONALES!$A$2,$D$5:$AM$5,"&lt;&gt;"&amp;CODICIONALES!$B$2,$D$5:$AM$5,"&lt;&gt;"&amp;CODICIONALES!$C$2)</f>
        <v>6</v>
      </c>
      <c r="AU147" s="43">
        <f>COUNTIFS(D147:AM147,CODICIONALES!$A$2)</f>
        <v>34</v>
      </c>
      <c r="AV147" s="40">
        <f t="shared" si="2"/>
        <v>-4</v>
      </c>
    </row>
    <row r="148" spans="1:48" ht="51" customHeight="1" x14ac:dyDescent="0.25">
      <c r="A148" s="110"/>
      <c r="B148" s="2">
        <v>144</v>
      </c>
      <c r="C148" s="21" t="s">
        <v>76</v>
      </c>
      <c r="D148" s="51" t="str">
        <f>+IF(GENERAL!E149=GENERAL!$AI$2,GENERAL!$AI$2,CONCATENATE(OBSERVACIONES!D148,"
ESTADO DE POSTVENTAS:  ",GENERAL!E149))</f>
        <v>NO ENTREGADO
ESTADO DE POSTVENTAS:  TIENE POSTVENTA</v>
      </c>
      <c r="E148" s="51" t="str">
        <f>+IF(GENERAL!F149=GENERAL!$AI$2,GENERAL!$AI$2,CONCATENATE(OBSERVACIONES!E148,"
ESTADO DE POSTVENTAS:  ",GENERAL!F149))</f>
        <v>OK
ESTADO DE POSTVENTAS:  POSTVENTA CORREGIDA</v>
      </c>
      <c r="F148" s="51" t="str">
        <f>+IF(GENERAL!G149=GENERAL!$AI$2,GENERAL!$AI$2,CONCATENATE(OBSERVACIONES!F148,"
ESTADO DE POSTVENTAS:  ",GENERAL!G149))</f>
        <v>OK
ESTADO DE POSTVENTAS:  POSTVENTA CORREGIDA</v>
      </c>
      <c r="G148" s="51" t="str">
        <f>+IF(GENERAL!H149=GENERAL!$AI$2,GENERAL!$AI$2,CONCATENATE(OBSERVACIONES!G148,"
ESTADO DE POSTVENTAS:  ",GENERAL!H149))</f>
        <v>NO ENTREGADO
ESTADO DE POSTVENTAS:  TIENE POSTVENTA</v>
      </c>
      <c r="H148" s="51" t="str">
        <f>+IF(GENERAL!I149=GENERAL!$AI$2,GENERAL!$AI$2,CONCATENATE(OBSERVACIONES!H148,"
ESTADO DE POSTVENTAS:  ",GENERAL!I149))</f>
        <v>OK
ESTADO DE POSTVENTAS:  POSTVENTA CORREGIDA</v>
      </c>
      <c r="I148" s="51" t="str">
        <f>+IF(GENERAL!J149=GENERAL!$AI$2,GENERAL!$AI$2,CONCATENATE(OBSERVACIONES!I148,"
ESTADO DE POSTVENTAS:  ",GENERAL!J149))</f>
        <v>OK
ESTADO DE POSTVENTAS:  POSTVENTA CORREGIDA</v>
      </c>
      <c r="J148" s="51" t="str">
        <f>+IF(GENERAL!K149=GENERAL!$AI$2,GENERAL!$AI$2,CONCATENATE(OBSERVACIONES!J148,"
ESTADO DE POSTVENTAS:  ",GENERAL!K149))</f>
        <v>OK
ESTADO DE POSTVENTAS:  POSTVENTA CORREGIDA</v>
      </c>
      <c r="K148" s="51" t="str">
        <f>+IF(GENERAL!L149=GENERAL!$AI$2,GENERAL!$AI$2,CONCATENATE(OBSERVACIONES!K148,"
ESTADO DE POSTVENTAS:  ",GENERAL!L149))</f>
        <v>OK
ESTADO DE POSTVENTAS:  POSTVENTA CORREGIDA</v>
      </c>
      <c r="L148" s="51" t="str">
        <f>+IF(GENERAL!M149=GENERAL!$AI$2,GENERAL!$AI$2,CONCATENATE(OBSERVACIONES!L148,"
ESTADO DE POSTVENTAS:  ",GENERAL!M149))</f>
        <v>OK
ESTADO DE POSTVENTAS:  POSTVENTA CORREGIDA</v>
      </c>
      <c r="M148" s="70" t="str">
        <f>+IF(GENERAL!N149=GENERAL!$AI$2,GENERAL!$AI$2,CONCATENATE(OBSERVACIONES!M148,"
ESTADO DE POSTVENTAS:  ",GENERAL!N149))</f>
        <v>OK
ESTADO DE POSTVENTAS:  POSTVENTA CORREGIDA</v>
      </c>
      <c r="N148" s="51" t="str">
        <f>+IF(GENERAL!O149=GENERAL!$AI$2,GENERAL!$AI$2,CONCATENATE(OBSERVACIONES!N148,"
ESTADO DE POSTVENTAS:  ",GENERAL!O149))</f>
        <v>OK
ESTADO DE POSTVENTAS:  POSTVENTA CORREGIDA</v>
      </c>
      <c r="O148" s="51" t="str">
        <f>+IF(GENERAL!P149=GENERAL!$AI$2,GENERAL!$AI$2,CONCATENATE(OBSERVACIONES!O148,"
ESTADO DE POSTVENTAS:  ",GENERAL!P149))</f>
        <v>OK
ESTADO DE POSTVENTAS:  POSTVENTA CORREGIDA</v>
      </c>
      <c r="P148" s="70" t="str">
        <f>+IF(GENERAL!Q149=GENERAL!$AI$2,GENERAL!$AI$2,CONCATENATE(OBSERVACIONES!P148,"
ESTADO DE POSTVENTAS:  ",GENERAL!Q149))</f>
        <v>OK
ESTADO DE POSTVENTAS:  POSTVENTA CORREGIDA</v>
      </c>
      <c r="Q148" s="70" t="str">
        <f>+IF(GENERAL!R149=GENERAL!$AI$2,GENERAL!$AI$2,CONCATENATE(OBSERVACIONES!Q148,"
ESTADO DE POSTVENTAS:  ",GENERAL!R149))</f>
        <v>OK
ESTADO DE POSTVENTAS:  POSTVENTA CORREGIDA</v>
      </c>
      <c r="R148" s="51" t="str">
        <f>+IF(GENERAL!S149=GENERAL!$AI$2,GENERAL!$AI$2,CONCATENATE(OBSERVACIONES!R148,"
ESTADO DE POSTVENTAS:  ",GENERAL!S149))</f>
        <v>OK
ESTADO DE POSTVENTAS:  POSTVENTA CORREGIDA</v>
      </c>
      <c r="S148" s="51" t="str">
        <f>+IF(GENERAL!T149=GENERAL!$AI$2,GENERAL!$AI$2,CONCATENATE(OBSERVACIONES!S148,"
ESTADO DE POSTVENTAS:  ",GENERAL!T149))</f>
        <v>OK
ESTADO DE POSTVENTAS:  POSTVENTA CORREGIDA</v>
      </c>
      <c r="T148" s="51" t="str">
        <f>+IF(GENERAL!U149=GENERAL!$AI$2,GENERAL!$AI$2,CONCATENATE(OBSERVACIONES!T148,"
ESTADO DE POSTVENTAS:  ",GENERAL!U149))</f>
        <v>OK
ESTADO DE POSTVENTAS:  POSTVENTA CORREGIDA</v>
      </c>
      <c r="U148" s="51" t="str">
        <f>+IF(GENERAL!V149=GENERAL!$AI$2,GENERAL!$AI$2,CONCATENATE(OBSERVACIONES!U148,"
ESTADO DE POSTVENTAS:  ",GENERAL!V149))</f>
        <v>OK
ESTADO DE POSTVENTAS:  POSTVENTA CORREGIDA</v>
      </c>
      <c r="V148" s="51" t="str">
        <f>+IF(GENERAL!W149=GENERAL!$AI$2,GENERAL!$AI$2,CONCATENATE(OBSERVACIONES!V148,"
ESTADO DE POSTVENTAS:  ",GENERAL!W149))</f>
        <v>OK
ESTADO DE POSTVENTAS:  POSTVENTA CORREGIDA</v>
      </c>
      <c r="W148" s="51" t="str">
        <f>+IF(GENERAL!V149=GENERAL!$AI$2,GENERAL!$AI$2,CONCATENATE(OBSERVACIONES!W148,"
ESTADO DE POSTVENTAS:  ",GENERAL!V149))</f>
        <v>OK
ESTADO DE POSTVENTAS:  POSTVENTA CORREGIDA</v>
      </c>
      <c r="X148" s="51" t="str">
        <f>+IF(GENERAL!W149=GENERAL!$AI$2,GENERAL!$AI$2,CONCATENATE(OBSERVACIONES!X148,"
ESTADO DE POSTVENTAS:  ",GENERAL!W149))</f>
        <v>OK
ESTADO DE POSTVENTAS:  POSTVENTA CORREGIDA</v>
      </c>
      <c r="Y148" s="51" t="str">
        <f>+IF(GENERAL!Z149=GENERAL!$AI$2,GENERAL!$AI$2,CONCATENATE(OBSERVACIONES!Y148,"
ESTADO DE POSTVENTAS:  ",GENERAL!Z149))</f>
        <v>OK
ESTADO DE POSTVENTAS:  POSTVENTA CORREGIDA</v>
      </c>
      <c r="Z148" s="51" t="str">
        <f>+IF(GENERAL!AA149=GENERAL!$AI$2,GENERAL!$AI$2,CONCATENATE(OBSERVACIONES!Z148,"
ESTADO DE POSTVENTAS:  ",GENERAL!AA149))</f>
        <v>OK
ESTADO DE POSTVENTAS:  POSTVENTA CORREGIDA</v>
      </c>
      <c r="AA148" s="51" t="str">
        <f>+IF(GENERAL!AB149=GENERAL!$AI$2,GENERAL!$AI$2,CONCATENATE(OBSERVACIONES!AA148,"
ESTADO DE POSTVENTAS:  ",GENERAL!AB149))</f>
        <v>OK
ESTADO DE POSTVENTAS:  POSTVENTA CORREGIDA</v>
      </c>
      <c r="AB148" s="51" t="str">
        <f>+IF(GENERAL!AC149=GENERAL!$AI$2,GENERAL!$AI$2,CONCATENATE(OBSERVACIONES!AB148,"
ESTADO DE POSTVENTAS:  ",GENERAL!AC149))</f>
        <v>OK
ESTADO DE POSTVENTAS:  POSTVENTA CORREGIDA</v>
      </c>
      <c r="AC148" s="51" t="str">
        <f>+IF(GENERAL!AD149=GENERAL!$AI$2,GENERAL!$AI$2,CONCATENATE(OBSERVACIONES!AC148,"
ESTADO DE POSTVENTAS:  ",GENERAL!AD149))</f>
        <v>OK
ESTADO DE POSTVENTAS:  POSTVENTA CORREGIDA</v>
      </c>
      <c r="AD148" s="51" t="str">
        <f>+IF(GENERAL!AE149=GENERAL!$AI$2,GENERAL!$AI$2,CONCATENATE(OBSERVACIONES!AD148,"
ESTADO DE POSTVENTAS:  ",GENERAL!AE149))</f>
        <v>OK
ESTADO DE POSTVENTAS:  POSTVENTA CORREGIDA</v>
      </c>
      <c r="AE148" s="51" t="str">
        <f>+IF(GENERAL!AF149=GENERAL!$AI$2,GENERAL!$AI$2,CONCATENATE(OBSERVACIONES!AE148,"
ESTADO DE POSTVENTAS:  ",GENERAL!AF149))</f>
        <v>OK
ESTADO DE POSTVENTAS:  POSTVENTA CORREGIDA</v>
      </c>
      <c r="AF148" s="51" t="str">
        <f>+IF(GENERAL!AG149=GENERAL!$AI$2,GENERAL!$AI$2,CONCATENATE(OBSERVACIONES!AF148,"
ESTADO DE POSTVENTAS:  ",GENERAL!AG149))</f>
        <v>OK
ESTADO DE POSTVENTAS:  POSTVENTA CORREGIDA</v>
      </c>
      <c r="AG148" s="51" t="str">
        <f>+IF(GENERAL!AH149=GENERAL!$AI$2,GENERAL!$AI$2,CONCATENATE(OBSERVACIONES!AG148,"
ESTADO DE POSTVENTAS:  ",GENERAL!AH149))</f>
        <v>OK
ESTADO DE POSTVENTAS:  POSTVENTA CORREGIDA</v>
      </c>
      <c r="AH148" s="51" t="str">
        <f>+IF(GENERAL!AI149=GENERAL!$AI$2,GENERAL!$AI$2,CONCATENATE(OBSERVACIONES!AH148,"
ESTADO DE POSTVENTAS:  ",GENERAL!AI149))</f>
        <v>OK
ESTADO DE POSTVENTAS:  POSTVENTA CORREGIDA</v>
      </c>
      <c r="AI148" s="51" t="str">
        <f>+IF(GENERAL!AG149=GENERAL!$AI$2,GENERAL!$AI$2,CONCATENATE(OBSERVACIONES!AF148,"
ESTADO DE POSTVENTAS:  ",GENERAL!AG149))</f>
        <v>OK
ESTADO DE POSTVENTAS:  POSTVENTA CORREGIDA</v>
      </c>
      <c r="AJ148" s="51" t="str">
        <f>+IF(GENERAL!AI149=GENERAL!$AI$2,GENERAL!$AI$2,CONCATENATE(OBSERVACIONES!AH148,"
ESTADO DE POSTVENTAS:  ",GENERAL!AI149))</f>
        <v>OK
ESTADO DE POSTVENTAS:  POSTVENTA CORREGIDA</v>
      </c>
      <c r="AK148" s="51" t="str">
        <f>+IF(GENERAL!AJ149=GENERAL!$AI$2,GENERAL!$AI$2,CONCATENATE(OBSERVACIONES!AI148,"
ESTADO DE POSTVENTAS:  ",GENERAL!AJ149))</f>
        <v>OK
ESTADO DE POSTVENTAS:  POSTVENTA CORREGIDA</v>
      </c>
      <c r="AL148" s="51" t="str">
        <f>+IF(GENERAL!AK149=GENERAL!$AI$2,GENERAL!$AI$2,CONCATENATE(OBSERVACIONES!AJ148,"
ESTADO DE POSTVENTAS:  ",GENERAL!AK149))</f>
        <v>OK
ESTADO DE POSTVENTAS:  POSTVENTA CORREGIDA</v>
      </c>
      <c r="AM148" s="51" t="str">
        <f>+IF(GENERAL!AN149=GENERAL!$AI$2,GENERAL!$AI$2,CONCATENATE(OBSERVACIONES!AM148,"
ESTADO DE POSTVENTAS:  ",GENERAL!AN149))</f>
        <v>OK
ESTADO DE POSTVENTAS:  POSTVENTA CORREGIDA</v>
      </c>
      <c r="AN148" s="37">
        <v>2</v>
      </c>
      <c r="AO148" s="37">
        <v>9</v>
      </c>
      <c r="AP148" s="37">
        <v>3</v>
      </c>
      <c r="AQ148" s="37">
        <v>0</v>
      </c>
      <c r="AR148" s="43">
        <v>14</v>
      </c>
      <c r="AS148" s="40">
        <v>12</v>
      </c>
      <c r="AT148" s="37">
        <f>COUNTIFS($D$5:$AM$5,"&lt;&gt;"&amp;CODICIONALES!$A$1,$D$5:$AM$5,"&lt;&gt;"&amp;CODICIONALES!$A$2,$D$5:$AM$5,"&lt;&gt;"&amp;CODICIONALES!$B$2,$D$5:$AM$5,"&lt;&gt;"&amp;CODICIONALES!$C$2)</f>
        <v>6</v>
      </c>
      <c r="AU148" s="43">
        <f>COUNTIFS(D148:AM148,CODICIONALES!$A$2)</f>
        <v>34</v>
      </c>
      <c r="AV148" s="40">
        <f t="shared" si="2"/>
        <v>-4</v>
      </c>
    </row>
    <row r="149" spans="1:48" ht="51" customHeight="1" x14ac:dyDescent="0.25">
      <c r="A149" s="110"/>
      <c r="B149" s="2">
        <v>145</v>
      </c>
      <c r="C149" s="21" t="s">
        <v>77</v>
      </c>
      <c r="D149" s="51" t="str">
        <f>+IF(GENERAL!E150=GENERAL!$AI$2,GENERAL!$AI$2,CONCATENATE(OBSERVACIONES!D149,"
ESTADO DE POSTVENTAS:  ",GENERAL!E150))</f>
        <v>NO ENTREGADO
ESTADO DE POSTVENTAS:  TIENE POSTVENTA</v>
      </c>
      <c r="E149" s="51" t="str">
        <f>+IF(GENERAL!F150=GENERAL!$AI$2,GENERAL!$AI$2,CONCATENATE(OBSERVACIONES!E149,"
ESTADO DE POSTVENTAS:  ",GENERAL!F150))</f>
        <v>OK
ESTADO DE POSTVENTAS:  POSTVENTA CORREGIDA</v>
      </c>
      <c r="F149" s="51" t="str">
        <f>+IF(GENERAL!G150=GENERAL!$AI$2,GENERAL!$AI$2,CONCATENATE(OBSERVACIONES!F149,"
ESTADO DE POSTVENTAS:  ",GENERAL!G150))</f>
        <v>OK
ESTADO DE POSTVENTAS:  POSTVENTA CORREGIDA</v>
      </c>
      <c r="G149" s="51" t="str">
        <f>+IF(GENERAL!H150=GENERAL!$AI$2,GENERAL!$AI$2,CONCATENATE(OBSERVACIONES!G149,"
ESTADO DE POSTVENTAS:  ",GENERAL!H150))</f>
        <v>NO ENTREGADO
ESTADO DE POSTVENTAS:  TIENE POSTVENTA</v>
      </c>
      <c r="H149" s="51" t="str">
        <f>+IF(GENERAL!I150=GENERAL!$AI$2,GENERAL!$AI$2,CONCATENATE(OBSERVACIONES!H149,"
ESTADO DE POSTVENTAS:  ",GENERAL!I150))</f>
        <v>OK
ESTADO DE POSTVENTAS:  POSTVENTA CORREGIDA</v>
      </c>
      <c r="I149" s="51" t="str">
        <f>+IF(GENERAL!J150=GENERAL!$AI$2,GENERAL!$AI$2,CONCATENATE(OBSERVACIONES!I149,"
ESTADO DE POSTVENTAS:  ",GENERAL!J150))</f>
        <v>OK
ESTADO DE POSTVENTAS:  POSTVENTA CORREGIDA</v>
      </c>
      <c r="J149" s="51" t="str">
        <f>+IF(GENERAL!K150=GENERAL!$AI$2,GENERAL!$AI$2,CONCATENATE(OBSERVACIONES!J149,"
ESTADO DE POSTVENTAS:  ",GENERAL!K150))</f>
        <v>OK
ESTADO DE POSTVENTAS:  POSTVENTA CORREGIDA</v>
      </c>
      <c r="K149" s="51" t="str">
        <f>+IF(GENERAL!L150=GENERAL!$AI$2,GENERAL!$AI$2,CONCATENATE(OBSERVACIONES!K149,"
ESTADO DE POSTVENTAS:  ",GENERAL!L150))</f>
        <v>OK
ESTADO DE POSTVENTAS:  POSTVENTA CORREGIDA</v>
      </c>
      <c r="L149" s="51" t="str">
        <f>+IF(GENERAL!M150=GENERAL!$AI$2,GENERAL!$AI$2,CONCATENATE(OBSERVACIONES!L149,"
ESTADO DE POSTVENTAS:  ",GENERAL!M150))</f>
        <v>OK
ESTADO DE POSTVENTAS:  POSTVENTA CORREGIDA</v>
      </c>
      <c r="M149" s="70" t="str">
        <f>+IF(GENERAL!N150=GENERAL!$AI$2,GENERAL!$AI$2,CONCATENATE(OBSERVACIONES!M149,"
ESTADO DE POSTVENTAS:  ",GENERAL!N150))</f>
        <v>OK
ESTADO DE POSTVENTAS:  POSTVENTA CORREGIDA</v>
      </c>
      <c r="N149" s="51" t="str">
        <f>+IF(GENERAL!O150=GENERAL!$AI$2,GENERAL!$AI$2,CONCATENATE(OBSERVACIONES!N149,"
ESTADO DE POSTVENTAS:  ",GENERAL!O150))</f>
        <v>OK
ESTADO DE POSTVENTAS:  POSTVENTA CORREGIDA</v>
      </c>
      <c r="O149" s="70" t="str">
        <f>+IF(GENERAL!P150=GENERAL!$AI$2,GENERAL!$AI$2,CONCATENATE(OBSERVACIONES!O149,"
ESTADO DE POSTVENTAS:  ",GENERAL!P150))</f>
        <v>OK
ESTADO DE POSTVENTAS:  POSTVENTA CORREGIDA</v>
      </c>
      <c r="P149" s="70" t="str">
        <f>+IF(GENERAL!Q150=GENERAL!$AI$2,GENERAL!$AI$2,CONCATENATE(OBSERVACIONES!P149,"
ESTADO DE POSTVENTAS:  ",GENERAL!Q150))</f>
        <v>OK
ESTADO DE POSTVENTAS:  POSTVENTA CORREGIDA</v>
      </c>
      <c r="Q149" s="70" t="str">
        <f>+IF(GENERAL!R150=GENERAL!$AI$2,GENERAL!$AI$2,CONCATENATE(OBSERVACIONES!Q149,"
ESTADO DE POSTVENTAS:  ",GENERAL!R150))</f>
        <v>OK
ESTADO DE POSTVENTAS:  POSTVENTA CORREGIDA</v>
      </c>
      <c r="R149" s="51" t="str">
        <f>+IF(GENERAL!S150=GENERAL!$AI$2,GENERAL!$AI$2,CONCATENATE(OBSERVACIONES!R149,"
ESTADO DE POSTVENTAS:  ",GENERAL!S150))</f>
        <v>OK
ESTADO DE POSTVENTAS:  POSTVENTA CORREGIDA</v>
      </c>
      <c r="S149" s="51" t="str">
        <f>+IF(GENERAL!T150=GENERAL!$AI$2,GENERAL!$AI$2,CONCATENATE(OBSERVACIONES!S149,"
ESTADO DE POSTVENTAS:  ",GENERAL!T150))</f>
        <v>OK
ESTADO DE POSTVENTAS:  POSTVENTA CORREGIDA</v>
      </c>
      <c r="T149" s="51" t="str">
        <f>+IF(GENERAL!U150=GENERAL!$AI$2,GENERAL!$AI$2,CONCATENATE(OBSERVACIONES!T149,"
ESTADO DE POSTVENTAS:  ",GENERAL!U150))</f>
        <v>OK
ESTADO DE POSTVENTAS:  POSTVENTA CORREGIDA</v>
      </c>
      <c r="U149" s="70" t="str">
        <f>+IF(GENERAL!V150=GENERAL!$AI$2,GENERAL!$AI$2,CONCATENATE(OBSERVACIONES!U149,"
ESTADO DE POSTVENTAS:  ",GENERAL!V150))</f>
        <v>DETALLE PINTURA Y ESTUCO
ESTADO DE POSTVENTAS:  TIENE POSTVENTA</v>
      </c>
      <c r="V149" s="51" t="str">
        <f>+IF(GENERAL!W150=GENERAL!$AI$2,GENERAL!$AI$2,CONCATENATE(OBSERVACIONES!V149,"
ESTADO DE POSTVENTAS:  ",GENERAL!W150))</f>
        <v>OK
ESTADO DE POSTVENTAS:  POSTVENTA CORREGIDA</v>
      </c>
      <c r="W149" s="70" t="str">
        <f>+IF(GENERAL!V150=GENERAL!$AI$2,GENERAL!$AI$2,CONCATENATE(OBSERVACIONES!W149,"
ESTADO DE POSTVENTAS:  ",GENERAL!V150))</f>
        <v>OK
ESTADO DE POSTVENTAS:  TIENE POSTVENTA</v>
      </c>
      <c r="X149" s="51" t="str">
        <f>+IF(GENERAL!W150=GENERAL!$AI$2,GENERAL!$AI$2,CONCATENATE(OBSERVACIONES!X149,"
ESTADO DE POSTVENTAS:  ",GENERAL!W150))</f>
        <v>OK
ESTADO DE POSTVENTAS:  POSTVENTA CORREGIDA</v>
      </c>
      <c r="Y149" s="51" t="str">
        <f>+IF(GENERAL!Z150=GENERAL!$AI$2,GENERAL!$AI$2,CONCATENATE(OBSERVACIONES!Y149,"
ESTADO DE POSTVENTAS:  ",GENERAL!Z150))</f>
        <v>OK
ESTADO DE POSTVENTAS:  POSTVENTA CORREGIDA</v>
      </c>
      <c r="Z149" s="70" t="str">
        <f>+IF(GENERAL!AA150=GENERAL!$AI$2,GENERAL!$AI$2,CONCATENATE(OBSERVACIONES!Z149,"
ESTADO DE POSTVENTAS:  ",GENERAL!AA150))</f>
        <v>DETALLE PINTURA
ESTADO DE POSTVENTAS:  TIENE POSTVENTA</v>
      </c>
      <c r="AA149" s="51" t="str">
        <f>+IF(GENERAL!AB150=GENERAL!$AI$2,GENERAL!$AI$2,CONCATENATE(OBSERVACIONES!AA149,"
ESTADO DE POSTVENTAS:  ",GENERAL!AB150))</f>
        <v>OK
ESTADO DE POSTVENTAS:  POSTVENTA CORREGIDA</v>
      </c>
      <c r="AB149" s="70" t="str">
        <f>+IF(GENERAL!AC150=GENERAL!$AI$2,GENERAL!$AI$2,CONCATENATE(OBSERVACIONES!AB149,"
ESTADO DE POSTVENTAS:  ",GENERAL!AC150))</f>
        <v>OK
ESTADO DE POSTVENTAS:  POSTVENTA CORREGIDA</v>
      </c>
      <c r="AC149" s="70" t="str">
        <f>+IF(GENERAL!AD150=GENERAL!$AI$2,GENERAL!$AI$2,CONCATENATE(OBSERVACIONES!AC149,"
ESTADO DE POSTVENTAS:  ",GENERAL!AD150))</f>
        <v>OK
ESTADO DE POSTVENTAS:  POSTVENTA CORREGIDA</v>
      </c>
      <c r="AD149" s="51" t="str">
        <f>+IF(GENERAL!AE150=GENERAL!$AI$2,GENERAL!$AI$2,CONCATENATE(OBSERVACIONES!AD149,"
ESTADO DE POSTVENTAS:  ",GENERAL!AE150))</f>
        <v>OK
ESTADO DE POSTVENTAS:  POSTVENTA CORREGIDA</v>
      </c>
      <c r="AE149" s="70" t="str">
        <f>+IF(GENERAL!AF150=GENERAL!$AI$2,GENERAL!$AI$2,CONCATENATE(OBSERVACIONES!AE149,"
ESTADO DE POSTVENTAS:  ",GENERAL!AF150))</f>
        <v>DETALLE PINTURA
ESTADO DE POSTVENTAS:  TIENE POSTVENTA</v>
      </c>
      <c r="AF149" s="51" t="str">
        <f>+IF(GENERAL!AG150=GENERAL!$AI$2,GENERAL!$AI$2,CONCATENATE(OBSERVACIONES!AF149,"
ESTADO DE POSTVENTAS:  ",GENERAL!AG150))</f>
        <v>OK
ESTADO DE POSTVENTAS:  POSTVENTA CORREGIDA</v>
      </c>
      <c r="AG149" s="51" t="str">
        <f>+IF(GENERAL!AH150=GENERAL!$AI$2,GENERAL!$AI$2,CONCATENATE(OBSERVACIONES!AG149,"
ESTADO DE POSTVENTAS:  ",GENERAL!AH150))</f>
        <v>OK
ESTADO DE POSTVENTAS:  POSTVENTA CORREGIDA</v>
      </c>
      <c r="AH149" s="51" t="str">
        <f>+IF(GENERAL!AI150=GENERAL!$AI$2,GENERAL!$AI$2,CONCATENATE(OBSERVACIONES!AH149,"
ESTADO DE POSTVENTAS:  ",GENERAL!AI150))</f>
        <v>OK
ESTADO DE POSTVENTAS:  POSTVENTA CORREGIDA</v>
      </c>
      <c r="AI149" s="51" t="str">
        <f>+IF(GENERAL!AG150=GENERAL!$AI$2,GENERAL!$AI$2,CONCATENATE(OBSERVACIONES!AF149,"
ESTADO DE POSTVENTAS:  ",GENERAL!AG150))</f>
        <v>OK
ESTADO DE POSTVENTAS:  POSTVENTA CORREGIDA</v>
      </c>
      <c r="AJ149" s="51" t="str">
        <f>+IF(GENERAL!AI150=GENERAL!$AI$2,GENERAL!$AI$2,CONCATENATE(OBSERVACIONES!AH149,"
ESTADO DE POSTVENTAS:  ",GENERAL!AI150))</f>
        <v>OK
ESTADO DE POSTVENTAS:  POSTVENTA CORREGIDA</v>
      </c>
      <c r="AK149" s="70" t="str">
        <f>+IF(GENERAL!AJ150=GENERAL!$AI$2,GENERAL!$AI$2,CONCATENATE(OBSERVACIONES!AI149,"
ESTADO DE POSTVENTAS:  ",GENERAL!AJ150))</f>
        <v>DETALLE PINTURA
ESTADO DE POSTVENTAS:  TIENE POSTVENTA</v>
      </c>
      <c r="AL149" s="51" t="str">
        <f>+IF(GENERAL!AK150=GENERAL!$AI$2,GENERAL!$AI$2,CONCATENATE(OBSERVACIONES!AJ149,"
ESTADO DE POSTVENTAS:  ",GENERAL!AK150))</f>
        <v>OK
ESTADO DE POSTVENTAS:  POSTVENTA CORREGIDA</v>
      </c>
      <c r="AM149" s="51" t="str">
        <f>+IF(GENERAL!AN150=GENERAL!$AI$2,GENERAL!$AI$2,CONCATENATE(OBSERVACIONES!AM149,"
ESTADO DE POSTVENTAS:  ",GENERAL!AN150))</f>
        <v>OK
ESTADO DE POSTVENTAS:  POSTVENTA CORREGIDA</v>
      </c>
      <c r="AN149" s="37">
        <v>3</v>
      </c>
      <c r="AO149" s="37">
        <v>8</v>
      </c>
      <c r="AP149" s="37">
        <v>3</v>
      </c>
      <c r="AQ149" s="37">
        <v>1</v>
      </c>
      <c r="AR149" s="43">
        <v>13</v>
      </c>
      <c r="AS149" s="40">
        <v>12</v>
      </c>
      <c r="AT149" s="37">
        <f>COUNTIFS($D$5:$AM$5,"&lt;&gt;"&amp;CODICIONALES!$A$1,$D$5:$AM$5,"&lt;&gt;"&amp;CODICIONALES!$A$2,$D$5:$AM$5,"&lt;&gt;"&amp;CODICIONALES!$B$2,$D$5:$AM$5,"&lt;&gt;"&amp;CODICIONALES!$C$2)</f>
        <v>6</v>
      </c>
      <c r="AU149" s="43">
        <f>COUNTIFS(D149:AM149,CODICIONALES!$A$2)</f>
        <v>29</v>
      </c>
      <c r="AV149" s="40">
        <f t="shared" si="2"/>
        <v>1</v>
      </c>
    </row>
    <row r="150" spans="1:48" ht="51" customHeight="1" x14ac:dyDescent="0.25">
      <c r="A150" s="110"/>
      <c r="B150" s="2">
        <v>146</v>
      </c>
      <c r="C150" s="21" t="s">
        <v>59</v>
      </c>
      <c r="D150" s="51" t="str">
        <f>+IF(GENERAL!E151=GENERAL!$AI$2,GENERAL!$AI$2,CONCATENATE(OBSERVACIONES!D150,"
ESTADO DE POSTVENTAS:  ",GENERAL!E151))</f>
        <v>NO ENTREGADO
ESTADO DE POSTVENTAS:  TIENE POSTVENTA</v>
      </c>
      <c r="E150" s="51" t="str">
        <f>+IF(GENERAL!F151=GENERAL!$AI$2,GENERAL!$AI$2,CONCATENATE(OBSERVACIONES!E150,"
ESTADO DE POSTVENTAS:  ",GENERAL!F151))</f>
        <v>OK
ESTADO DE POSTVENTAS:  POSTVENTA CORREGIDA</v>
      </c>
      <c r="F150" s="51" t="str">
        <f>+IF(GENERAL!G151=GENERAL!$AI$2,GENERAL!$AI$2,CONCATENATE(OBSERVACIONES!F150,"
ESTADO DE POSTVENTAS:  ",GENERAL!G151))</f>
        <v>OK
ESTADO DE POSTVENTAS:  POSTVENTA CORREGIDA</v>
      </c>
      <c r="G150" s="51" t="str">
        <f>+IF(GENERAL!H151=GENERAL!$AI$2,GENERAL!$AI$2,CONCATENATE(OBSERVACIONES!G150,"
ESTADO DE POSTVENTAS:  ",GENERAL!H151))</f>
        <v>NO ENTREGADO
ESTADO DE POSTVENTAS:  TIENE POSTVENTA</v>
      </c>
      <c r="H150" s="51" t="str">
        <f>+IF(GENERAL!I151=GENERAL!$AI$2,GENERAL!$AI$2,CONCATENATE(OBSERVACIONES!H150,"
ESTADO DE POSTVENTAS:  ",GENERAL!I151))</f>
        <v>OK
ESTADO DE POSTVENTAS:  POSTVENTA CORREGIDA</v>
      </c>
      <c r="I150" s="51" t="str">
        <f>+IF(GENERAL!J151=GENERAL!$AI$2,GENERAL!$AI$2,CONCATENATE(OBSERVACIONES!I150,"
ESTADO DE POSTVENTAS:  ",GENERAL!J151))</f>
        <v>OK
ESTADO DE POSTVENTAS:  POSTVENTA CORREGIDA</v>
      </c>
      <c r="J150" s="51" t="str">
        <f>+IF(GENERAL!K151=GENERAL!$AI$2,GENERAL!$AI$2,CONCATENATE(OBSERVACIONES!J150,"
ESTADO DE POSTVENTAS:  ",GENERAL!K151))</f>
        <v>OK
ESTADO DE POSTVENTAS:  POSTVENTA CORREGIDA</v>
      </c>
      <c r="K150" s="51" t="str">
        <f>+IF(GENERAL!L151=GENERAL!$AI$2,GENERAL!$AI$2,CONCATENATE(OBSERVACIONES!K150,"
ESTADO DE POSTVENTAS:  ",GENERAL!L151))</f>
        <v>OK
ESTADO DE POSTVENTAS:  POSTVENTA CORREGIDA</v>
      </c>
      <c r="L150" s="51" t="str">
        <f>+IF(GENERAL!M151=GENERAL!$AI$2,GENERAL!$AI$2,CONCATENATE(OBSERVACIONES!L150,"
ESTADO DE POSTVENTAS:  ",GENERAL!M151))</f>
        <v>OK
ESTADO DE POSTVENTAS:  POSTVENTA CORREGIDA</v>
      </c>
      <c r="M150" s="70" t="str">
        <f>+IF(GENERAL!N151=GENERAL!$AI$2,GENERAL!$AI$2,CONCATENATE(OBSERVACIONES!M150,"
ESTADO DE POSTVENTAS:  ",GENERAL!N151))</f>
        <v>OK
ESTADO DE POSTVENTAS:  POSTVENTA CORREGIDA</v>
      </c>
      <c r="N150" s="51" t="str">
        <f>+IF(GENERAL!O151=GENERAL!$AI$2,GENERAL!$AI$2,CONCATENATE(OBSERVACIONES!N150,"
ESTADO DE POSTVENTAS:  ",GENERAL!O151))</f>
        <v>OK
ESTADO DE POSTVENTAS:  POSTVENTA CORREGIDA</v>
      </c>
      <c r="O150" s="51" t="str">
        <f>+IF(GENERAL!P151=GENERAL!$AI$2,GENERAL!$AI$2,CONCATENATE(OBSERVACIONES!O150,"
ESTADO DE POSTVENTAS:  ",GENERAL!P151))</f>
        <v>OK
ESTADO DE POSTVENTAS:  POSTVENTA CORREGIDA</v>
      </c>
      <c r="P150" s="70" t="str">
        <f>+IF(GENERAL!Q151=GENERAL!$AI$2,GENERAL!$AI$2,CONCATENATE(OBSERVACIONES!P150,"
ESTADO DE POSTVENTAS:  ",GENERAL!Q151))</f>
        <v>OK
ESTADO DE POSTVENTAS:  POSTVENTA CORREGIDA</v>
      </c>
      <c r="Q150" s="70" t="str">
        <f>+IF(GENERAL!R151=GENERAL!$AI$2,GENERAL!$AI$2,CONCATENATE(OBSERVACIONES!Q150,"
ESTADO DE POSTVENTAS:  ",GENERAL!R151))</f>
        <v>OK
ESTADO DE POSTVENTAS:  POSTVENTA CORREGIDA</v>
      </c>
      <c r="R150" s="51" t="str">
        <f>+IF(GENERAL!S151=GENERAL!$AI$2,GENERAL!$AI$2,CONCATENATE(OBSERVACIONES!R150,"
ESTADO DE POSTVENTAS:  ",GENERAL!S151))</f>
        <v>OK
ESTADO DE POSTVENTAS:  POSTVENTA CORREGIDA</v>
      </c>
      <c r="S150" s="51" t="str">
        <f>+IF(GENERAL!T151=GENERAL!$AI$2,GENERAL!$AI$2,CONCATENATE(OBSERVACIONES!S150,"
ESTADO DE POSTVENTAS:  ",GENERAL!T151))</f>
        <v>DETALLE DESNIVEL
ESTADO DE POSTVENTAS:  TIENE POSTVENTA</v>
      </c>
      <c r="T150" s="51" t="str">
        <f>+IF(GENERAL!U151=GENERAL!$AI$2,GENERAL!$AI$2,CONCATENATE(OBSERVACIONES!T150,"
ESTADO DE POSTVENTAS:  ",GENERAL!U151))</f>
        <v>OK
ESTADO DE POSTVENTAS:  POSTVENTA CORREGIDA</v>
      </c>
      <c r="U150" s="51" t="str">
        <f>+IF(GENERAL!V151=GENERAL!$AI$2,GENERAL!$AI$2,CONCATENATE(OBSERVACIONES!U150,"
ESTADO DE POSTVENTAS:  ",GENERAL!V151))</f>
        <v>OK
ESTADO DE POSTVENTAS:  POSTVENTA CORREGIDA</v>
      </c>
      <c r="V150" s="51" t="str">
        <f>+IF(GENERAL!W151=GENERAL!$AI$2,GENERAL!$AI$2,CONCATENATE(OBSERVACIONES!V150,"
ESTADO DE POSTVENTAS:  ",GENERAL!W151))</f>
        <v>OK
ESTADO DE POSTVENTAS:  POSTVENTA CORREGIDA</v>
      </c>
      <c r="W150" s="51" t="str">
        <f>+IF(GENERAL!V151=GENERAL!$AI$2,GENERAL!$AI$2,CONCATENATE(OBSERVACIONES!W150,"
ESTADO DE POSTVENTAS:  ",GENERAL!V151))</f>
        <v>OK
ESTADO DE POSTVENTAS:  POSTVENTA CORREGIDA</v>
      </c>
      <c r="X150" s="51" t="str">
        <f>+IF(GENERAL!W151=GENERAL!$AI$2,GENERAL!$AI$2,CONCATENATE(OBSERVACIONES!X150,"
ESTADO DE POSTVENTAS:  ",GENERAL!W151))</f>
        <v>OK
ESTADO DE POSTVENTAS:  POSTVENTA CORREGIDA</v>
      </c>
      <c r="Y150" s="51" t="str">
        <f>+IF(GENERAL!Z151=GENERAL!$AI$2,GENERAL!$AI$2,CONCATENATE(OBSERVACIONES!Y150,"
ESTADO DE POSTVENTAS:  ",GENERAL!Z151))</f>
        <v>OK
ESTADO DE POSTVENTAS:  POSTVENTA CORREGIDA</v>
      </c>
      <c r="Z150" s="51" t="str">
        <f>+IF(GENERAL!AA151=GENERAL!$AI$2,GENERAL!$AI$2,CONCATENATE(OBSERVACIONES!Z150,"
ESTADO DE POSTVENTAS:  ",GENERAL!AA151))</f>
        <v>OK
ESTADO DE POSTVENTAS:  POSTVENTA CORREGIDA</v>
      </c>
      <c r="AA150" s="70" t="str">
        <f>+IF(GENERAL!AB151=GENERAL!$AI$2,GENERAL!$AI$2,CONCATENATE(OBSERVACIONES!AA150,"
ESTADO DE POSTVENTAS:  ",GENERAL!AB151))</f>
        <v>DETALLE BALDOSAS
ESTADO DE POSTVENTAS:  TIENE POSTVENTA</v>
      </c>
      <c r="AB150" s="51" t="str">
        <f>+IF(GENERAL!AC151=GENERAL!$AI$2,GENERAL!$AI$2,CONCATENATE(OBSERVACIONES!AB150,"
ESTADO DE POSTVENTAS:  ",GENERAL!AC151))</f>
        <v>OK
ESTADO DE POSTVENTAS:  POSTVENTA CORREGIDA</v>
      </c>
      <c r="AC150" s="51" t="str">
        <f>+IF(GENERAL!AD151=GENERAL!$AI$2,GENERAL!$AI$2,CONCATENATE(OBSERVACIONES!AC150,"
ESTADO DE POSTVENTAS:  ",GENERAL!AD151))</f>
        <v>OK
ESTADO DE POSTVENTAS:  POSTVENTA CORREGIDA</v>
      </c>
      <c r="AD150" s="51" t="str">
        <f>+IF(GENERAL!AE151=GENERAL!$AI$2,GENERAL!$AI$2,CONCATENATE(OBSERVACIONES!AD150,"
ESTADO DE POSTVENTAS:  ",GENERAL!AE151))</f>
        <v>OK
ESTADO DE POSTVENTAS:  POSTVENTA CORREGIDA</v>
      </c>
      <c r="AE150" s="51" t="str">
        <f>+IF(GENERAL!AF151=GENERAL!$AI$2,GENERAL!$AI$2,CONCATENATE(OBSERVACIONES!AE150,"
ESTADO DE POSTVENTAS:  ",GENERAL!AF151))</f>
        <v>OK
ESTADO DE POSTVENTAS:  POSTVENTA CORREGIDA</v>
      </c>
      <c r="AF150" s="51" t="str">
        <f>+IF(GENERAL!AG151=GENERAL!$AI$2,GENERAL!$AI$2,CONCATENATE(OBSERVACIONES!AF150,"
ESTADO DE POSTVENTAS:  ",GENERAL!AG151))</f>
        <v>OK
ESTADO DE POSTVENTAS:  POSTVENTA CORREGIDA</v>
      </c>
      <c r="AG150" s="51" t="str">
        <f>+IF(GENERAL!AH151=GENERAL!$AI$2,GENERAL!$AI$2,CONCATENATE(OBSERVACIONES!AG150,"
ESTADO DE POSTVENTAS:  ",GENERAL!AH151))</f>
        <v>OK
ESTADO DE POSTVENTAS:  POSTVENTA CORREGIDA</v>
      </c>
      <c r="AH150" s="51" t="str">
        <f>+IF(GENERAL!AI151=GENERAL!$AI$2,GENERAL!$AI$2,CONCATENATE(OBSERVACIONES!AH150,"
ESTADO DE POSTVENTAS:  ",GENERAL!AI151))</f>
        <v>OK
ESTADO DE POSTVENTAS:  POSTVENTA CORREGIDA</v>
      </c>
      <c r="AI150" s="51" t="str">
        <f>+IF(GENERAL!AG151=GENERAL!$AI$2,GENERAL!$AI$2,CONCATENATE(OBSERVACIONES!AF150,"
ESTADO DE POSTVENTAS:  ",GENERAL!AG151))</f>
        <v>OK
ESTADO DE POSTVENTAS:  POSTVENTA CORREGIDA</v>
      </c>
      <c r="AJ150" s="51" t="str">
        <f>+IF(GENERAL!AI151=GENERAL!$AI$2,GENERAL!$AI$2,CONCATENATE(OBSERVACIONES!AH150,"
ESTADO DE POSTVENTAS:  ",GENERAL!AI151))</f>
        <v>OK
ESTADO DE POSTVENTAS:  POSTVENTA CORREGIDA</v>
      </c>
      <c r="AK150" s="51" t="str">
        <f>+IF(GENERAL!AJ151=GENERAL!$AI$2,GENERAL!$AI$2,CONCATENATE(OBSERVACIONES!AI150,"
ESTADO DE POSTVENTAS:  ",GENERAL!AJ151))</f>
        <v>OK
ESTADO DE POSTVENTAS:  POSTVENTA CORREGIDA</v>
      </c>
      <c r="AL150" s="51" t="str">
        <f>+IF(GENERAL!AK151=GENERAL!$AI$2,GENERAL!$AI$2,CONCATENATE(OBSERVACIONES!AJ150,"
ESTADO DE POSTVENTAS:  ",GENERAL!AK151))</f>
        <v>OK
ESTADO DE POSTVENTAS:  POSTVENTA CORREGIDA</v>
      </c>
      <c r="AM150" s="70" t="str">
        <f>+IF(GENERAL!AN151=GENERAL!$AI$2,GENERAL!$AI$2,CONCATENATE(OBSERVACIONES!AM150,"
ESTADO DE POSTVENTAS:  ",GENERAL!AN151))</f>
        <v>DETALLE BALDOSAS
ESTADO DE POSTVENTAS:  TIENE POSTVENTA</v>
      </c>
      <c r="AN150" s="37">
        <v>0</v>
      </c>
      <c r="AO150" s="37">
        <v>11</v>
      </c>
      <c r="AP150" s="37">
        <v>3</v>
      </c>
      <c r="AQ150" s="37">
        <v>0</v>
      </c>
      <c r="AR150" s="43">
        <v>14</v>
      </c>
      <c r="AS150" s="40">
        <v>12</v>
      </c>
      <c r="AT150" s="37">
        <f>COUNTIFS($D$5:$AM$5,"&lt;&gt;"&amp;CODICIONALES!$A$1,$D$5:$AM$5,"&lt;&gt;"&amp;CODICIONALES!$A$2,$D$5:$AM$5,"&lt;&gt;"&amp;CODICIONALES!$B$2,$D$5:$AM$5,"&lt;&gt;"&amp;CODICIONALES!$C$2)</f>
        <v>6</v>
      </c>
      <c r="AU150" s="43">
        <f>COUNTIFS(D150:AM150,CODICIONALES!$A$2)</f>
        <v>31</v>
      </c>
      <c r="AV150" s="40">
        <f t="shared" si="2"/>
        <v>-1</v>
      </c>
    </row>
    <row r="151" spans="1:48" ht="51" customHeight="1" x14ac:dyDescent="0.25">
      <c r="A151" s="110"/>
      <c r="B151" s="2">
        <v>147</v>
      </c>
      <c r="C151" s="21" t="s">
        <v>61</v>
      </c>
      <c r="D151" s="51" t="str">
        <f>+IF(GENERAL!E152=GENERAL!$AI$2,GENERAL!$AI$2,CONCATENATE(OBSERVACIONES!D151,"
ESTADO DE POSTVENTAS:  ",GENERAL!E152))</f>
        <v>NO ENTREGADO
ESTADO DE POSTVENTAS:  TIENE POSTVENTA</v>
      </c>
      <c r="E151" s="51" t="str">
        <f>+IF(GENERAL!F152=GENERAL!$AI$2,GENERAL!$AI$2,CONCATENATE(OBSERVACIONES!E151,"
ESTADO DE POSTVENTAS:  ",GENERAL!F152))</f>
        <v>OK
ESTADO DE POSTVENTAS:  POSTVENTA CORREGIDA</v>
      </c>
      <c r="F151" s="51" t="str">
        <f>+IF(GENERAL!G152=GENERAL!$AI$2,GENERAL!$AI$2,CONCATENATE(OBSERVACIONES!F151,"
ESTADO DE POSTVENTAS:  ",GENERAL!G152))</f>
        <v>OK
ESTADO DE POSTVENTAS:  POSTVENTA CORREGIDA</v>
      </c>
      <c r="G151" s="51" t="str">
        <f>+IF(GENERAL!H152=GENERAL!$AI$2,GENERAL!$AI$2,CONCATENATE(OBSERVACIONES!G151,"
ESTADO DE POSTVENTAS:  ",GENERAL!H152))</f>
        <v>NO ENTREGADO
ESTADO DE POSTVENTAS:  TIENE POSTVENTA</v>
      </c>
      <c r="H151" s="51" t="str">
        <f>+IF(GENERAL!I152=GENERAL!$AI$2,GENERAL!$AI$2,CONCATENATE(OBSERVACIONES!H151,"
ESTADO DE POSTVENTAS:  ",GENERAL!I152))</f>
        <v>OK
ESTADO DE POSTVENTAS:  POSTVENTA CORREGIDA</v>
      </c>
      <c r="I151" s="51" t="str">
        <f>+IF(GENERAL!J152=GENERAL!$AI$2,GENERAL!$AI$2,CONCATENATE(OBSERVACIONES!I151,"
ESTADO DE POSTVENTAS:  ",GENERAL!J152))</f>
        <v>OK
ESTADO DE POSTVENTAS:  POSTVENTA CORREGIDA</v>
      </c>
      <c r="J151" s="51" t="str">
        <f>+IF(GENERAL!K152=GENERAL!$AI$2,GENERAL!$AI$2,CONCATENATE(OBSERVACIONES!J151,"
ESTADO DE POSTVENTAS:  ",GENERAL!K152))</f>
        <v>OK
ESTADO DE POSTVENTAS:  POSTVENTA CORREGIDA</v>
      </c>
      <c r="K151" s="51" t="str">
        <f>+IF(GENERAL!L152=GENERAL!$AI$2,GENERAL!$AI$2,CONCATENATE(OBSERVACIONES!K151,"
ESTADO DE POSTVENTAS:  ",GENERAL!L152))</f>
        <v>OK
ESTADO DE POSTVENTAS:  POSTVENTA CORREGIDA</v>
      </c>
      <c r="L151" s="51" t="str">
        <f>+IF(GENERAL!M152=GENERAL!$AI$2,GENERAL!$AI$2,CONCATENATE(OBSERVACIONES!L151,"
ESTADO DE POSTVENTAS:  ",GENERAL!M152))</f>
        <v>OK
ESTADO DE POSTVENTAS:  POSTVENTA CORREGIDA</v>
      </c>
      <c r="M151" s="70" t="str">
        <f>+IF(GENERAL!N152=GENERAL!$AI$2,GENERAL!$AI$2,CONCATENATE(OBSERVACIONES!M151,"
ESTADO DE POSTVENTAS:  ",GENERAL!N152))</f>
        <v>OK
ESTADO DE POSTVENTAS:  POSTVENTA CORREGIDA</v>
      </c>
      <c r="N151" s="51" t="str">
        <f>+IF(GENERAL!O152=GENERAL!$AI$2,GENERAL!$AI$2,CONCATENATE(OBSERVACIONES!N151,"
ESTADO DE POSTVENTAS:  ",GENERAL!O152))</f>
        <v>OK
ESTADO DE POSTVENTAS:  POSTVENTA CORREGIDA</v>
      </c>
      <c r="O151" s="51" t="str">
        <f>+IF(GENERAL!P152=GENERAL!$AI$2,GENERAL!$AI$2,CONCATENATE(OBSERVACIONES!O151,"
ESTADO DE POSTVENTAS:  ",GENERAL!P152))</f>
        <v>OK
ESTADO DE POSTVENTAS:  POSTVENTA CORREGIDA</v>
      </c>
      <c r="P151" s="70" t="str">
        <f>+IF(GENERAL!Q152=GENERAL!$AI$2,GENERAL!$AI$2,CONCATENATE(OBSERVACIONES!P151,"
ESTADO DE POSTVENTAS:  ",GENERAL!Q152))</f>
        <v>OK
ESTADO DE POSTVENTAS:  POSTVENTA CORREGIDA</v>
      </c>
      <c r="Q151" s="70" t="str">
        <f>+IF(GENERAL!R152=GENERAL!$AI$2,GENERAL!$AI$2,CONCATENATE(OBSERVACIONES!Q151,"
ESTADO DE POSTVENTAS:  ",GENERAL!R152))</f>
        <v>OK
ESTADO DE POSTVENTAS:  POSTVENTA CORREGIDA</v>
      </c>
      <c r="R151" s="51" t="str">
        <f>+IF(GENERAL!S152=GENERAL!$AI$2,GENERAL!$AI$2,CONCATENATE(OBSERVACIONES!R151,"
ESTADO DE POSTVENTAS:  ",GENERAL!S152))</f>
        <v>OK
ESTADO DE POSTVENTAS:  POSTVENTA CORREGIDA</v>
      </c>
      <c r="S151" s="51" t="str">
        <f>+IF(GENERAL!T152=GENERAL!$AI$2,GENERAL!$AI$2,CONCATENATE(OBSERVACIONES!S151,"
ESTADO DE POSTVENTAS:  ",GENERAL!T152))</f>
        <v>OK
ESTADO DE POSTVENTAS:  POSTVENTA CORREGIDA</v>
      </c>
      <c r="T151" s="51" t="str">
        <f>+IF(GENERAL!U152=GENERAL!$AI$2,GENERAL!$AI$2,CONCATENATE(OBSERVACIONES!T151,"
ESTADO DE POSTVENTAS:  ",GENERAL!U152))</f>
        <v>OK
ESTADO DE POSTVENTAS:  POSTVENTA CORREGIDA</v>
      </c>
      <c r="U151" s="70" t="str">
        <f>+IF(GENERAL!V152=GENERAL!$AI$2,GENERAL!$AI$2,CONCATENATE(OBSERVACIONES!U151,"
ESTADO DE POSTVENTAS:  ",GENERAL!V152))</f>
        <v>DETALLE ACABADO
ESTADO DE POSTVENTAS:  TIENE POSTVENTA</v>
      </c>
      <c r="V151" s="51" t="str">
        <f>+IF(GENERAL!W152=GENERAL!$AI$2,GENERAL!$AI$2,CONCATENATE(OBSERVACIONES!V151,"
ESTADO DE POSTVENTAS:  ",GENERAL!W152))</f>
        <v>OK
ESTADO DE POSTVENTAS:  POSTVENTA CORREGIDA</v>
      </c>
      <c r="W151" s="70" t="str">
        <f>+IF(GENERAL!V152=GENERAL!$AI$2,GENERAL!$AI$2,CONCATENATE(OBSERVACIONES!W151,"
ESTADO DE POSTVENTAS:  ",GENERAL!V152))</f>
        <v>OK
ESTADO DE POSTVENTAS:  TIENE POSTVENTA</v>
      </c>
      <c r="X151" s="51" t="str">
        <f>+IF(GENERAL!W152=GENERAL!$AI$2,GENERAL!$AI$2,CONCATENATE(OBSERVACIONES!X151,"
ESTADO DE POSTVENTAS:  ",GENERAL!W152))</f>
        <v>OK
ESTADO DE POSTVENTAS:  POSTVENTA CORREGIDA</v>
      </c>
      <c r="Y151" s="51" t="str">
        <f>+IF(GENERAL!Z152=GENERAL!$AI$2,GENERAL!$AI$2,CONCATENATE(OBSERVACIONES!Y151,"
ESTADO DE POSTVENTAS:  ",GENERAL!Z152))</f>
        <v>OK
ESTADO DE POSTVENTAS:  POSTVENTA CORREGIDA</v>
      </c>
      <c r="Z151" s="51" t="str">
        <f>+IF(GENERAL!AA152=GENERAL!$AI$2,GENERAL!$AI$2,CONCATENATE(OBSERVACIONES!Z151,"
ESTADO DE POSTVENTAS:  ",GENERAL!AA152))</f>
        <v>OK
ESTADO DE POSTVENTAS:  POSTVENTA CORREGIDA</v>
      </c>
      <c r="AA151" s="51" t="str">
        <f>+IF(GENERAL!AB152=GENERAL!$AI$2,GENERAL!$AI$2,CONCATENATE(OBSERVACIONES!AA151,"
ESTADO DE POSTVENTAS:  ",GENERAL!AB152))</f>
        <v>OK
ESTADO DE POSTVENTAS:  POSTVENTA CORREGIDA</v>
      </c>
      <c r="AB151" s="51" t="str">
        <f>+IF(GENERAL!AC152=GENERAL!$AI$2,GENERAL!$AI$2,CONCATENATE(OBSERVACIONES!AB151,"
ESTADO DE POSTVENTAS:  ",GENERAL!AC152))</f>
        <v>OK
ESTADO DE POSTVENTAS:  POSTVENTA CORREGIDA</v>
      </c>
      <c r="AC151" s="51" t="str">
        <f>+IF(GENERAL!AD152=GENERAL!$AI$2,GENERAL!$AI$2,CONCATENATE(OBSERVACIONES!AC151,"
ESTADO DE POSTVENTAS:  ",GENERAL!AD152))</f>
        <v>OK
ESTADO DE POSTVENTAS:  POSTVENTA CORREGIDA</v>
      </c>
      <c r="AD151" s="51" t="str">
        <f>+IF(GENERAL!AE152=GENERAL!$AI$2,GENERAL!$AI$2,CONCATENATE(OBSERVACIONES!AD151,"
ESTADO DE POSTVENTAS:  ",GENERAL!AE152))</f>
        <v>OK
ESTADO DE POSTVENTAS:  POSTVENTA CORREGIDA</v>
      </c>
      <c r="AE151" s="51" t="str">
        <f>+IF(GENERAL!AF152=GENERAL!$AI$2,GENERAL!$AI$2,CONCATENATE(OBSERVACIONES!AE151,"
ESTADO DE POSTVENTAS:  ",GENERAL!AF152))</f>
        <v>OK
ESTADO DE POSTVENTAS:  POSTVENTA CORREGIDA</v>
      </c>
      <c r="AF151" s="51" t="str">
        <f>+IF(GENERAL!AG152=GENERAL!$AI$2,GENERAL!$AI$2,CONCATENATE(OBSERVACIONES!AF151,"
ESTADO DE POSTVENTAS:  ",GENERAL!AG152))</f>
        <v>OK
ESTADO DE POSTVENTAS:  POSTVENTA CORREGIDA</v>
      </c>
      <c r="AG151" s="51" t="str">
        <f>+IF(GENERAL!AH152=GENERAL!$AI$2,GENERAL!$AI$2,CONCATENATE(OBSERVACIONES!AG151,"
ESTADO DE POSTVENTAS:  ",GENERAL!AH152))</f>
        <v>OK
ESTADO DE POSTVENTAS:  POSTVENTA CORREGIDA</v>
      </c>
      <c r="AH151" s="51" t="str">
        <f>+IF(GENERAL!AI152=GENERAL!$AI$2,GENERAL!$AI$2,CONCATENATE(OBSERVACIONES!AH151,"
ESTADO DE POSTVENTAS:  ",GENERAL!AI152))</f>
        <v>OK
ESTADO DE POSTVENTAS:  POSTVENTA CORREGIDA</v>
      </c>
      <c r="AI151" s="51" t="str">
        <f>+IF(GENERAL!AG152=GENERAL!$AI$2,GENERAL!$AI$2,CONCATENATE(OBSERVACIONES!AF151,"
ESTADO DE POSTVENTAS:  ",GENERAL!AG152))</f>
        <v>OK
ESTADO DE POSTVENTAS:  POSTVENTA CORREGIDA</v>
      </c>
      <c r="AJ151" s="51" t="str">
        <f>+IF(GENERAL!AI152=GENERAL!$AI$2,GENERAL!$AI$2,CONCATENATE(OBSERVACIONES!AH151,"
ESTADO DE POSTVENTAS:  ",GENERAL!AI152))</f>
        <v>OK
ESTADO DE POSTVENTAS:  POSTVENTA CORREGIDA</v>
      </c>
      <c r="AK151" s="51" t="str">
        <f>+IF(GENERAL!AJ152=GENERAL!$AI$2,GENERAL!$AI$2,CONCATENATE(OBSERVACIONES!AI151,"
ESTADO DE POSTVENTAS:  ",GENERAL!AJ152))</f>
        <v>OK
ESTADO DE POSTVENTAS:  POSTVENTA CORREGIDA</v>
      </c>
      <c r="AL151" s="51" t="str">
        <f>+IF(GENERAL!AK152=GENERAL!$AI$2,GENERAL!$AI$2,CONCATENATE(OBSERVACIONES!AJ151,"
ESTADO DE POSTVENTAS:  ",GENERAL!AK152))</f>
        <v>OK
ESTADO DE POSTVENTAS:  POSTVENTA CORREGIDA</v>
      </c>
      <c r="AM151" s="51" t="str">
        <f>+IF(GENERAL!AN152=GENERAL!$AI$2,GENERAL!$AI$2,CONCATENATE(OBSERVACIONES!AM151,"
ESTADO DE POSTVENTAS:  ",GENERAL!AN152))</f>
        <v>OK
ESTADO DE POSTVENTAS:  POSTVENTA CORREGIDA</v>
      </c>
      <c r="AN151" s="37">
        <v>1</v>
      </c>
      <c r="AO151" s="37">
        <v>10</v>
      </c>
      <c r="AP151" s="37">
        <v>3</v>
      </c>
      <c r="AQ151" s="37">
        <v>0</v>
      </c>
      <c r="AR151" s="43">
        <v>14</v>
      </c>
      <c r="AS151" s="40">
        <v>12</v>
      </c>
      <c r="AT151" s="37">
        <f>COUNTIFS($D$5:$AM$5,"&lt;&gt;"&amp;CODICIONALES!$A$1,$D$5:$AM$5,"&lt;&gt;"&amp;CODICIONALES!$A$2,$D$5:$AM$5,"&lt;&gt;"&amp;CODICIONALES!$B$2,$D$5:$AM$5,"&lt;&gt;"&amp;CODICIONALES!$C$2)</f>
        <v>6</v>
      </c>
      <c r="AU151" s="43">
        <f>COUNTIFS(D151:AM151,CODICIONALES!$A$2)</f>
        <v>32</v>
      </c>
      <c r="AV151" s="40">
        <f t="shared" si="2"/>
        <v>-2</v>
      </c>
    </row>
    <row r="152" spans="1:48" ht="51" customHeight="1" x14ac:dyDescent="0.25">
      <c r="A152" s="110"/>
      <c r="B152" s="2">
        <v>148</v>
      </c>
      <c r="C152" s="21" t="s">
        <v>62</v>
      </c>
      <c r="D152" s="51" t="str">
        <f>+IF(GENERAL!E153=GENERAL!$AI$2,GENERAL!$AI$2,CONCATENATE(OBSERVACIONES!D152,"
ESTADO DE POSTVENTAS:  ",GENERAL!E153))</f>
        <v>NO ENTREGADO
ESTADO DE POSTVENTAS:  TIENE POSTVENTA</v>
      </c>
      <c r="E152" s="51" t="str">
        <f>+IF(GENERAL!F153=GENERAL!$AI$2,GENERAL!$AI$2,CONCATENATE(OBSERVACIONES!E152,"
ESTADO DE POSTVENTAS:  ",GENERAL!F153))</f>
        <v>OK
ESTADO DE POSTVENTAS:  POSTVENTA CORREGIDA</v>
      </c>
      <c r="F152" s="51" t="str">
        <f>+IF(GENERAL!G153=GENERAL!$AI$2,GENERAL!$AI$2,CONCATENATE(OBSERVACIONES!F152,"
ESTADO DE POSTVENTAS:  ",GENERAL!G153))</f>
        <v>OK
ESTADO DE POSTVENTAS:  POSTVENTA CORREGIDA</v>
      </c>
      <c r="G152" s="51" t="str">
        <f>+IF(GENERAL!H153=GENERAL!$AI$2,GENERAL!$AI$2,CONCATENATE(OBSERVACIONES!G152,"
ESTADO DE POSTVENTAS:  ",GENERAL!H153))</f>
        <v>NO ENTREGADO
ESTADO DE POSTVENTAS:  TIENE POSTVENTA</v>
      </c>
      <c r="H152" s="51" t="str">
        <f>+IF(GENERAL!I153=GENERAL!$AI$2,GENERAL!$AI$2,CONCATENATE(OBSERVACIONES!H152,"
ESTADO DE POSTVENTAS:  ",GENERAL!I153))</f>
        <v>OK
ESTADO DE POSTVENTAS:  POSTVENTA CORREGIDA</v>
      </c>
      <c r="I152" s="51" t="str">
        <f>+IF(GENERAL!J153=GENERAL!$AI$2,GENERAL!$AI$2,CONCATENATE(OBSERVACIONES!I152,"
ESTADO DE POSTVENTAS:  ",GENERAL!J153))</f>
        <v>OK
ESTADO DE POSTVENTAS:  POSTVENTA CORREGIDA</v>
      </c>
      <c r="J152" s="51" t="str">
        <f>+IF(GENERAL!K153=GENERAL!$AI$2,GENERAL!$AI$2,CONCATENATE(OBSERVACIONES!J152,"
ESTADO DE POSTVENTAS:  ",GENERAL!K153))</f>
        <v>OK
ESTADO DE POSTVENTAS:  POSTVENTA CORREGIDA</v>
      </c>
      <c r="K152" s="51" t="str">
        <f>+IF(GENERAL!L153=GENERAL!$AI$2,GENERAL!$AI$2,CONCATENATE(OBSERVACIONES!K152,"
ESTADO DE POSTVENTAS:  ",GENERAL!L153))</f>
        <v>OK
ESTADO DE POSTVENTAS:  POSTVENTA CORREGIDA</v>
      </c>
      <c r="L152" s="51" t="str">
        <f>+IF(GENERAL!M153=GENERAL!$AI$2,GENERAL!$AI$2,CONCATENATE(OBSERVACIONES!L152,"
ESTADO DE POSTVENTAS:  ",GENERAL!M153))</f>
        <v>OK
ESTADO DE POSTVENTAS:  POSTVENTA CORREGIDA</v>
      </c>
      <c r="M152" s="70" t="str">
        <f>+IF(GENERAL!N153=GENERAL!$AI$2,GENERAL!$AI$2,CONCATENATE(OBSERVACIONES!M152,"
ESTADO DE POSTVENTAS:  ",GENERAL!N153))</f>
        <v>OK
ESTADO DE POSTVENTAS:  POSTVENTA CORREGIDA</v>
      </c>
      <c r="N152" s="51" t="str">
        <f>+IF(GENERAL!O153=GENERAL!$AI$2,GENERAL!$AI$2,CONCATENATE(OBSERVACIONES!N152,"
ESTADO DE POSTVENTAS:  ",GENERAL!O153))</f>
        <v>OK
ESTADO DE POSTVENTAS:  POSTVENTA CORREGIDA</v>
      </c>
      <c r="O152" s="51" t="str">
        <f>+IF(GENERAL!P153=GENERAL!$AI$2,GENERAL!$AI$2,CONCATENATE(OBSERVACIONES!O152,"
ESTADO DE POSTVENTAS:  ",GENERAL!P153))</f>
        <v>OK
ESTADO DE POSTVENTAS:  POSTVENTA CORREGIDA</v>
      </c>
      <c r="P152" s="70" t="str">
        <f>+IF(GENERAL!Q153=GENERAL!$AI$2,GENERAL!$AI$2,CONCATENATE(OBSERVACIONES!P152,"
ESTADO DE POSTVENTAS:  ",GENERAL!Q153))</f>
        <v>OK
ESTADO DE POSTVENTAS:  POSTVENTA CORREGIDA</v>
      </c>
      <c r="Q152" s="70" t="str">
        <f>+IF(GENERAL!R153=GENERAL!$AI$2,GENERAL!$AI$2,CONCATENATE(OBSERVACIONES!Q152,"
ESTADO DE POSTVENTAS:  ",GENERAL!R153))</f>
        <v>OK
ESTADO DE POSTVENTAS:  POSTVENTA CORREGIDA</v>
      </c>
      <c r="R152" s="51" t="str">
        <f>+IF(GENERAL!S153=GENERAL!$AI$2,GENERAL!$AI$2,CONCATENATE(OBSERVACIONES!R152,"
ESTADO DE POSTVENTAS:  ",GENERAL!S153))</f>
        <v>OK
ESTADO DE POSTVENTAS:  POSTVENTA CORREGIDA</v>
      </c>
      <c r="S152" s="51" t="str">
        <f>+IF(GENERAL!T153=GENERAL!$AI$2,GENERAL!$AI$2,CONCATENATE(OBSERVACIONES!S152,"
ESTADO DE POSTVENTAS:  ",GENERAL!T153))</f>
        <v>OK
ESTADO DE POSTVENTAS:  POSTVENTA CORREGIDA</v>
      </c>
      <c r="T152" s="51" t="str">
        <f>+IF(GENERAL!U153=GENERAL!$AI$2,GENERAL!$AI$2,CONCATENATE(OBSERVACIONES!T152,"
ESTADO DE POSTVENTAS:  ",GENERAL!U153))</f>
        <v>DETALLE HUMEDAD
ESTADO DE POSTVENTAS:  TIENE POSTVENTA</v>
      </c>
      <c r="U152" s="51" t="str">
        <f>+IF(GENERAL!V153=GENERAL!$AI$2,GENERAL!$AI$2,CONCATENATE(OBSERVACIONES!U152,"
ESTADO DE POSTVENTAS:  ",GENERAL!V153))</f>
        <v>OK
ESTADO DE POSTVENTAS:  POSTVENTA CORREGIDA</v>
      </c>
      <c r="V152" s="51" t="str">
        <f>+IF(GENERAL!W153=GENERAL!$AI$2,GENERAL!$AI$2,CONCATENATE(OBSERVACIONES!V152,"
ESTADO DE POSTVENTAS:  ",GENERAL!W153))</f>
        <v>OK
ESTADO DE POSTVENTAS:  POSTVENTA CORREGIDA</v>
      </c>
      <c r="W152" s="51" t="str">
        <f>+IF(GENERAL!V153=GENERAL!$AI$2,GENERAL!$AI$2,CONCATENATE(OBSERVACIONES!W152,"
ESTADO DE POSTVENTAS:  ",GENERAL!V153))</f>
        <v>OK
ESTADO DE POSTVENTAS:  POSTVENTA CORREGIDA</v>
      </c>
      <c r="X152" s="51" t="str">
        <f>+IF(GENERAL!W153=GENERAL!$AI$2,GENERAL!$AI$2,CONCATENATE(OBSERVACIONES!X152,"
ESTADO DE POSTVENTAS:  ",GENERAL!W153))</f>
        <v>OK
ESTADO DE POSTVENTAS:  POSTVENTA CORREGIDA</v>
      </c>
      <c r="Y152" s="51" t="str">
        <f>+IF(GENERAL!Z153=GENERAL!$AI$2,GENERAL!$AI$2,CONCATENATE(OBSERVACIONES!Y152,"
ESTADO DE POSTVENTAS:  ",GENERAL!Z153))</f>
        <v>OK
ESTADO DE POSTVENTAS:  POSTVENTA CORREGIDA</v>
      </c>
      <c r="Z152" s="51" t="str">
        <f>+IF(GENERAL!AA153=GENERAL!$AI$2,GENERAL!$AI$2,CONCATENATE(OBSERVACIONES!Z152,"
ESTADO DE POSTVENTAS:  ",GENERAL!AA153))</f>
        <v>OK
ESTADO DE POSTVENTAS:  POSTVENTA CORREGIDA</v>
      </c>
      <c r="AA152" s="51" t="str">
        <f>+IF(GENERAL!AB153=GENERAL!$AI$2,GENERAL!$AI$2,CONCATENATE(OBSERVACIONES!AA152,"
ESTADO DE POSTVENTAS:  ",GENERAL!AB153))</f>
        <v>OK
ESTADO DE POSTVENTAS:  POSTVENTA CORREGIDA</v>
      </c>
      <c r="AB152" s="51" t="str">
        <f>+IF(GENERAL!AC153=GENERAL!$AI$2,GENERAL!$AI$2,CONCATENATE(OBSERVACIONES!AB152,"
ESTADO DE POSTVENTAS:  ",GENERAL!AC153))</f>
        <v>OK
ESTADO DE POSTVENTAS:  POSTVENTA CORREGIDA</v>
      </c>
      <c r="AC152" s="51" t="str">
        <f>+IF(GENERAL!AD153=GENERAL!$AI$2,GENERAL!$AI$2,CONCATENATE(OBSERVACIONES!AC152,"
ESTADO DE POSTVENTAS:  ",GENERAL!AD153))</f>
        <v>OK
ESTADO DE POSTVENTAS:  POSTVENTA CORREGIDA</v>
      </c>
      <c r="AD152" s="51" t="str">
        <f>+IF(GENERAL!AE153=GENERAL!$AI$2,GENERAL!$AI$2,CONCATENATE(OBSERVACIONES!AD152,"
ESTADO DE POSTVENTAS:  ",GENERAL!AE153))</f>
        <v>OK
ESTADO DE POSTVENTAS:  POSTVENTA CORREGIDA</v>
      </c>
      <c r="AE152" s="51" t="str">
        <f>+IF(GENERAL!AF153=GENERAL!$AI$2,GENERAL!$AI$2,CONCATENATE(OBSERVACIONES!AE152,"
ESTADO DE POSTVENTAS:  ",GENERAL!AF153))</f>
        <v>OK
ESTADO DE POSTVENTAS:  POSTVENTA CORREGIDA</v>
      </c>
      <c r="AF152" s="51" t="str">
        <f>+IF(GENERAL!AG153=GENERAL!$AI$2,GENERAL!$AI$2,CONCATENATE(OBSERVACIONES!AF152,"
ESTADO DE POSTVENTAS:  ",GENERAL!AG153))</f>
        <v>OK
ESTADO DE POSTVENTAS:  POSTVENTA CORREGIDA</v>
      </c>
      <c r="AG152" s="51" t="str">
        <f>+IF(GENERAL!AH153=GENERAL!$AI$2,GENERAL!$AI$2,CONCATENATE(OBSERVACIONES!AG152,"
ESTADO DE POSTVENTAS:  ",GENERAL!AH153))</f>
        <v>OK
ESTADO DE POSTVENTAS:  POSTVENTA CORREGIDA</v>
      </c>
      <c r="AH152" s="51" t="str">
        <f>+IF(GENERAL!AI153=GENERAL!$AI$2,GENERAL!$AI$2,CONCATENATE(OBSERVACIONES!AH152,"
ESTADO DE POSTVENTAS:  ",GENERAL!AI153))</f>
        <v>OK
ESTADO DE POSTVENTAS:  POSTVENTA CORREGIDA</v>
      </c>
      <c r="AI152" s="51" t="str">
        <f>+IF(GENERAL!AG153=GENERAL!$AI$2,GENERAL!$AI$2,CONCATENATE(OBSERVACIONES!AF152,"
ESTADO DE POSTVENTAS:  ",GENERAL!AG153))</f>
        <v>OK
ESTADO DE POSTVENTAS:  POSTVENTA CORREGIDA</v>
      </c>
      <c r="AJ152" s="51" t="str">
        <f>+IF(GENERAL!AI153=GENERAL!$AI$2,GENERAL!$AI$2,CONCATENATE(OBSERVACIONES!AH152,"
ESTADO DE POSTVENTAS:  ",GENERAL!AI153))</f>
        <v>OK
ESTADO DE POSTVENTAS:  POSTVENTA CORREGIDA</v>
      </c>
      <c r="AK152" s="51" t="str">
        <f>+IF(GENERAL!AJ153=GENERAL!$AI$2,GENERAL!$AI$2,CONCATENATE(OBSERVACIONES!AI152,"
ESTADO DE POSTVENTAS:  ",GENERAL!AJ153))</f>
        <v>OK
ESTADO DE POSTVENTAS:  POSTVENTA CORREGIDA</v>
      </c>
      <c r="AL152" s="51" t="str">
        <f>+IF(GENERAL!AK153=GENERAL!$AI$2,GENERAL!$AI$2,CONCATENATE(OBSERVACIONES!AJ152,"
ESTADO DE POSTVENTAS:  ",GENERAL!AK153))</f>
        <v>OK
ESTADO DE POSTVENTAS:  POSTVENTA CORREGIDA</v>
      </c>
      <c r="AM152" s="51" t="str">
        <f>+IF(GENERAL!AN153=GENERAL!$AI$2,GENERAL!$AI$2,CONCATENATE(OBSERVACIONES!AM152,"
ESTADO DE POSTVENTAS:  ",GENERAL!AN153))</f>
        <v>OK
ESTADO DE POSTVENTAS:  POSTVENTA CORREGIDA</v>
      </c>
      <c r="AN152" s="37">
        <v>0</v>
      </c>
      <c r="AO152" s="37">
        <v>11</v>
      </c>
      <c r="AP152" s="37">
        <v>3</v>
      </c>
      <c r="AQ152" s="37">
        <v>0</v>
      </c>
      <c r="AR152" s="43">
        <v>14</v>
      </c>
      <c r="AS152" s="40">
        <v>12</v>
      </c>
      <c r="AT152" s="37">
        <f>COUNTIFS($D$5:$AM$5,"&lt;&gt;"&amp;CODICIONALES!$A$1,$D$5:$AM$5,"&lt;&gt;"&amp;CODICIONALES!$A$2,$D$5:$AM$5,"&lt;&gt;"&amp;CODICIONALES!$B$2,$D$5:$AM$5,"&lt;&gt;"&amp;CODICIONALES!$C$2)</f>
        <v>6</v>
      </c>
      <c r="AU152" s="43">
        <f>COUNTIFS(D152:AM152,CODICIONALES!$A$2)</f>
        <v>33</v>
      </c>
      <c r="AV152" s="40">
        <f t="shared" si="2"/>
        <v>-3</v>
      </c>
    </row>
    <row r="153" spans="1:48" ht="51" customHeight="1" x14ac:dyDescent="0.25">
      <c r="A153" s="110"/>
      <c r="B153" s="2">
        <v>149</v>
      </c>
      <c r="C153" s="21" t="s">
        <v>103</v>
      </c>
      <c r="D153" s="51" t="str">
        <f>+IF(GENERAL!E154=GENERAL!$AI$2,GENERAL!$AI$2,CONCATENATE(OBSERVACIONES!D153,"
ESTADO DE POSTVENTAS:  ",GENERAL!E154))</f>
        <v>NO ENTREGADO
ESTADO DE POSTVENTAS:  TIENE POSTVENTA</v>
      </c>
      <c r="E153" s="51" t="str">
        <f>+IF(GENERAL!F154=GENERAL!$AI$2,GENERAL!$AI$2,CONCATENATE(OBSERVACIONES!E153,"
ESTADO DE POSTVENTAS:  ",GENERAL!F154))</f>
        <v>OK
ESTADO DE POSTVENTAS:  POSTVENTA CORREGIDA</v>
      </c>
      <c r="F153" s="51" t="str">
        <f>+IF(GENERAL!G154=GENERAL!$AI$2,GENERAL!$AI$2,CONCATENATE(OBSERVACIONES!F153,"
ESTADO DE POSTVENTAS:  ",GENERAL!G154))</f>
        <v>OK
ESTADO DE POSTVENTAS:  POSTVENTA CORREGIDA</v>
      </c>
      <c r="G153" s="51" t="str">
        <f>+IF(GENERAL!H154=GENERAL!$AI$2,GENERAL!$AI$2,CONCATENATE(OBSERVACIONES!G153,"
ESTADO DE POSTVENTAS:  ",GENERAL!H154))</f>
        <v>NO ENTREGADO
ESTADO DE POSTVENTAS:  TIENE POSTVENTA</v>
      </c>
      <c r="H153" s="51" t="str">
        <f>+IF(GENERAL!I154=GENERAL!$AI$2,GENERAL!$AI$2,CONCATENATE(OBSERVACIONES!H153,"
ESTADO DE POSTVENTAS:  ",GENERAL!I154))</f>
        <v>OK
ESTADO DE POSTVENTAS:  POSTVENTA CORREGIDA</v>
      </c>
      <c r="I153" s="51" t="str">
        <f>+IF(GENERAL!J154=GENERAL!$AI$2,GENERAL!$AI$2,CONCATENATE(OBSERVACIONES!I153,"
ESTADO DE POSTVENTAS:  ",GENERAL!J154))</f>
        <v>OK
ESTADO DE POSTVENTAS:  POSTVENTA CORREGIDA</v>
      </c>
      <c r="J153" s="51" t="str">
        <f>+IF(GENERAL!K154=GENERAL!$AI$2,GENERAL!$AI$2,CONCATENATE(OBSERVACIONES!J153,"
ESTADO DE POSTVENTAS:  ",GENERAL!K154))</f>
        <v>OK
ESTADO DE POSTVENTAS:  POSTVENTA CORREGIDA</v>
      </c>
      <c r="K153" s="51" t="str">
        <f>+IF(GENERAL!L154=GENERAL!$AI$2,GENERAL!$AI$2,CONCATENATE(OBSERVACIONES!K153,"
ESTADO DE POSTVENTAS:  ",GENERAL!L154))</f>
        <v>OK
ESTADO DE POSTVENTAS:  POSTVENTA CORREGIDA</v>
      </c>
      <c r="L153" s="51" t="str">
        <f>+IF(GENERAL!M154=GENERAL!$AI$2,GENERAL!$AI$2,CONCATENATE(OBSERVACIONES!L153,"
ESTADO DE POSTVENTAS:  ",GENERAL!M154))</f>
        <v>OK
ESTADO DE POSTVENTAS:  POSTVENTA CORREGIDA</v>
      </c>
      <c r="M153" s="70" t="str">
        <f>+IF(GENERAL!N154=GENERAL!$AI$2,GENERAL!$AI$2,CONCATENATE(OBSERVACIONES!M153,"
ESTADO DE POSTVENTAS:  ",GENERAL!N154))</f>
        <v>OK
ESTADO DE POSTVENTAS:  POSTVENTA CORREGIDA</v>
      </c>
      <c r="N153" s="51" t="str">
        <f>+IF(GENERAL!O154=GENERAL!$AI$2,GENERAL!$AI$2,CONCATENATE(OBSERVACIONES!N153,"
ESTADO DE POSTVENTAS:  ",GENERAL!O154))</f>
        <v>OK
ESTADO DE POSTVENTAS:  POSTVENTA CORREGIDA</v>
      </c>
      <c r="O153" s="51" t="str">
        <f>+IF(GENERAL!P154=GENERAL!$AI$2,GENERAL!$AI$2,CONCATENATE(OBSERVACIONES!O153,"
ESTADO DE POSTVENTAS:  ",GENERAL!P154))</f>
        <v>OK
ESTADO DE POSTVENTAS:  POSTVENTA CORREGIDA</v>
      </c>
      <c r="P153" s="70" t="str">
        <f>+IF(GENERAL!Q154=GENERAL!$AI$2,GENERAL!$AI$2,CONCATENATE(OBSERVACIONES!P153,"
ESTADO DE POSTVENTAS:  ",GENERAL!Q154))</f>
        <v>OK
ESTADO DE POSTVENTAS:  POSTVENTA CORREGIDA</v>
      </c>
      <c r="Q153" s="70" t="str">
        <f>+IF(GENERAL!R154=GENERAL!$AI$2,GENERAL!$AI$2,CONCATENATE(OBSERVACIONES!Q153,"
ESTADO DE POSTVENTAS:  ",GENERAL!R154))</f>
        <v>OK
ESTADO DE POSTVENTAS:  POSTVENTA CORREGIDA</v>
      </c>
      <c r="R153" s="51" t="str">
        <f>+IF(GENERAL!S154=GENERAL!$AI$2,GENERAL!$AI$2,CONCATENATE(OBSERVACIONES!R153,"
ESTADO DE POSTVENTAS:  ",GENERAL!S154))</f>
        <v>OK
ESTADO DE POSTVENTAS:  POSTVENTA CORREGIDA</v>
      </c>
      <c r="S153" s="51" t="str">
        <f>+IF(GENERAL!T154=GENERAL!$AI$2,GENERAL!$AI$2,CONCATENATE(OBSERVACIONES!S153,"
ESTADO DE POSTVENTAS:  ",GENERAL!T154))</f>
        <v>OK
ESTADO DE POSTVENTAS:  POSTVENTA CORREGIDA</v>
      </c>
      <c r="T153" s="51" t="str">
        <f>+IF(GENERAL!U154=GENERAL!$AI$2,GENERAL!$AI$2,CONCATENATE(OBSERVACIONES!T153,"
ESTADO DE POSTVENTAS:  ",GENERAL!U154))</f>
        <v>OK
ESTADO DE POSTVENTAS:  POSTVENTA CORREGIDA</v>
      </c>
      <c r="U153" s="51" t="str">
        <f>+IF(GENERAL!V154=GENERAL!$AI$2,GENERAL!$AI$2,CONCATENATE(OBSERVACIONES!U153,"
ESTADO DE POSTVENTAS:  ",GENERAL!V154))</f>
        <v>OK
ESTADO DE POSTVENTAS:  POSTVENTA CORREGIDA</v>
      </c>
      <c r="V153" s="51" t="str">
        <f>+IF(GENERAL!W154=GENERAL!$AI$2,GENERAL!$AI$2,CONCATENATE(OBSERVACIONES!V153,"
ESTADO DE POSTVENTAS:  ",GENERAL!W154))</f>
        <v>OK
ESTADO DE POSTVENTAS:  POSTVENTA CORREGIDA</v>
      </c>
      <c r="W153" s="51" t="str">
        <f>+IF(GENERAL!V154=GENERAL!$AI$2,GENERAL!$AI$2,CONCATENATE(OBSERVACIONES!W153,"
ESTADO DE POSTVENTAS:  ",GENERAL!V154))</f>
        <v>OK
ESTADO DE POSTVENTAS:  POSTVENTA CORREGIDA</v>
      </c>
      <c r="X153" s="51" t="str">
        <f>+IF(GENERAL!W154=GENERAL!$AI$2,GENERAL!$AI$2,CONCATENATE(OBSERVACIONES!X153,"
ESTADO DE POSTVENTAS:  ",GENERAL!W154))</f>
        <v>OK
ESTADO DE POSTVENTAS:  POSTVENTA CORREGIDA</v>
      </c>
      <c r="Y153" s="51" t="str">
        <f>+IF(GENERAL!Z154=GENERAL!$AI$2,GENERAL!$AI$2,CONCATENATE(OBSERVACIONES!Y153,"
ESTADO DE POSTVENTAS:  ",GENERAL!Z154))</f>
        <v>OK
ESTADO DE POSTVENTAS:  POSTVENTA CORREGIDA</v>
      </c>
      <c r="Z153" s="51" t="str">
        <f>+IF(GENERAL!AA154=GENERAL!$AI$2,GENERAL!$AI$2,CONCATENATE(OBSERVACIONES!Z153,"
ESTADO DE POSTVENTAS:  ",GENERAL!AA154))</f>
        <v>OK
ESTADO DE POSTVENTAS:  POSTVENTA CORREGIDA</v>
      </c>
      <c r="AA153" s="51" t="str">
        <f>+IF(GENERAL!AB154=GENERAL!$AI$2,GENERAL!$AI$2,CONCATENATE(OBSERVACIONES!AA153,"
ESTADO DE POSTVENTAS:  ",GENERAL!AB154))</f>
        <v>OK
ESTADO DE POSTVENTAS:  POSTVENTA CORREGIDA</v>
      </c>
      <c r="AB153" s="70" t="str">
        <f>+IF(GENERAL!AC154=GENERAL!$AI$2,GENERAL!$AI$2,CONCATENATE(OBSERVACIONES!AB153,"
ESTADO DE POSTVENTAS:  ",GENERAL!AC154))</f>
        <v>OK
ESTADO DE POSTVENTAS:  POSTVENTA CORREGIDA</v>
      </c>
      <c r="AC153" s="70" t="str">
        <f>+IF(GENERAL!AD154=GENERAL!$AI$2,GENERAL!$AI$2,CONCATENATE(OBSERVACIONES!AC153,"
ESTADO DE POSTVENTAS:  ",GENERAL!AD154))</f>
        <v>OK
ESTADO DE POSTVENTAS:  POSTVENTA CORREGIDA</v>
      </c>
      <c r="AD153" s="51" t="str">
        <f>+IF(GENERAL!AE154=GENERAL!$AI$2,GENERAL!$AI$2,CONCATENATE(OBSERVACIONES!AD153,"
ESTADO DE POSTVENTAS:  ",GENERAL!AE154))</f>
        <v>OK
ESTADO DE POSTVENTAS:  POSTVENTA CORREGIDA</v>
      </c>
      <c r="AE153" s="51" t="str">
        <f>+IF(GENERAL!AF154=GENERAL!$AI$2,GENERAL!$AI$2,CONCATENATE(OBSERVACIONES!AE153,"
ESTADO DE POSTVENTAS:  ",GENERAL!AF154))</f>
        <v>OK
ESTADO DE POSTVENTAS:  POSTVENTA CORREGIDA</v>
      </c>
      <c r="AF153" s="51" t="str">
        <f>+IF(GENERAL!AG154=GENERAL!$AI$2,GENERAL!$AI$2,CONCATENATE(OBSERVACIONES!AF153,"
ESTADO DE POSTVENTAS:  ",GENERAL!AG154))</f>
        <v>OK
ESTADO DE POSTVENTAS:  POSTVENTA CORREGIDA</v>
      </c>
      <c r="AG153" s="51" t="str">
        <f>+IF(GENERAL!AH154=GENERAL!$AI$2,GENERAL!$AI$2,CONCATENATE(OBSERVACIONES!AG153,"
ESTADO DE POSTVENTAS:  ",GENERAL!AH154))</f>
        <v>OK
ESTADO DE POSTVENTAS:  POSTVENTA CORREGIDA</v>
      </c>
      <c r="AH153" s="51" t="str">
        <f>+IF(GENERAL!AI154=GENERAL!$AI$2,GENERAL!$AI$2,CONCATENATE(OBSERVACIONES!AH153,"
ESTADO DE POSTVENTAS:  ",GENERAL!AI154))</f>
        <v>OK
ESTADO DE POSTVENTAS:  POSTVENTA CORREGIDA</v>
      </c>
      <c r="AI153" s="51" t="str">
        <f>+IF(GENERAL!AG154=GENERAL!$AI$2,GENERAL!$AI$2,CONCATENATE(OBSERVACIONES!AF153,"
ESTADO DE POSTVENTAS:  ",GENERAL!AG154))</f>
        <v>OK
ESTADO DE POSTVENTAS:  POSTVENTA CORREGIDA</v>
      </c>
      <c r="AJ153" s="51" t="str">
        <f>+IF(GENERAL!AI154=GENERAL!$AI$2,GENERAL!$AI$2,CONCATENATE(OBSERVACIONES!AH153,"
ESTADO DE POSTVENTAS:  ",GENERAL!AI154))</f>
        <v>OK
ESTADO DE POSTVENTAS:  POSTVENTA CORREGIDA</v>
      </c>
      <c r="AK153" s="51" t="str">
        <f>+IF(GENERAL!AJ154=GENERAL!$AI$2,GENERAL!$AI$2,CONCATENATE(OBSERVACIONES!AI153,"
ESTADO DE POSTVENTAS:  ",GENERAL!AJ154))</f>
        <v>OK
ESTADO DE POSTVENTAS:  POSTVENTA CORREGIDA</v>
      </c>
      <c r="AL153" s="51" t="str">
        <f>+IF(GENERAL!AK154=GENERAL!$AI$2,GENERAL!$AI$2,CONCATENATE(OBSERVACIONES!AJ153,"
ESTADO DE POSTVENTAS:  ",GENERAL!AK154))</f>
        <v>OK
ESTADO DE POSTVENTAS:  POSTVENTA CORREGIDA</v>
      </c>
      <c r="AM153" s="51" t="str">
        <f>+IF(GENERAL!AN154=GENERAL!$AI$2,GENERAL!$AI$2,CONCATENATE(OBSERVACIONES!AM153,"
ESTADO DE POSTVENTAS:  ",GENERAL!AN154))</f>
        <v>OK
ESTADO DE POSTVENTAS:  POSTVENTA CORREGIDA</v>
      </c>
      <c r="AN153" s="37">
        <v>2</v>
      </c>
      <c r="AO153" s="37">
        <v>9</v>
      </c>
      <c r="AP153" s="37">
        <v>3</v>
      </c>
      <c r="AQ153" s="37">
        <v>1</v>
      </c>
      <c r="AR153" s="43">
        <v>13</v>
      </c>
      <c r="AS153" s="40">
        <v>12</v>
      </c>
      <c r="AT153" s="37">
        <f>COUNTIFS($D$5:$AM$5,"&lt;&gt;"&amp;CODICIONALES!$A$1,$D$5:$AM$5,"&lt;&gt;"&amp;CODICIONALES!$A$2,$D$5:$AM$5,"&lt;&gt;"&amp;CODICIONALES!$B$2,$D$5:$AM$5,"&lt;&gt;"&amp;CODICIONALES!$C$2)</f>
        <v>6</v>
      </c>
      <c r="AU153" s="43">
        <f>COUNTIFS(D153:AM153,CODICIONALES!$A$2)</f>
        <v>34</v>
      </c>
      <c r="AV153" s="40">
        <f t="shared" si="2"/>
        <v>-4</v>
      </c>
    </row>
    <row r="154" spans="1:48" ht="51" customHeight="1" x14ac:dyDescent="0.25">
      <c r="A154" s="110"/>
      <c r="B154" s="2">
        <v>150</v>
      </c>
      <c r="C154" s="21" t="s">
        <v>104</v>
      </c>
      <c r="D154" s="51" t="str">
        <f>+IF(GENERAL!E155=GENERAL!$AI$2,GENERAL!$AI$2,CONCATENATE(OBSERVACIONES!D154,"
ESTADO DE POSTVENTAS:  ",GENERAL!E155))</f>
        <v>NO ENTREGADO
ESTADO DE POSTVENTAS:  TIENE POSTVENTA</v>
      </c>
      <c r="E154" s="51" t="str">
        <f>+IF(GENERAL!F155=GENERAL!$AI$2,GENERAL!$AI$2,CONCATENATE(OBSERVACIONES!E154,"
ESTADO DE POSTVENTAS:  ",GENERAL!F155))</f>
        <v>OK
ESTADO DE POSTVENTAS:  POSTVENTA CORREGIDA</v>
      </c>
      <c r="F154" s="51" t="str">
        <f>+IF(GENERAL!G155=GENERAL!$AI$2,GENERAL!$AI$2,CONCATENATE(OBSERVACIONES!F154,"
ESTADO DE POSTVENTAS:  ",GENERAL!G155))</f>
        <v>OK
ESTADO DE POSTVENTAS:  POSTVENTA CORREGIDA</v>
      </c>
      <c r="G154" s="51" t="str">
        <f>+IF(GENERAL!H155=GENERAL!$AI$2,GENERAL!$AI$2,CONCATENATE(OBSERVACIONES!G154,"
ESTADO DE POSTVENTAS:  ",GENERAL!H155))</f>
        <v>NO ENTREGADO
ESTADO DE POSTVENTAS:  TIENE POSTVENTA</v>
      </c>
      <c r="H154" s="51" t="str">
        <f>+IF(GENERAL!I155=GENERAL!$AI$2,GENERAL!$AI$2,CONCATENATE(OBSERVACIONES!H154,"
ESTADO DE POSTVENTAS:  ",GENERAL!I155))</f>
        <v>OK
ESTADO DE POSTVENTAS:  POSTVENTA CORREGIDA</v>
      </c>
      <c r="I154" s="51" t="str">
        <f>+IF(GENERAL!J155=GENERAL!$AI$2,GENERAL!$AI$2,CONCATENATE(OBSERVACIONES!I154,"
ESTADO DE POSTVENTAS:  ",GENERAL!J155))</f>
        <v>OK
ESTADO DE POSTVENTAS:  POSTVENTA CORREGIDA</v>
      </c>
      <c r="J154" s="51" t="str">
        <f>+IF(GENERAL!K155=GENERAL!$AI$2,GENERAL!$AI$2,CONCATENATE(OBSERVACIONES!J154,"
ESTADO DE POSTVENTAS:  ",GENERAL!K155))</f>
        <v>OK
ESTADO DE POSTVENTAS:  POSTVENTA CORREGIDA</v>
      </c>
      <c r="K154" s="51" t="str">
        <f>+IF(GENERAL!L155=GENERAL!$AI$2,GENERAL!$AI$2,CONCATENATE(OBSERVACIONES!K154,"
ESTADO DE POSTVENTAS:  ",GENERAL!L155))</f>
        <v>OK
ESTADO DE POSTVENTAS:  POSTVENTA CORREGIDA</v>
      </c>
      <c r="L154" s="51" t="str">
        <f>+IF(GENERAL!M155=GENERAL!$AI$2,GENERAL!$AI$2,CONCATENATE(OBSERVACIONES!L154,"
ESTADO DE POSTVENTAS:  ",GENERAL!M155))</f>
        <v>OK
ESTADO DE POSTVENTAS:  POSTVENTA CORREGIDA</v>
      </c>
      <c r="M154" s="70" t="str">
        <f>+IF(GENERAL!N155=GENERAL!$AI$2,GENERAL!$AI$2,CONCATENATE(OBSERVACIONES!M154,"
ESTADO DE POSTVENTAS:  ",GENERAL!N155))</f>
        <v>OK
ESTADO DE POSTVENTAS:  POSTVENTA CORREGIDA</v>
      </c>
      <c r="N154" s="51" t="str">
        <f>+IF(GENERAL!O155=GENERAL!$AI$2,GENERAL!$AI$2,CONCATENATE(OBSERVACIONES!N154,"
ESTADO DE POSTVENTAS:  ",GENERAL!O155))</f>
        <v>OK
ESTADO DE POSTVENTAS:  POSTVENTA CORREGIDA</v>
      </c>
      <c r="O154" s="51" t="str">
        <f>+IF(GENERAL!P155=GENERAL!$AI$2,GENERAL!$AI$2,CONCATENATE(OBSERVACIONES!O154,"
ESTADO DE POSTVENTAS:  ",GENERAL!P155))</f>
        <v>OK
ESTADO DE POSTVENTAS:  POSTVENTA CORREGIDA</v>
      </c>
      <c r="P154" s="70" t="str">
        <f>+IF(GENERAL!Q155=GENERAL!$AI$2,GENERAL!$AI$2,CONCATENATE(OBSERVACIONES!P154,"
ESTADO DE POSTVENTAS:  ",GENERAL!Q155))</f>
        <v>OK
ESTADO DE POSTVENTAS:  POSTVENTA CORREGIDA</v>
      </c>
      <c r="Q154" s="70" t="str">
        <f>+IF(GENERAL!R155=GENERAL!$AI$2,GENERAL!$AI$2,CONCATENATE(OBSERVACIONES!Q154,"
ESTADO DE POSTVENTAS:  ",GENERAL!R155))</f>
        <v>OK
ESTADO DE POSTVENTAS:  POSTVENTA CORREGIDA</v>
      </c>
      <c r="R154" s="51" t="str">
        <f>+IF(GENERAL!S155=GENERAL!$AI$2,GENERAL!$AI$2,CONCATENATE(OBSERVACIONES!R154,"
ESTADO DE POSTVENTAS:  ",GENERAL!S155))</f>
        <v>OK
ESTADO DE POSTVENTAS:  POSTVENTA CORREGIDA</v>
      </c>
      <c r="S154" s="51" t="str">
        <f>+IF(GENERAL!T155=GENERAL!$AI$2,GENERAL!$AI$2,CONCATENATE(OBSERVACIONES!S154,"
ESTADO DE POSTVENTAS:  ",GENERAL!T155))</f>
        <v>OK
ESTADO DE POSTVENTAS:  POSTVENTA CORREGIDA</v>
      </c>
      <c r="T154" s="51" t="str">
        <f>+IF(GENERAL!U155=GENERAL!$AI$2,GENERAL!$AI$2,CONCATENATE(OBSERVACIONES!T154,"
ESTADO DE POSTVENTAS:  ",GENERAL!U155))</f>
        <v>OK
ESTADO DE POSTVENTAS:  POSTVENTA CORREGIDA</v>
      </c>
      <c r="U154" s="51" t="str">
        <f>+IF(GENERAL!V155=GENERAL!$AI$2,GENERAL!$AI$2,CONCATENATE(OBSERVACIONES!U154,"
ESTADO DE POSTVENTAS:  ",GENERAL!V155))</f>
        <v>OK
ESTADO DE POSTVENTAS:  POSTVENTA CORREGIDA</v>
      </c>
      <c r="V154" s="51" t="str">
        <f>+IF(GENERAL!W155=GENERAL!$AI$2,GENERAL!$AI$2,CONCATENATE(OBSERVACIONES!V154,"
ESTADO DE POSTVENTAS:  ",GENERAL!W155))</f>
        <v>OK
ESTADO DE POSTVENTAS:  POSTVENTA CORREGIDA</v>
      </c>
      <c r="W154" s="51" t="str">
        <f>+IF(GENERAL!V155=GENERAL!$AI$2,GENERAL!$AI$2,CONCATENATE(OBSERVACIONES!W154,"
ESTADO DE POSTVENTAS:  ",GENERAL!V155))</f>
        <v>OK
ESTADO DE POSTVENTAS:  POSTVENTA CORREGIDA</v>
      </c>
      <c r="X154" s="51" t="str">
        <f>+IF(GENERAL!W155=GENERAL!$AI$2,GENERAL!$AI$2,CONCATENATE(OBSERVACIONES!X154,"
ESTADO DE POSTVENTAS:  ",GENERAL!W155))</f>
        <v>OK
ESTADO DE POSTVENTAS:  POSTVENTA CORREGIDA</v>
      </c>
      <c r="Y154" s="51" t="str">
        <f>+IF(GENERAL!Z155=GENERAL!$AI$2,GENERAL!$AI$2,CONCATENATE(OBSERVACIONES!Y154,"
ESTADO DE POSTVENTAS:  ",GENERAL!Z155))</f>
        <v>OK
ESTADO DE POSTVENTAS:  POSTVENTA CORREGIDA</v>
      </c>
      <c r="Z154" s="51" t="str">
        <f>+IF(GENERAL!AA155=GENERAL!$AI$2,GENERAL!$AI$2,CONCATENATE(OBSERVACIONES!Z154,"
ESTADO DE POSTVENTAS:  ",GENERAL!AA155))</f>
        <v>OK
ESTADO DE POSTVENTAS:  POSTVENTA CORREGIDA</v>
      </c>
      <c r="AA154" s="51" t="str">
        <f>+IF(GENERAL!AB155=GENERAL!$AI$2,GENERAL!$AI$2,CONCATENATE(OBSERVACIONES!AA154,"
ESTADO DE POSTVENTAS:  ",GENERAL!AB155))</f>
        <v>OK
ESTADO DE POSTVENTAS:  POSTVENTA CORREGIDA</v>
      </c>
      <c r="AB154" s="51" t="str">
        <f>+IF(GENERAL!AC155=GENERAL!$AI$2,GENERAL!$AI$2,CONCATENATE(OBSERVACIONES!AB154,"
ESTADO DE POSTVENTAS:  ",GENERAL!AC155))</f>
        <v>OK
ESTADO DE POSTVENTAS:  POSTVENTA CORREGIDA</v>
      </c>
      <c r="AC154" s="51" t="str">
        <f>+IF(GENERAL!AD155=GENERAL!$AI$2,GENERAL!$AI$2,CONCATENATE(OBSERVACIONES!AC154,"
ESTADO DE POSTVENTAS:  ",GENERAL!AD155))</f>
        <v>OK
ESTADO DE POSTVENTAS:  POSTVENTA CORREGIDA</v>
      </c>
      <c r="AD154" s="51" t="str">
        <f>+IF(GENERAL!AE155=GENERAL!$AI$2,GENERAL!$AI$2,CONCATENATE(OBSERVACIONES!AD154,"
ESTADO DE POSTVENTAS:  ",GENERAL!AE155))</f>
        <v>OK
ESTADO DE POSTVENTAS:  POSTVENTA CORREGIDA</v>
      </c>
      <c r="AE154" s="51" t="str">
        <f>+IF(GENERAL!AF155=GENERAL!$AI$2,GENERAL!$AI$2,CONCATENATE(OBSERVACIONES!AE154,"
ESTADO DE POSTVENTAS:  ",GENERAL!AF155))</f>
        <v>OK
ESTADO DE POSTVENTAS:  POSTVENTA CORREGIDA</v>
      </c>
      <c r="AF154" s="51" t="str">
        <f>+IF(GENERAL!AG155=GENERAL!$AI$2,GENERAL!$AI$2,CONCATENATE(OBSERVACIONES!AF154,"
ESTADO DE POSTVENTAS:  ",GENERAL!AG155))</f>
        <v>OK
ESTADO DE POSTVENTAS:  POSTVENTA CORREGIDA</v>
      </c>
      <c r="AG154" s="51" t="str">
        <f>+IF(GENERAL!AH155=GENERAL!$AI$2,GENERAL!$AI$2,CONCATENATE(OBSERVACIONES!AG154,"
ESTADO DE POSTVENTAS:  ",GENERAL!AH155))</f>
        <v>OK
ESTADO DE POSTVENTAS:  POSTVENTA CORREGIDA</v>
      </c>
      <c r="AH154" s="51" t="str">
        <f>+IF(GENERAL!AI155=GENERAL!$AI$2,GENERAL!$AI$2,CONCATENATE(OBSERVACIONES!AH154,"
ESTADO DE POSTVENTAS:  ",GENERAL!AI155))</f>
        <v>OK
ESTADO DE POSTVENTAS:  POSTVENTA CORREGIDA</v>
      </c>
      <c r="AI154" s="51" t="str">
        <f>+IF(GENERAL!AG155=GENERAL!$AI$2,GENERAL!$AI$2,CONCATENATE(OBSERVACIONES!AF154,"
ESTADO DE POSTVENTAS:  ",GENERAL!AG155))</f>
        <v>OK
ESTADO DE POSTVENTAS:  POSTVENTA CORREGIDA</v>
      </c>
      <c r="AJ154" s="51" t="str">
        <f>+IF(GENERAL!AI155=GENERAL!$AI$2,GENERAL!$AI$2,CONCATENATE(OBSERVACIONES!AH154,"
ESTADO DE POSTVENTAS:  ",GENERAL!AI155))</f>
        <v>OK
ESTADO DE POSTVENTAS:  POSTVENTA CORREGIDA</v>
      </c>
      <c r="AK154" s="51" t="str">
        <f>+IF(GENERAL!AJ155=GENERAL!$AI$2,GENERAL!$AI$2,CONCATENATE(OBSERVACIONES!AI154,"
ESTADO DE POSTVENTAS:  ",GENERAL!AJ155))</f>
        <v>OK
ESTADO DE POSTVENTAS:  POSTVENTA CORREGIDA</v>
      </c>
      <c r="AL154" s="51" t="str">
        <f>+IF(GENERAL!AK155=GENERAL!$AI$2,GENERAL!$AI$2,CONCATENATE(OBSERVACIONES!AJ154,"
ESTADO DE POSTVENTAS:  ",GENERAL!AK155))</f>
        <v>OK
ESTADO DE POSTVENTAS:  POSTVENTA CORREGIDA</v>
      </c>
      <c r="AM154" s="51" t="str">
        <f>+IF(GENERAL!AN155=GENERAL!$AI$2,GENERAL!$AI$2,CONCATENATE(OBSERVACIONES!AM154,"
ESTADO DE POSTVENTAS:  ",GENERAL!AN155))</f>
        <v>OK
ESTADO DE POSTVENTAS:  POSTVENTA CORREGIDA</v>
      </c>
      <c r="AN154" s="37">
        <v>0</v>
      </c>
      <c r="AO154" s="37">
        <v>11</v>
      </c>
      <c r="AP154" s="37">
        <v>3</v>
      </c>
      <c r="AQ154" s="37">
        <v>0</v>
      </c>
      <c r="AR154" s="43">
        <v>14</v>
      </c>
      <c r="AS154" s="40">
        <v>12</v>
      </c>
      <c r="AT154" s="37">
        <f>COUNTIFS($D$5:$AM$5,"&lt;&gt;"&amp;CODICIONALES!$A$1,$D$5:$AM$5,"&lt;&gt;"&amp;CODICIONALES!$A$2,$D$5:$AM$5,"&lt;&gt;"&amp;CODICIONALES!$B$2,$D$5:$AM$5,"&lt;&gt;"&amp;CODICIONALES!$C$2)</f>
        <v>6</v>
      </c>
      <c r="AU154" s="43">
        <f>COUNTIFS(D154:AM154,CODICIONALES!$A$2)</f>
        <v>34</v>
      </c>
      <c r="AV154" s="40">
        <f t="shared" si="2"/>
        <v>-4</v>
      </c>
    </row>
    <row r="155" spans="1:48" ht="51" customHeight="1" x14ac:dyDescent="0.25">
      <c r="A155" s="110"/>
      <c r="B155" s="2">
        <v>151</v>
      </c>
      <c r="C155" s="21" t="s">
        <v>105</v>
      </c>
      <c r="D155" s="51" t="str">
        <f>+IF(GENERAL!E156=GENERAL!$AI$2,GENERAL!$AI$2,CONCATENATE(OBSERVACIONES!D155,"
ESTADO DE POSTVENTAS:  ",GENERAL!E156))</f>
        <v>NO ENTREGADO
ESTADO DE POSTVENTAS:  TIENE POSTVENTA</v>
      </c>
      <c r="E155" s="70" t="str">
        <f>+IF(GENERAL!F156=GENERAL!$AI$2,GENERAL!$AI$2,CONCATENATE(OBSERVACIONES!E155,"
ESTADO DE POSTVENTAS:  ",GENERAL!F156))</f>
        <v>OK
ESTADO DE POSTVENTAS:  POSTVENTA CORREGIDA</v>
      </c>
      <c r="F155" s="51" t="str">
        <f>+IF(GENERAL!G156=GENERAL!$AI$2,GENERAL!$AI$2,CONCATENATE(OBSERVACIONES!F155,"
ESTADO DE POSTVENTAS:  ",GENERAL!G156))</f>
        <v>OK
ESTADO DE POSTVENTAS:  POSTVENTA CORREGIDA</v>
      </c>
      <c r="G155" s="51" t="str">
        <f>+IF(GENERAL!H156=GENERAL!$AI$2,GENERAL!$AI$2,CONCATENATE(OBSERVACIONES!G155,"
ESTADO DE POSTVENTAS:  ",GENERAL!H156))</f>
        <v>NO ENTREGADO
ESTADO DE POSTVENTAS:  TIENE POSTVENTA</v>
      </c>
      <c r="H155" s="51" t="str">
        <f>+IF(GENERAL!I156=GENERAL!$AI$2,GENERAL!$AI$2,CONCATENATE(OBSERVACIONES!H155,"
ESTADO DE POSTVENTAS:  ",GENERAL!I156))</f>
        <v>OK
ESTADO DE POSTVENTAS:  POSTVENTA CORREGIDA</v>
      </c>
      <c r="I155" s="51" t="str">
        <f>+IF(GENERAL!J156=GENERAL!$AI$2,GENERAL!$AI$2,CONCATENATE(OBSERVACIONES!I155,"
ESTADO DE POSTVENTAS:  ",GENERAL!J156))</f>
        <v>OK
ESTADO DE POSTVENTAS:  POSTVENTA CORREGIDA</v>
      </c>
      <c r="J155" s="51" t="str">
        <f>+IF(GENERAL!K156=GENERAL!$AI$2,GENERAL!$AI$2,CONCATENATE(OBSERVACIONES!J155,"
ESTADO DE POSTVENTAS:  ",GENERAL!K156))</f>
        <v>OK
ESTADO DE POSTVENTAS:  POSTVENTA CORREGIDA</v>
      </c>
      <c r="K155" s="51" t="str">
        <f>+IF(GENERAL!L156=GENERAL!$AI$2,GENERAL!$AI$2,CONCATENATE(OBSERVACIONES!K155,"
ESTADO DE POSTVENTAS:  ",GENERAL!L156))</f>
        <v>OK
ESTADO DE POSTVENTAS:  POSTVENTA CORREGIDA</v>
      </c>
      <c r="L155" s="51" t="str">
        <f>+IF(GENERAL!M156=GENERAL!$AI$2,GENERAL!$AI$2,CONCATENATE(OBSERVACIONES!L155,"
ESTADO DE POSTVENTAS:  ",GENERAL!M156))</f>
        <v>OK
ESTADO DE POSTVENTAS:  POSTVENTA CORREGIDA</v>
      </c>
      <c r="M155" s="70" t="str">
        <f>+IF(GENERAL!N156=GENERAL!$AI$2,GENERAL!$AI$2,CONCATENATE(OBSERVACIONES!M155,"
ESTADO DE POSTVENTAS:  ",GENERAL!N156))</f>
        <v>OK
ESTADO DE POSTVENTAS:  POSTVENTA CORREGIDA</v>
      </c>
      <c r="N155" s="51" t="str">
        <f>+IF(GENERAL!O156=GENERAL!$AI$2,GENERAL!$AI$2,CONCATENATE(OBSERVACIONES!N155,"
ESTADO DE POSTVENTAS:  ",GENERAL!O156))</f>
        <v>OK
ESTADO DE POSTVENTAS:  POSTVENTA CORREGIDA</v>
      </c>
      <c r="O155" s="70" t="str">
        <f>+IF(GENERAL!P156=GENERAL!$AI$2,GENERAL!$AI$2,CONCATENATE(OBSERVACIONES!O155,"
ESTADO DE POSTVENTAS:  ",GENERAL!P156))</f>
        <v>OK
ESTADO DE POSTVENTAS:  POSTVENTA CORREGIDA</v>
      </c>
      <c r="P155" s="70" t="str">
        <f>+IF(GENERAL!Q156=GENERAL!$AI$2,GENERAL!$AI$2,CONCATENATE(OBSERVACIONES!P155,"
ESTADO DE POSTVENTAS:  ",GENERAL!Q156))</f>
        <v>OK
ESTADO DE POSTVENTAS:  POSTVENTA CORREGIDA</v>
      </c>
      <c r="Q155" s="70" t="str">
        <f>+IF(GENERAL!R156=GENERAL!$AI$2,GENERAL!$AI$2,CONCATENATE(OBSERVACIONES!Q155,"
ESTADO DE POSTVENTAS:  ",GENERAL!R156))</f>
        <v>OK
ESTADO DE POSTVENTAS:  POSTVENTA CORREGIDA</v>
      </c>
      <c r="R155" s="51" t="str">
        <f>+IF(GENERAL!S156=GENERAL!$AI$2,GENERAL!$AI$2,CONCATENATE(OBSERVACIONES!R155,"
ESTADO DE POSTVENTAS:  ",GENERAL!S156))</f>
        <v>OK
ESTADO DE POSTVENTAS:  POSTVENTA CORREGIDA</v>
      </c>
      <c r="S155" s="51" t="str">
        <f>+IF(GENERAL!T156=GENERAL!$AI$2,GENERAL!$AI$2,CONCATENATE(OBSERVACIONES!S155,"
ESTADO DE POSTVENTAS:  ",GENERAL!T156))</f>
        <v>OK
ESTADO DE POSTVENTAS:  POSTVENTA CORREGIDA</v>
      </c>
      <c r="T155" s="51" t="str">
        <f>+IF(GENERAL!U156=GENERAL!$AI$2,GENERAL!$AI$2,CONCATENATE(OBSERVACIONES!T155,"
ESTADO DE POSTVENTAS:  ",GENERAL!U156))</f>
        <v>OK
ESTADO DE POSTVENTAS:  POSTVENTA CORREGIDA</v>
      </c>
      <c r="U155" s="51" t="str">
        <f>+IF(GENERAL!V156=GENERAL!$AI$2,GENERAL!$AI$2,CONCATENATE(OBSERVACIONES!U155,"
ESTADO DE POSTVENTAS:  ",GENERAL!V156))</f>
        <v>OK
ESTADO DE POSTVENTAS:  POSTVENTA CORREGIDA</v>
      </c>
      <c r="V155" s="51" t="str">
        <f>+IF(GENERAL!W156=GENERAL!$AI$2,GENERAL!$AI$2,CONCATENATE(OBSERVACIONES!V155,"
ESTADO DE POSTVENTAS:  ",GENERAL!W156))</f>
        <v>OK
ESTADO DE POSTVENTAS:  POSTVENTA CORREGIDA</v>
      </c>
      <c r="W155" s="51" t="str">
        <f>+IF(GENERAL!V156=GENERAL!$AI$2,GENERAL!$AI$2,CONCATENATE(OBSERVACIONES!W155,"
ESTADO DE POSTVENTAS:  ",GENERAL!V156))</f>
        <v>OK
ESTADO DE POSTVENTAS:  POSTVENTA CORREGIDA</v>
      </c>
      <c r="X155" s="51" t="str">
        <f>+IF(GENERAL!W156=GENERAL!$AI$2,GENERAL!$AI$2,CONCATENATE(OBSERVACIONES!X155,"
ESTADO DE POSTVENTAS:  ",GENERAL!W156))</f>
        <v>OK
ESTADO DE POSTVENTAS:  POSTVENTA CORREGIDA</v>
      </c>
      <c r="Y155" s="51" t="str">
        <f>+IF(GENERAL!Z156=GENERAL!$AI$2,GENERAL!$AI$2,CONCATENATE(OBSERVACIONES!Y155,"
ESTADO DE POSTVENTAS:  ",GENERAL!Z156))</f>
        <v>OK
ESTADO DE POSTVENTAS:  POSTVENTA CORREGIDA</v>
      </c>
      <c r="Z155" s="51" t="str">
        <f>+IF(GENERAL!AA156=GENERAL!$AI$2,GENERAL!$AI$2,CONCATENATE(OBSERVACIONES!Z155,"
ESTADO DE POSTVENTAS:  ",GENERAL!AA156))</f>
        <v>OK
ESTADO DE POSTVENTAS:  POSTVENTA CORREGIDA</v>
      </c>
      <c r="AA155" s="70" t="str">
        <f>+IF(GENERAL!AB156=GENERAL!$AI$2,GENERAL!$AI$2,CONCATENATE(OBSERVACIONES!AA155,"
ESTADO DE POSTVENTAS:  ",GENERAL!AB156))</f>
        <v>DETALLE FIJAADO
ESTADO DE POSTVENTAS:  TIENE POSTVENTA</v>
      </c>
      <c r="AB155" s="51" t="str">
        <f>+IF(GENERAL!AC156=GENERAL!$AI$2,GENERAL!$AI$2,CONCATENATE(OBSERVACIONES!AB155,"
ESTADO DE POSTVENTAS:  ",GENERAL!AC156))</f>
        <v>OK
ESTADO DE POSTVENTAS:  POSTVENTA CORREGIDA</v>
      </c>
      <c r="AC155" s="51" t="str">
        <f>+IF(GENERAL!AD156=GENERAL!$AI$2,GENERAL!$AI$2,CONCATENATE(OBSERVACIONES!AC155,"
ESTADO DE POSTVENTAS:  ",GENERAL!AD156))</f>
        <v>OK
ESTADO DE POSTVENTAS:  POSTVENTA CORREGIDA</v>
      </c>
      <c r="AD155" s="51" t="str">
        <f>+IF(GENERAL!AE156=GENERAL!$AI$2,GENERAL!$AI$2,CONCATENATE(OBSERVACIONES!AD155,"
ESTADO DE POSTVENTAS:  ",GENERAL!AE156))</f>
        <v>OK
ESTADO DE POSTVENTAS:  POSTVENTA CORREGIDA</v>
      </c>
      <c r="AE155" s="51" t="str">
        <f>+IF(GENERAL!AF156=GENERAL!$AI$2,GENERAL!$AI$2,CONCATENATE(OBSERVACIONES!AE155,"
ESTADO DE POSTVENTAS:  ",GENERAL!AF156))</f>
        <v>OK
ESTADO DE POSTVENTAS:  POSTVENTA CORREGIDA</v>
      </c>
      <c r="AF155" s="51" t="str">
        <f>+IF(GENERAL!AG156=GENERAL!$AI$2,GENERAL!$AI$2,CONCATENATE(OBSERVACIONES!AF155,"
ESTADO DE POSTVENTAS:  ",GENERAL!AG156))</f>
        <v>OK
ESTADO DE POSTVENTAS:  POSTVENTA CORREGIDA</v>
      </c>
      <c r="AG155" s="51" t="str">
        <f>+IF(GENERAL!AH156=GENERAL!$AI$2,GENERAL!$AI$2,CONCATENATE(OBSERVACIONES!AG155,"
ESTADO DE POSTVENTAS:  ",GENERAL!AH156))</f>
        <v>OK
ESTADO DE POSTVENTAS:  POSTVENTA CORREGIDA</v>
      </c>
      <c r="AH155" s="51" t="str">
        <f>+IF(GENERAL!AI156=GENERAL!$AI$2,GENERAL!$AI$2,CONCATENATE(OBSERVACIONES!AH155,"
ESTADO DE POSTVENTAS:  ",GENERAL!AI156))</f>
        <v>OK
ESTADO DE POSTVENTAS:  POSTVENTA CORREGIDA</v>
      </c>
      <c r="AI155" s="51" t="str">
        <f>+IF(GENERAL!AG156=GENERAL!$AI$2,GENERAL!$AI$2,CONCATENATE(OBSERVACIONES!AF155,"
ESTADO DE POSTVENTAS:  ",GENERAL!AG156))</f>
        <v>OK
ESTADO DE POSTVENTAS:  POSTVENTA CORREGIDA</v>
      </c>
      <c r="AJ155" s="51" t="str">
        <f>+IF(GENERAL!AI156=GENERAL!$AI$2,GENERAL!$AI$2,CONCATENATE(OBSERVACIONES!AH155,"
ESTADO DE POSTVENTAS:  ",GENERAL!AI156))</f>
        <v>OK
ESTADO DE POSTVENTAS:  POSTVENTA CORREGIDA</v>
      </c>
      <c r="AK155" s="51" t="str">
        <f>+IF(GENERAL!AJ156=GENERAL!$AI$2,GENERAL!$AI$2,CONCATENATE(OBSERVACIONES!AI155,"
ESTADO DE POSTVENTAS:  ",GENERAL!AJ156))</f>
        <v>OK
ESTADO DE POSTVENTAS:  POSTVENTA CORREGIDA</v>
      </c>
      <c r="AL155" s="51" t="str">
        <f>+IF(GENERAL!AK156=GENERAL!$AI$2,GENERAL!$AI$2,CONCATENATE(OBSERVACIONES!AJ155,"
ESTADO DE POSTVENTAS:  ",GENERAL!AK156))</f>
        <v>OK
ESTADO DE POSTVENTAS:  POSTVENTA CORREGIDA</v>
      </c>
      <c r="AM155" s="51" t="str">
        <f>+IF(GENERAL!AN156=GENERAL!$AI$2,GENERAL!$AI$2,CONCATENATE(OBSERVACIONES!AM155,"
ESTADO DE POSTVENTAS:  ",GENERAL!AN156))</f>
        <v>OK
ESTADO DE POSTVENTAS:  POSTVENTA CORREGIDA</v>
      </c>
      <c r="AN155" s="37">
        <v>1</v>
      </c>
      <c r="AO155" s="37">
        <v>10</v>
      </c>
      <c r="AP155" s="37">
        <v>3</v>
      </c>
      <c r="AQ155" s="37">
        <v>1</v>
      </c>
      <c r="AR155" s="43">
        <v>14</v>
      </c>
      <c r="AS155" s="40">
        <v>11</v>
      </c>
      <c r="AT155" s="37">
        <f>COUNTIFS($D$5:$AM$5,"&lt;&gt;"&amp;CODICIONALES!$A$1,$D$5:$AM$5,"&lt;&gt;"&amp;CODICIONALES!$A$2,$D$5:$AM$5,"&lt;&gt;"&amp;CODICIONALES!$B$2,$D$5:$AM$5,"&lt;&gt;"&amp;CODICIONALES!$C$2)</f>
        <v>6</v>
      </c>
      <c r="AU155" s="43">
        <f>COUNTIFS(D155:AM155,CODICIONALES!$A$2)</f>
        <v>33</v>
      </c>
      <c r="AV155" s="40">
        <f t="shared" si="2"/>
        <v>-3</v>
      </c>
    </row>
    <row r="156" spans="1:48" ht="51" customHeight="1" x14ac:dyDescent="0.25">
      <c r="A156" s="111"/>
      <c r="B156" s="2">
        <v>152</v>
      </c>
      <c r="C156" s="26" t="s">
        <v>78</v>
      </c>
      <c r="D156" s="51" t="str">
        <f>+IF(GENERAL!E157=GENERAL!$AI$2,GENERAL!$AI$2,CONCATENATE(OBSERVACIONES!D156,"
ESTADO DE POSTVENTAS:  ",GENERAL!E157))</f>
        <v>NO ENTREGADO
ESTADO DE POSTVENTAS:  TIENE POSTVENTA</v>
      </c>
      <c r="E156" s="70" t="str">
        <f>+IF(GENERAL!F157=GENERAL!$AI$2,GENERAL!$AI$2,CONCATENATE(OBSERVACIONES!E156,"
ESTADO DE POSTVENTAS:  ",GENERAL!F157))</f>
        <v>OK
ESTADO DE POSTVENTAS:  POSTVENTA CORREGIDA</v>
      </c>
      <c r="F156" s="51" t="str">
        <f>+IF(GENERAL!G157=GENERAL!$AI$2,GENERAL!$AI$2,CONCATENATE(OBSERVACIONES!F156,"
ESTADO DE POSTVENTAS:  ",GENERAL!G157))</f>
        <v>OK
ESTADO DE POSTVENTAS:  POSTVENTA CORREGIDA</v>
      </c>
      <c r="G156" s="51" t="str">
        <f>+IF(GENERAL!H157=GENERAL!$AI$2,GENERAL!$AI$2,CONCATENATE(OBSERVACIONES!G156,"
ESTADO DE POSTVENTAS:  ",GENERAL!H157))</f>
        <v>NO ENTREGADO
ESTADO DE POSTVENTAS:  TIENE POSTVENTA</v>
      </c>
      <c r="H156" s="51" t="str">
        <f>+IF(GENERAL!I157=GENERAL!$AI$2,GENERAL!$AI$2,CONCATENATE(OBSERVACIONES!H156,"
ESTADO DE POSTVENTAS:  ",GENERAL!I157))</f>
        <v>OK
ESTADO DE POSTVENTAS:  POSTVENTA CORREGIDA</v>
      </c>
      <c r="I156" s="51" t="str">
        <f>+IF(GENERAL!J157=GENERAL!$AI$2,GENERAL!$AI$2,CONCATENATE(OBSERVACIONES!I156,"
ESTADO DE POSTVENTAS:  ",GENERAL!J157))</f>
        <v>OK
ESTADO DE POSTVENTAS:  POSTVENTA CORREGIDA</v>
      </c>
      <c r="J156" s="51" t="str">
        <f>+IF(GENERAL!K157=GENERAL!$AI$2,GENERAL!$AI$2,CONCATENATE(OBSERVACIONES!J156,"
ESTADO DE POSTVENTAS:  ",GENERAL!K157))</f>
        <v>OK
ESTADO DE POSTVENTAS:  POSTVENTA CORREGIDA</v>
      </c>
      <c r="K156" s="51" t="str">
        <f>+IF(GENERAL!L157=GENERAL!$AI$2,GENERAL!$AI$2,CONCATENATE(OBSERVACIONES!K156,"
ESTADO DE POSTVENTAS:  ",GENERAL!L157))</f>
        <v>OK
ESTADO DE POSTVENTAS:  POSTVENTA CORREGIDA</v>
      </c>
      <c r="L156" s="51" t="str">
        <f>+IF(GENERAL!M157=GENERAL!$AI$2,GENERAL!$AI$2,CONCATENATE(OBSERVACIONES!L156,"
ESTADO DE POSTVENTAS:  ",GENERAL!M157))</f>
        <v>OK
ESTADO DE POSTVENTAS:  POSTVENTA CORREGIDA</v>
      </c>
      <c r="M156" s="70" t="str">
        <f>+IF(GENERAL!N157=GENERAL!$AI$2,GENERAL!$AI$2,CONCATENATE(OBSERVACIONES!M156,"
ESTADO DE POSTVENTAS:  ",GENERAL!N157))</f>
        <v>OK
ESTADO DE POSTVENTAS:  POSTVENTA CORREGIDA</v>
      </c>
      <c r="N156" s="51" t="str">
        <f>+IF(GENERAL!O157=GENERAL!$AI$2,GENERAL!$AI$2,CONCATENATE(OBSERVACIONES!N156,"
ESTADO DE POSTVENTAS:  ",GENERAL!O157))</f>
        <v>OK
ESTADO DE POSTVENTAS:  POSTVENTA CORREGIDA</v>
      </c>
      <c r="O156" s="51" t="str">
        <f>+IF(GENERAL!P157=GENERAL!$AI$2,GENERAL!$AI$2,CONCATENATE(OBSERVACIONES!O156,"
ESTADO DE POSTVENTAS:  ",GENERAL!P157))</f>
        <v>DETALLE MURO
ESTADO DE POSTVENTAS:  TIENE POSTVENTA</v>
      </c>
      <c r="P156" s="70" t="str">
        <f>+IF(GENERAL!Q157=GENERAL!$AI$2,GENERAL!$AI$2,CONCATENATE(OBSERVACIONES!P156,"
ESTADO DE POSTVENTAS:  ",GENERAL!Q157))</f>
        <v>OK
ESTADO DE POSTVENTAS:  POSTVENTA CORREGIDA</v>
      </c>
      <c r="Q156" s="70" t="str">
        <f>+IF(GENERAL!R157=GENERAL!$AI$2,GENERAL!$AI$2,CONCATENATE(OBSERVACIONES!Q156,"
ESTADO DE POSTVENTAS:  ",GENERAL!R157))</f>
        <v>OK
ESTADO DE POSTVENTAS:  POSTVENTA CORREGIDA</v>
      </c>
      <c r="R156" s="51" t="str">
        <f>+IF(GENERAL!S157=GENERAL!$AI$2,GENERAL!$AI$2,CONCATENATE(OBSERVACIONES!R156,"
ESTADO DE POSTVENTAS:  ",GENERAL!S157))</f>
        <v>OK
ESTADO DE POSTVENTAS:  POSTVENTA CORREGIDA</v>
      </c>
      <c r="S156" s="51" t="str">
        <f>+IF(GENERAL!T157=GENERAL!$AI$2,GENERAL!$AI$2,CONCATENATE(OBSERVACIONES!S156,"
ESTADO DE POSTVENTAS:  ",GENERAL!T157))</f>
        <v>OK
ESTADO DE POSTVENTAS:  POSTVENTA CORREGIDA</v>
      </c>
      <c r="T156" s="51" t="str">
        <f>+IF(GENERAL!U157=GENERAL!$AI$2,GENERAL!$AI$2,CONCATENATE(OBSERVACIONES!T156,"
ESTADO DE POSTVENTAS:  ",GENERAL!U157))</f>
        <v>OK
ESTADO DE POSTVENTAS:  POSTVENTA CORREGIDA</v>
      </c>
      <c r="U156" s="51" t="str">
        <f>+IF(GENERAL!V157=GENERAL!$AI$2,GENERAL!$AI$2,CONCATENATE(OBSERVACIONES!U156,"
ESTADO DE POSTVENTAS:  ",GENERAL!V157))</f>
        <v>OK
ESTADO DE POSTVENTAS:  POSTVENTA CORREGIDA</v>
      </c>
      <c r="V156" s="51" t="str">
        <f>+IF(GENERAL!W157=GENERAL!$AI$2,GENERAL!$AI$2,CONCATENATE(OBSERVACIONES!V156,"
ESTADO DE POSTVENTAS:  ",GENERAL!W157))</f>
        <v>OK
ESTADO DE POSTVENTAS:  POSTVENTA CORREGIDA</v>
      </c>
      <c r="W156" s="51" t="str">
        <f>+IF(GENERAL!V157=GENERAL!$AI$2,GENERAL!$AI$2,CONCATENATE(OBSERVACIONES!W156,"
ESTADO DE POSTVENTAS:  ",GENERAL!V157))</f>
        <v>OK
ESTADO DE POSTVENTAS:  POSTVENTA CORREGIDA</v>
      </c>
      <c r="X156" s="51" t="str">
        <f>+IF(GENERAL!W157=GENERAL!$AI$2,GENERAL!$AI$2,CONCATENATE(OBSERVACIONES!X156,"
ESTADO DE POSTVENTAS:  ",GENERAL!W157))</f>
        <v>OK
ESTADO DE POSTVENTAS:  POSTVENTA CORREGIDA</v>
      </c>
      <c r="Y156" s="51" t="str">
        <f>+IF(GENERAL!Z157=GENERAL!$AI$2,GENERAL!$AI$2,CONCATENATE(OBSERVACIONES!Y156,"
ESTADO DE POSTVENTAS:  ",GENERAL!Z157))</f>
        <v>OK
ESTADO DE POSTVENTAS:  POSTVENTA CORREGIDA</v>
      </c>
      <c r="Z156" s="51" t="str">
        <f>+IF(GENERAL!AA157=GENERAL!$AI$2,GENERAL!$AI$2,CONCATENATE(OBSERVACIONES!Z156,"
ESTADO DE POSTVENTAS:  ",GENERAL!AA157))</f>
        <v>OK
ESTADO DE POSTVENTAS:  POSTVENTA CORREGIDA</v>
      </c>
      <c r="AA156" s="51" t="str">
        <f>+IF(GENERAL!AB157=GENERAL!$AI$2,GENERAL!$AI$2,CONCATENATE(OBSERVACIONES!AA156,"
ESTADO DE POSTVENTAS:  ",GENERAL!AB157))</f>
        <v>OK
ESTADO DE POSTVENTAS:  POSTVENTA CORREGIDA</v>
      </c>
      <c r="AB156" s="51" t="str">
        <f>+IF(GENERAL!AC157=GENERAL!$AI$2,GENERAL!$AI$2,CONCATENATE(OBSERVACIONES!AB156,"
ESTADO DE POSTVENTAS:  ",GENERAL!AC157))</f>
        <v>OK
ESTADO DE POSTVENTAS:  POSTVENTA CORREGIDA</v>
      </c>
      <c r="AC156" s="51" t="str">
        <f>+IF(GENERAL!AD157=GENERAL!$AI$2,GENERAL!$AI$2,CONCATENATE(OBSERVACIONES!AC156,"
ESTADO DE POSTVENTAS:  ",GENERAL!AD157))</f>
        <v>OK
ESTADO DE POSTVENTAS:  POSTVENTA CORREGIDA</v>
      </c>
      <c r="AD156" s="51" t="str">
        <f>+IF(GENERAL!AE157=GENERAL!$AI$2,GENERAL!$AI$2,CONCATENATE(OBSERVACIONES!AD156,"
ESTADO DE POSTVENTAS:  ",GENERAL!AE157))</f>
        <v>OK
ESTADO DE POSTVENTAS:  POSTVENTA CORREGIDA</v>
      </c>
      <c r="AE156" s="51" t="str">
        <f>+IF(GENERAL!AF157=GENERAL!$AI$2,GENERAL!$AI$2,CONCATENATE(OBSERVACIONES!AE156,"
ESTADO DE POSTVENTAS:  ",GENERAL!AF157))</f>
        <v>OK
ESTADO DE POSTVENTAS:  POSTVENTA CORREGIDA</v>
      </c>
      <c r="AF156" s="51" t="str">
        <f>+IF(GENERAL!AG157=GENERAL!$AI$2,GENERAL!$AI$2,CONCATENATE(OBSERVACIONES!AF156,"
ESTADO DE POSTVENTAS:  ",GENERAL!AG157))</f>
        <v>OK
ESTADO DE POSTVENTAS:  POSTVENTA CORREGIDA</v>
      </c>
      <c r="AG156" s="51" t="str">
        <f>+IF(GENERAL!AH157=GENERAL!$AI$2,GENERAL!$AI$2,CONCATENATE(OBSERVACIONES!AG156,"
ESTADO DE POSTVENTAS:  ",GENERAL!AH157))</f>
        <v>OK
ESTADO DE POSTVENTAS:  POSTVENTA CORREGIDA</v>
      </c>
      <c r="AH156" s="51" t="str">
        <f>+IF(GENERAL!AI157=GENERAL!$AI$2,GENERAL!$AI$2,CONCATENATE(OBSERVACIONES!AH156,"
ESTADO DE POSTVENTAS:  ",GENERAL!AI157))</f>
        <v>OK
ESTADO DE POSTVENTAS:  POSTVENTA CORREGIDA</v>
      </c>
      <c r="AI156" s="51" t="str">
        <f>+IF(GENERAL!AG157=GENERAL!$AI$2,GENERAL!$AI$2,CONCATENATE(OBSERVACIONES!AF156,"
ESTADO DE POSTVENTAS:  ",GENERAL!AG157))</f>
        <v>OK
ESTADO DE POSTVENTAS:  POSTVENTA CORREGIDA</v>
      </c>
      <c r="AJ156" s="51" t="str">
        <f>+IF(GENERAL!AI157=GENERAL!$AI$2,GENERAL!$AI$2,CONCATENATE(OBSERVACIONES!AH156,"
ESTADO DE POSTVENTAS:  ",GENERAL!AI157))</f>
        <v>OK
ESTADO DE POSTVENTAS:  POSTVENTA CORREGIDA</v>
      </c>
      <c r="AK156" s="51" t="str">
        <f>+IF(GENERAL!AJ157=GENERAL!$AI$2,GENERAL!$AI$2,CONCATENATE(OBSERVACIONES!AI156,"
ESTADO DE POSTVENTAS:  ",GENERAL!AJ157))</f>
        <v>OK
ESTADO DE POSTVENTAS:  POSTVENTA CORREGIDA</v>
      </c>
      <c r="AL156" s="51" t="str">
        <f>+IF(GENERAL!AK157=GENERAL!$AI$2,GENERAL!$AI$2,CONCATENATE(OBSERVACIONES!AJ156,"
ESTADO DE POSTVENTAS:  ",GENERAL!AK157))</f>
        <v>OK
ESTADO DE POSTVENTAS:  POSTVENTA CORREGIDA</v>
      </c>
      <c r="AM156" s="51" t="str">
        <f>+IF(GENERAL!AN157=GENERAL!$AI$2,GENERAL!$AI$2,CONCATENATE(OBSERVACIONES!AM156,"
ESTADO DE POSTVENTAS:  ",GENERAL!AN157))</f>
        <v>OK
ESTADO DE POSTVENTAS:  POSTVENTA CORREGIDA</v>
      </c>
      <c r="AN156" s="37">
        <v>1</v>
      </c>
      <c r="AO156" s="37">
        <v>10</v>
      </c>
      <c r="AP156" s="37">
        <v>3</v>
      </c>
      <c r="AQ156" s="37">
        <v>0</v>
      </c>
      <c r="AR156" s="43">
        <v>14</v>
      </c>
      <c r="AS156" s="40">
        <v>12</v>
      </c>
      <c r="AT156" s="37">
        <f>COUNTIFS($D$5:$AM$5,"&lt;&gt;"&amp;CODICIONALES!$A$1,$D$5:$AM$5,"&lt;&gt;"&amp;CODICIONALES!$A$2,$D$5:$AM$5,"&lt;&gt;"&amp;CODICIONALES!$B$2,$D$5:$AM$5,"&lt;&gt;"&amp;CODICIONALES!$C$2)</f>
        <v>6</v>
      </c>
      <c r="AU156" s="43">
        <f>COUNTIFS(D156:AM156,CODICIONALES!$A$2)</f>
        <v>33</v>
      </c>
      <c r="AV156" s="40">
        <f t="shared" si="2"/>
        <v>-3</v>
      </c>
    </row>
    <row r="157" spans="1:48" ht="51" customHeight="1" x14ac:dyDescent="0.25">
      <c r="A157" s="112" t="s">
        <v>109</v>
      </c>
      <c r="B157" s="2">
        <v>153</v>
      </c>
      <c r="C157" s="25" t="s">
        <v>110</v>
      </c>
      <c r="D157" s="51" t="str">
        <f>+IF(GENERAL!E158=GENERAL!$AI$2,GENERAL!$AI$2,CONCATENATE(OBSERVACIONES!D157,"
ESTADO DE POSTVENTAS:  ",GENERAL!E158))</f>
        <v>NO ENTREGADO
ESTADO DE POSTVENTAS:  TIENE POSTVENTA</v>
      </c>
      <c r="E157" s="51" t="str">
        <f>+IF(GENERAL!F158=GENERAL!$AI$2,GENERAL!$AI$2,CONCATENATE(OBSERVACIONES!E157,"
ESTADO DE POSTVENTAS:  ",GENERAL!F158))</f>
        <v>OK
ESTADO DE POSTVENTAS:  POSTVENTA CORREGIDA</v>
      </c>
      <c r="F157" s="51" t="str">
        <f>+IF(GENERAL!G158=GENERAL!$AI$2,GENERAL!$AI$2,CONCATENATE(OBSERVACIONES!F157,"
ESTADO DE POSTVENTAS:  ",GENERAL!G158))</f>
        <v>OK
ESTADO DE POSTVENTAS:  POSTVENTA CORREGIDA</v>
      </c>
      <c r="G157" s="51" t="str">
        <f>+IF(GENERAL!H158=GENERAL!$AI$2,GENERAL!$AI$2,CONCATENATE(OBSERVACIONES!G157,"
ESTADO DE POSTVENTAS:  ",GENERAL!H158))</f>
        <v>NO ENTREGADO
ESTADO DE POSTVENTAS:  TIENE POSTVENTA</v>
      </c>
      <c r="H157" s="51" t="str">
        <f>+IF(GENERAL!I158=GENERAL!$AI$2,GENERAL!$AI$2,CONCATENATE(OBSERVACIONES!H157,"
ESTADO DE POSTVENTAS:  ",GENERAL!I158))</f>
        <v>OK
ESTADO DE POSTVENTAS:  POSTVENTA CORREGIDA</v>
      </c>
      <c r="I157" s="51" t="str">
        <f>+IF(GENERAL!J158=GENERAL!$AI$2,GENERAL!$AI$2,CONCATENATE(OBSERVACIONES!I157,"
ESTADO DE POSTVENTAS:  ",GENERAL!J158))</f>
        <v>OK
ESTADO DE POSTVENTAS:  POSTVENTA CORREGIDA</v>
      </c>
      <c r="J157" s="51" t="str">
        <f>+IF(GENERAL!K158=GENERAL!$AI$2,GENERAL!$AI$2,CONCATENATE(OBSERVACIONES!J157,"
ESTADO DE POSTVENTAS:  ",GENERAL!K158))</f>
        <v>OK
ESTADO DE POSTVENTAS:  POSTVENTA CORREGIDA</v>
      </c>
      <c r="K157" s="51" t="str">
        <f>+IF(GENERAL!L158=GENERAL!$AI$2,GENERAL!$AI$2,CONCATENATE(OBSERVACIONES!K157,"
ESTADO DE POSTVENTAS:  ",GENERAL!L158))</f>
        <v>OK
ESTADO DE POSTVENTAS:  POSTVENTA CORREGIDA</v>
      </c>
      <c r="L157" s="51" t="str">
        <f>+IF(GENERAL!M158=GENERAL!$AI$2,GENERAL!$AI$2,CONCATENATE(OBSERVACIONES!L157,"
ESTADO DE POSTVENTAS:  ",GENERAL!M158))</f>
        <v>OK
ESTADO DE POSTVENTAS:  POSTVENTA CORREGIDA</v>
      </c>
      <c r="M157" s="70" t="str">
        <f>+IF(GENERAL!N158=GENERAL!$AI$2,GENERAL!$AI$2,CONCATENATE(OBSERVACIONES!M157,"
ESTADO DE POSTVENTAS:  ",GENERAL!N158))</f>
        <v>OK
ESTADO DE POSTVENTAS:  POSTVENTA CORREGIDA</v>
      </c>
      <c r="N157" s="51" t="str">
        <f>+IF(GENERAL!O158=GENERAL!$AI$2,GENERAL!$AI$2,CONCATENATE(OBSERVACIONES!N157,"
ESTADO DE POSTVENTAS:  ",GENERAL!O158))</f>
        <v>OK
ESTADO DE POSTVENTAS:  POSTVENTA CORREGIDA</v>
      </c>
      <c r="O157" s="51" t="str">
        <f>+IF(GENERAL!P158=GENERAL!$AI$2,GENERAL!$AI$2,CONCATENATE(OBSERVACIONES!O157,"
ESTADO DE POSTVENTAS:  ",GENERAL!P158))</f>
        <v>OK
ESTADO DE POSTVENTAS:  POSTVENTA CORREGIDA</v>
      </c>
      <c r="P157" s="70" t="str">
        <f>+IF(GENERAL!Q158=GENERAL!$AI$2,GENERAL!$AI$2,CONCATENATE(OBSERVACIONES!P157,"
ESTADO DE POSTVENTAS:  ",GENERAL!Q158))</f>
        <v>OK
ESTADO DE POSTVENTAS:  POSTVENTA CORREGIDA</v>
      </c>
      <c r="Q157" s="70" t="str">
        <f>+IF(GENERAL!R158=GENERAL!$AI$2,GENERAL!$AI$2,CONCATENATE(OBSERVACIONES!Q157,"
ESTADO DE POSTVENTAS:  ",GENERAL!R158))</f>
        <v>DETALLE CAMBIO
ESTADO DE POSTVENTAS:  TIENE POSTVENTA</v>
      </c>
      <c r="R157" s="51" t="str">
        <f>+IF(GENERAL!S158=GENERAL!$AI$2,GENERAL!$AI$2,CONCATENATE(OBSERVACIONES!R157,"
ESTADO DE POSTVENTAS:  ",GENERAL!S158))</f>
        <v>OK
ESTADO DE POSTVENTAS:  POSTVENTA CORREGIDA</v>
      </c>
      <c r="S157" s="51" t="str">
        <f>+IF(GENERAL!T158=GENERAL!$AI$2,GENERAL!$AI$2,CONCATENATE(OBSERVACIONES!S157,"
ESTADO DE POSTVENTAS:  ",GENERAL!T158))</f>
        <v>OK
ESTADO DE POSTVENTAS:  POSTVENTA CORREGIDA</v>
      </c>
      <c r="T157" s="51" t="str">
        <f>+IF(GENERAL!U158=GENERAL!$AI$2,GENERAL!$AI$2,CONCATENATE(OBSERVACIONES!T157,"
ESTADO DE POSTVENTAS:  ",GENERAL!U158))</f>
        <v>OK
ESTADO DE POSTVENTAS:  POSTVENTA CORREGIDA</v>
      </c>
      <c r="U157" s="51" t="str">
        <f>+IF(GENERAL!V158=GENERAL!$AI$2,GENERAL!$AI$2,CONCATENATE(OBSERVACIONES!U157,"
ESTADO DE POSTVENTAS:  ",GENERAL!V158))</f>
        <v>OK
ESTADO DE POSTVENTAS:  POSTVENTA CORREGIDA</v>
      </c>
      <c r="V157" s="51" t="str">
        <f>+IF(GENERAL!W158=GENERAL!$AI$2,GENERAL!$AI$2,CONCATENATE(OBSERVACIONES!V157,"
ESTADO DE POSTVENTAS:  ",GENERAL!W158))</f>
        <v>OK
ESTADO DE POSTVENTAS:  POSTVENTA CORREGIDA</v>
      </c>
      <c r="W157" s="51" t="str">
        <f>+IF(GENERAL!V158=GENERAL!$AI$2,GENERAL!$AI$2,CONCATENATE(OBSERVACIONES!W157,"
ESTADO DE POSTVENTAS:  ",GENERAL!V158))</f>
        <v>OK
ESTADO DE POSTVENTAS:  POSTVENTA CORREGIDA</v>
      </c>
      <c r="X157" s="51" t="str">
        <f>+IF(GENERAL!W158=GENERAL!$AI$2,GENERAL!$AI$2,CONCATENATE(OBSERVACIONES!X157,"
ESTADO DE POSTVENTAS:  ",GENERAL!W158))</f>
        <v>OK
ESTADO DE POSTVENTAS:  POSTVENTA CORREGIDA</v>
      </c>
      <c r="Y157" s="51" t="str">
        <f>+IF(GENERAL!Z158=GENERAL!$AI$2,GENERAL!$AI$2,CONCATENATE(OBSERVACIONES!Y157,"
ESTADO DE POSTVENTAS:  ",GENERAL!Z158))</f>
        <v>OK
ESTADO DE POSTVENTAS:  POSTVENTA CORREGIDA</v>
      </c>
      <c r="Z157" s="51" t="str">
        <f>+IF(GENERAL!AA158=GENERAL!$AI$2,GENERAL!$AI$2,CONCATENATE(OBSERVACIONES!Z157,"
ESTADO DE POSTVENTAS:  ",GENERAL!AA158))</f>
        <v>OK
ESTADO DE POSTVENTAS:  POSTVENTA CORREGIDA</v>
      </c>
      <c r="AA157" s="51" t="str">
        <f>+IF(GENERAL!AB158=GENERAL!$AI$2,GENERAL!$AI$2,CONCATENATE(OBSERVACIONES!AA157,"
ESTADO DE POSTVENTAS:  ",GENERAL!AB158))</f>
        <v>OK
ESTADO DE POSTVENTAS:  POSTVENTA CORREGIDA</v>
      </c>
      <c r="AB157" s="51" t="str">
        <f>+IF(GENERAL!AC158=GENERAL!$AI$2,GENERAL!$AI$2,CONCATENATE(OBSERVACIONES!AB157,"
ESTADO DE POSTVENTAS:  ",GENERAL!AC158))</f>
        <v>OK
ESTADO DE POSTVENTAS:  POSTVENTA CORREGIDA</v>
      </c>
      <c r="AC157" s="70" t="str">
        <f>+IF(GENERAL!AD158=GENERAL!$AI$2,GENERAL!$AI$2,CONCATENATE(OBSERVACIONES!AC157,"
ESTADO DE POSTVENTAS:  ",GENERAL!AD158))</f>
        <v>OK
ESTADO DE POSTVENTAS:  POSTVENTA CORREGIDA</v>
      </c>
      <c r="AD157" s="51" t="str">
        <f>+IF(GENERAL!AE158=GENERAL!$AI$2,GENERAL!$AI$2,CONCATENATE(OBSERVACIONES!AD157,"
ESTADO DE POSTVENTAS:  ",GENERAL!AE158))</f>
        <v>OK
ESTADO DE POSTVENTAS:  POSTVENTA CORREGIDA</v>
      </c>
      <c r="AE157" s="51" t="str">
        <f>+IF(GENERAL!AF158=GENERAL!$AI$2,GENERAL!$AI$2,CONCATENATE(OBSERVACIONES!AE157,"
ESTADO DE POSTVENTAS:  ",GENERAL!AF158))</f>
        <v>OK
ESTADO DE POSTVENTAS:  POSTVENTA CORREGIDA</v>
      </c>
      <c r="AF157" s="51" t="str">
        <f>+IF(GENERAL!AG158=GENERAL!$AI$2,GENERAL!$AI$2,CONCATENATE(OBSERVACIONES!AF157,"
ESTADO DE POSTVENTAS:  ",GENERAL!AG158))</f>
        <v>OK
ESTADO DE POSTVENTAS:  POSTVENTA CORREGIDA</v>
      </c>
      <c r="AG157" s="51" t="str">
        <f>+IF(GENERAL!AH158=GENERAL!$AI$2,GENERAL!$AI$2,CONCATENATE(OBSERVACIONES!AG157,"
ESTADO DE POSTVENTAS:  ",GENERAL!AH158))</f>
        <v>OK
ESTADO DE POSTVENTAS:  POSTVENTA CORREGIDA</v>
      </c>
      <c r="AH157" s="51" t="str">
        <f>+IF(GENERAL!AI158=GENERAL!$AI$2,GENERAL!$AI$2,CONCATENATE(OBSERVACIONES!AH157,"
ESTADO DE POSTVENTAS:  ",GENERAL!AI158))</f>
        <v>OK
ESTADO DE POSTVENTAS:  POSTVENTA CORREGIDA</v>
      </c>
      <c r="AI157" s="51" t="str">
        <f>+IF(GENERAL!AG158=GENERAL!$AI$2,GENERAL!$AI$2,CONCATENATE(OBSERVACIONES!AF157,"
ESTADO DE POSTVENTAS:  ",GENERAL!AG158))</f>
        <v>OK
ESTADO DE POSTVENTAS:  POSTVENTA CORREGIDA</v>
      </c>
      <c r="AJ157" s="51" t="str">
        <f>+IF(GENERAL!AI158=GENERAL!$AI$2,GENERAL!$AI$2,CONCATENATE(OBSERVACIONES!AH157,"
ESTADO DE POSTVENTAS:  ",GENERAL!AI158))</f>
        <v>OK
ESTADO DE POSTVENTAS:  POSTVENTA CORREGIDA</v>
      </c>
      <c r="AK157" s="51" t="str">
        <f>+IF(GENERAL!AJ158=GENERAL!$AI$2,GENERAL!$AI$2,CONCATENATE(OBSERVACIONES!AI157,"
ESTADO DE POSTVENTAS:  ",GENERAL!AJ158))</f>
        <v>OK
ESTADO DE POSTVENTAS:  POSTVENTA CORREGIDA</v>
      </c>
      <c r="AL157" s="51" t="str">
        <f>+IF(GENERAL!AK158=GENERAL!$AI$2,GENERAL!$AI$2,CONCATENATE(OBSERVACIONES!AJ157,"
ESTADO DE POSTVENTAS:  ",GENERAL!AK158))</f>
        <v>OK
ESTADO DE POSTVENTAS:  POSTVENTA CORREGIDA</v>
      </c>
      <c r="AM157" s="51" t="str">
        <f>+IF(GENERAL!AN158=GENERAL!$AI$2,GENERAL!$AI$2,CONCATENATE(OBSERVACIONES!AM157,"
ESTADO DE POSTVENTAS:  ",GENERAL!AN158))</f>
        <v>OK
ESTADO DE POSTVENTAS:  POSTVENTA CORREGIDA</v>
      </c>
      <c r="AN157" s="37">
        <v>3</v>
      </c>
      <c r="AO157" s="37">
        <v>8</v>
      </c>
      <c r="AP157" s="37">
        <v>3</v>
      </c>
      <c r="AQ157" s="37">
        <v>0</v>
      </c>
      <c r="AR157" s="43">
        <v>14</v>
      </c>
      <c r="AS157" s="40">
        <v>12</v>
      </c>
      <c r="AT157" s="37">
        <f>COUNTIFS($D$5:$AM$5,"&lt;&gt;"&amp;CODICIONALES!$A$1,$D$5:$AM$5,"&lt;&gt;"&amp;CODICIONALES!$A$2,$D$5:$AM$5,"&lt;&gt;"&amp;CODICIONALES!$B$2,$D$5:$AM$5,"&lt;&gt;"&amp;CODICIONALES!$C$2)</f>
        <v>6</v>
      </c>
      <c r="AU157" s="43">
        <f>COUNTIFS(D157:AM157,CODICIONALES!$A$2)</f>
        <v>33</v>
      </c>
      <c r="AV157" s="40">
        <f t="shared" si="2"/>
        <v>-3</v>
      </c>
    </row>
    <row r="158" spans="1:48" ht="51" customHeight="1" x14ac:dyDescent="0.25">
      <c r="A158" s="110"/>
      <c r="B158" s="2">
        <v>154</v>
      </c>
      <c r="C158" s="20" t="s">
        <v>91</v>
      </c>
      <c r="D158" s="51" t="str">
        <f>+IF(GENERAL!E159=GENERAL!$AI$2,GENERAL!$AI$2,CONCATENATE(OBSERVACIONES!D158,"
ESTADO DE POSTVENTAS:  ",GENERAL!E159))</f>
        <v>NO ENTREGADO
ESTADO DE POSTVENTAS:  TIENE POSTVENTA</v>
      </c>
      <c r="E158" s="51" t="str">
        <f>+IF(GENERAL!F159=GENERAL!$AI$2,GENERAL!$AI$2,CONCATENATE(OBSERVACIONES!E158,"
ESTADO DE POSTVENTAS:  ",GENERAL!F159))</f>
        <v>OK
ESTADO DE POSTVENTAS:  POSTVENTA CORREGIDA</v>
      </c>
      <c r="F158" s="51" t="str">
        <f>+IF(GENERAL!G159=GENERAL!$AI$2,GENERAL!$AI$2,CONCATENATE(OBSERVACIONES!F158,"
ESTADO DE POSTVENTAS:  ",GENERAL!G159))</f>
        <v>OK
ESTADO DE POSTVENTAS:  POSTVENTA CORREGIDA</v>
      </c>
      <c r="G158" s="51" t="str">
        <f>+IF(GENERAL!H159=GENERAL!$AI$2,GENERAL!$AI$2,CONCATENATE(OBSERVACIONES!G158,"
ESTADO DE POSTVENTAS:  ",GENERAL!H159))</f>
        <v>NO ENTREGADO
ESTADO DE POSTVENTAS:  TIENE POSTVENTA</v>
      </c>
      <c r="H158" s="51" t="str">
        <f>+IF(GENERAL!I159=GENERAL!$AI$2,GENERAL!$AI$2,CONCATENATE(OBSERVACIONES!H158,"
ESTADO DE POSTVENTAS:  ",GENERAL!I159))</f>
        <v>OK
ESTADO DE POSTVENTAS:  POSTVENTA CORREGIDA</v>
      </c>
      <c r="I158" s="51" t="str">
        <f>+IF(GENERAL!J159=GENERAL!$AI$2,GENERAL!$AI$2,CONCATENATE(OBSERVACIONES!I158,"
ESTADO DE POSTVENTAS:  ",GENERAL!J159))</f>
        <v>OK
ESTADO DE POSTVENTAS:  POSTVENTA CORREGIDA</v>
      </c>
      <c r="J158" s="51" t="str">
        <f>+IF(GENERAL!K159=GENERAL!$AI$2,GENERAL!$AI$2,CONCATENATE(OBSERVACIONES!J158,"
ESTADO DE POSTVENTAS:  ",GENERAL!K159))</f>
        <v>OK
ESTADO DE POSTVENTAS:  POSTVENTA CORREGIDA</v>
      </c>
      <c r="K158" s="51" t="str">
        <f>+IF(GENERAL!L159=GENERAL!$AI$2,GENERAL!$AI$2,CONCATENATE(OBSERVACIONES!K158,"
ESTADO DE POSTVENTAS:  ",GENERAL!L159))</f>
        <v>OK
ESTADO DE POSTVENTAS:  POSTVENTA CORREGIDA</v>
      </c>
      <c r="L158" s="51" t="str">
        <f>+IF(GENERAL!M159=GENERAL!$AI$2,GENERAL!$AI$2,CONCATENATE(OBSERVACIONES!L158,"
ESTADO DE POSTVENTAS:  ",GENERAL!M159))</f>
        <v>OK
ESTADO DE POSTVENTAS:  POSTVENTA CORREGIDA</v>
      </c>
      <c r="M158" s="70" t="str">
        <f>+IF(GENERAL!N159=GENERAL!$AI$2,GENERAL!$AI$2,CONCATENATE(OBSERVACIONES!M158,"
ESTADO DE POSTVENTAS:  ",GENERAL!N159))</f>
        <v>OK
ESTADO DE POSTVENTAS:  POSTVENTA CORREGIDA</v>
      </c>
      <c r="N158" s="51" t="str">
        <f>+IF(GENERAL!O159=GENERAL!$AI$2,GENERAL!$AI$2,CONCATENATE(OBSERVACIONES!N158,"
ESTADO DE POSTVENTAS:  ",GENERAL!O159))</f>
        <v>OK
ESTADO DE POSTVENTAS:  POSTVENTA CORREGIDA</v>
      </c>
      <c r="O158" s="51" t="str">
        <f>+IF(GENERAL!P159=GENERAL!$AI$2,GENERAL!$AI$2,CONCATENATE(OBSERVACIONES!O158,"
ESTADO DE POSTVENTAS:  ",GENERAL!P159))</f>
        <v>OK
ESTADO DE POSTVENTAS:  POSTVENTA CORREGIDA</v>
      </c>
      <c r="P158" s="70" t="str">
        <f>+IF(GENERAL!Q159=GENERAL!$AI$2,GENERAL!$AI$2,CONCATENATE(OBSERVACIONES!P158,"
ESTADO DE POSTVENTAS:  ",GENERAL!Q159))</f>
        <v>OK
ESTADO DE POSTVENTAS:  POSTVENTA CORREGIDA</v>
      </c>
      <c r="Q158" s="70" t="str">
        <f>+IF(GENERAL!R159=GENERAL!$AI$2,GENERAL!$AI$2,CONCATENATE(OBSERVACIONES!Q158,"
ESTADO DE POSTVENTAS:  ",GENERAL!R159))</f>
        <v>OK
ESTADO DE POSTVENTAS:  POSTVENTA CORREGIDA</v>
      </c>
      <c r="R158" s="51" t="str">
        <f>+IF(GENERAL!S159=GENERAL!$AI$2,GENERAL!$AI$2,CONCATENATE(OBSERVACIONES!R158,"
ESTADO DE POSTVENTAS:  ",GENERAL!S159))</f>
        <v>OK
ESTADO DE POSTVENTAS:  POSTVENTA CORREGIDA</v>
      </c>
      <c r="S158" s="51" t="str">
        <f>+IF(GENERAL!T159=GENERAL!$AI$2,GENERAL!$AI$2,CONCATENATE(OBSERVACIONES!S158,"
ESTADO DE POSTVENTAS:  ",GENERAL!T159))</f>
        <v>OK
ESTADO DE POSTVENTAS:  POSTVENTA CORREGIDA</v>
      </c>
      <c r="T158" s="51" t="str">
        <f>+IF(GENERAL!U159=GENERAL!$AI$2,GENERAL!$AI$2,CONCATENATE(OBSERVACIONES!T158,"
ESTADO DE POSTVENTAS:  ",GENERAL!U159))</f>
        <v>OK
ESTADO DE POSTVENTAS:  POSTVENTA CORREGIDA</v>
      </c>
      <c r="U158" s="51" t="str">
        <f>+IF(GENERAL!V159=GENERAL!$AI$2,GENERAL!$AI$2,CONCATENATE(OBSERVACIONES!U158,"
ESTADO DE POSTVENTAS:  ",GENERAL!V159))</f>
        <v>OK
ESTADO DE POSTVENTAS:  POSTVENTA CORREGIDA</v>
      </c>
      <c r="V158" s="51" t="str">
        <f>+IF(GENERAL!W159=GENERAL!$AI$2,GENERAL!$AI$2,CONCATENATE(OBSERVACIONES!V158,"
ESTADO DE POSTVENTAS:  ",GENERAL!W159))</f>
        <v>OK
ESTADO DE POSTVENTAS:  POSTVENTA CORREGIDA</v>
      </c>
      <c r="W158" s="51" t="str">
        <f>+IF(GENERAL!V159=GENERAL!$AI$2,GENERAL!$AI$2,CONCATENATE(OBSERVACIONES!W158,"
ESTADO DE POSTVENTAS:  ",GENERAL!V159))</f>
        <v>OK
ESTADO DE POSTVENTAS:  POSTVENTA CORREGIDA</v>
      </c>
      <c r="X158" s="51" t="str">
        <f>+IF(GENERAL!W159=GENERAL!$AI$2,GENERAL!$AI$2,CONCATENATE(OBSERVACIONES!X158,"
ESTADO DE POSTVENTAS:  ",GENERAL!W159))</f>
        <v>OK
ESTADO DE POSTVENTAS:  POSTVENTA CORREGIDA</v>
      </c>
      <c r="Y158" s="51" t="str">
        <f>+IF(GENERAL!Z159=GENERAL!$AI$2,GENERAL!$AI$2,CONCATENATE(OBSERVACIONES!Y158,"
ESTADO DE POSTVENTAS:  ",GENERAL!Z159))</f>
        <v>OK
ESTADO DE POSTVENTAS:  POSTVENTA CORREGIDA</v>
      </c>
      <c r="Z158" s="51" t="str">
        <f>+IF(GENERAL!AA159=GENERAL!$AI$2,GENERAL!$AI$2,CONCATENATE(OBSERVACIONES!Z158,"
ESTADO DE POSTVENTAS:  ",GENERAL!AA159))</f>
        <v>OK
ESTADO DE POSTVENTAS:  POSTVENTA CORREGIDA</v>
      </c>
      <c r="AA158" s="51" t="str">
        <f>+IF(GENERAL!AB159=GENERAL!$AI$2,GENERAL!$AI$2,CONCATENATE(OBSERVACIONES!AA158,"
ESTADO DE POSTVENTAS:  ",GENERAL!AB159))</f>
        <v>OK
ESTADO DE POSTVENTAS:  POSTVENTA CORREGIDA</v>
      </c>
      <c r="AB158" s="51" t="str">
        <f>+IF(GENERAL!AC159=GENERAL!$AI$2,GENERAL!$AI$2,CONCATENATE(OBSERVACIONES!AB158,"
ESTADO DE POSTVENTAS:  ",GENERAL!AC159))</f>
        <v>OK
ESTADO DE POSTVENTAS:  POSTVENTA CORREGIDA</v>
      </c>
      <c r="AC158" s="51" t="str">
        <f>+IF(GENERAL!AD159=GENERAL!$AI$2,GENERAL!$AI$2,CONCATENATE(OBSERVACIONES!AC158,"
ESTADO DE POSTVENTAS:  ",GENERAL!AD159))</f>
        <v>OK
ESTADO DE POSTVENTAS:  POSTVENTA CORREGIDA</v>
      </c>
      <c r="AD158" s="51" t="str">
        <f>+IF(GENERAL!AE159=GENERAL!$AI$2,GENERAL!$AI$2,CONCATENATE(OBSERVACIONES!AD158,"
ESTADO DE POSTVENTAS:  ",GENERAL!AE159))</f>
        <v>OK
ESTADO DE POSTVENTAS:  POSTVENTA CORREGIDA</v>
      </c>
      <c r="AE158" s="51" t="str">
        <f>+IF(GENERAL!AF159=GENERAL!$AI$2,GENERAL!$AI$2,CONCATENATE(OBSERVACIONES!AE158,"
ESTADO DE POSTVENTAS:  ",GENERAL!AF159))</f>
        <v>OK
ESTADO DE POSTVENTAS:  POSTVENTA CORREGIDA</v>
      </c>
      <c r="AF158" s="51" t="str">
        <f>+IF(GENERAL!AG159=GENERAL!$AI$2,GENERAL!$AI$2,CONCATENATE(OBSERVACIONES!AF158,"
ESTADO DE POSTVENTAS:  ",GENERAL!AG159))</f>
        <v>OK
ESTADO DE POSTVENTAS:  POSTVENTA CORREGIDA</v>
      </c>
      <c r="AG158" s="51" t="str">
        <f>+IF(GENERAL!AH159=GENERAL!$AI$2,GENERAL!$AI$2,CONCATENATE(OBSERVACIONES!AG158,"
ESTADO DE POSTVENTAS:  ",GENERAL!AH159))</f>
        <v>OK
ESTADO DE POSTVENTAS:  POSTVENTA CORREGIDA</v>
      </c>
      <c r="AH158" s="51" t="str">
        <f>+IF(GENERAL!AI159=GENERAL!$AI$2,GENERAL!$AI$2,CONCATENATE(OBSERVACIONES!AH158,"
ESTADO DE POSTVENTAS:  ",GENERAL!AI159))</f>
        <v>OK
ESTADO DE POSTVENTAS:  POSTVENTA CORREGIDA</v>
      </c>
      <c r="AI158" s="51" t="str">
        <f>+IF(GENERAL!AG159=GENERAL!$AI$2,GENERAL!$AI$2,CONCATENATE(OBSERVACIONES!AF158,"
ESTADO DE POSTVENTAS:  ",GENERAL!AG159))</f>
        <v>OK
ESTADO DE POSTVENTAS:  POSTVENTA CORREGIDA</v>
      </c>
      <c r="AJ158" s="51" t="str">
        <f>+IF(GENERAL!AI159=GENERAL!$AI$2,GENERAL!$AI$2,CONCATENATE(OBSERVACIONES!AH158,"
ESTADO DE POSTVENTAS:  ",GENERAL!AI159))</f>
        <v>OK
ESTADO DE POSTVENTAS:  POSTVENTA CORREGIDA</v>
      </c>
      <c r="AK158" s="51" t="str">
        <f>+IF(GENERAL!AJ159=GENERAL!$AI$2,GENERAL!$AI$2,CONCATENATE(OBSERVACIONES!AI158,"
ESTADO DE POSTVENTAS:  ",GENERAL!AJ159))</f>
        <v>OK
ESTADO DE POSTVENTAS:  POSTVENTA CORREGIDA</v>
      </c>
      <c r="AL158" s="51" t="str">
        <f>+IF(GENERAL!AK159=GENERAL!$AI$2,GENERAL!$AI$2,CONCATENATE(OBSERVACIONES!AJ158,"
ESTADO DE POSTVENTAS:  ",GENERAL!AK159))</f>
        <v>OK
ESTADO DE POSTVENTAS:  POSTVENTA CORREGIDA</v>
      </c>
      <c r="AM158" s="51" t="str">
        <f>+IF(GENERAL!AN159=GENERAL!$AI$2,GENERAL!$AI$2,CONCATENATE(OBSERVACIONES!AM158,"
ESTADO DE POSTVENTAS:  ",GENERAL!AN159))</f>
        <v>OK
ESTADO DE POSTVENTAS:  POSTVENTA CORREGIDA</v>
      </c>
      <c r="AN158" s="37">
        <v>1</v>
      </c>
      <c r="AO158" s="37">
        <v>10</v>
      </c>
      <c r="AP158" s="37">
        <v>3</v>
      </c>
      <c r="AQ158" s="37">
        <v>0</v>
      </c>
      <c r="AR158" s="43">
        <v>14</v>
      </c>
      <c r="AS158" s="40">
        <v>12</v>
      </c>
      <c r="AT158" s="37">
        <f>COUNTIFS($D$5:$AM$5,"&lt;&gt;"&amp;CODICIONALES!$A$1,$D$5:$AM$5,"&lt;&gt;"&amp;CODICIONALES!$A$2,$D$5:$AM$5,"&lt;&gt;"&amp;CODICIONALES!$B$2,$D$5:$AM$5,"&lt;&gt;"&amp;CODICIONALES!$C$2)</f>
        <v>6</v>
      </c>
      <c r="AU158" s="43">
        <f>COUNTIFS(D158:AM158,CODICIONALES!$A$2)</f>
        <v>34</v>
      </c>
      <c r="AV158" s="40">
        <f t="shared" si="2"/>
        <v>-4</v>
      </c>
    </row>
    <row r="159" spans="1:48" ht="51" customHeight="1" x14ac:dyDescent="0.25">
      <c r="A159" s="110"/>
      <c r="B159" s="2">
        <v>155</v>
      </c>
      <c r="C159" s="21" t="s">
        <v>45</v>
      </c>
      <c r="D159" s="51" t="str">
        <f>+IF(GENERAL!E160=GENERAL!$AI$2,GENERAL!$AI$2,CONCATENATE(OBSERVACIONES!D159,"
ESTADO DE POSTVENTAS:  ",GENERAL!E160))</f>
        <v>NO ENTREGADO
ESTADO DE POSTVENTAS:  TIENE POSTVENTA</v>
      </c>
      <c r="E159" s="51" t="str">
        <f>+IF(GENERAL!F160=GENERAL!$AI$2,GENERAL!$AI$2,CONCATENATE(OBSERVACIONES!E159,"
ESTADO DE POSTVENTAS:  ",GENERAL!F160))</f>
        <v>OK
ESTADO DE POSTVENTAS:  POSTVENTA CORREGIDA</v>
      </c>
      <c r="F159" s="51" t="str">
        <f>+IF(GENERAL!G160=GENERAL!$AI$2,GENERAL!$AI$2,CONCATENATE(OBSERVACIONES!F159,"
ESTADO DE POSTVENTAS:  ",GENERAL!G160))</f>
        <v>OK
ESTADO DE POSTVENTAS:  POSTVENTA CORREGIDA</v>
      </c>
      <c r="G159" s="51" t="str">
        <f>+IF(GENERAL!H160=GENERAL!$AI$2,GENERAL!$AI$2,CONCATENATE(OBSERVACIONES!G159,"
ESTADO DE POSTVENTAS:  ",GENERAL!H160))</f>
        <v>NO ENTREGADO
ESTADO DE POSTVENTAS:  TIENE POSTVENTA</v>
      </c>
      <c r="H159" s="51" t="str">
        <f>+IF(GENERAL!I160=GENERAL!$AI$2,GENERAL!$AI$2,CONCATENATE(OBSERVACIONES!H159,"
ESTADO DE POSTVENTAS:  ",GENERAL!I160))</f>
        <v>OK
ESTADO DE POSTVENTAS:  POSTVENTA CORREGIDA</v>
      </c>
      <c r="I159" s="51" t="str">
        <f>+IF(GENERAL!J160=GENERAL!$AI$2,GENERAL!$AI$2,CONCATENATE(OBSERVACIONES!I159,"
ESTADO DE POSTVENTAS:  ",GENERAL!J160))</f>
        <v>OK
ESTADO DE POSTVENTAS:  POSTVENTA CORREGIDA</v>
      </c>
      <c r="J159" s="51" t="str">
        <f>+IF(GENERAL!K160=GENERAL!$AI$2,GENERAL!$AI$2,CONCATENATE(OBSERVACIONES!J159,"
ESTADO DE POSTVENTAS:  ",GENERAL!K160))</f>
        <v>OK
ESTADO DE POSTVENTAS:  POSTVENTA CORREGIDA</v>
      </c>
      <c r="K159" s="51" t="str">
        <f>+IF(GENERAL!L160=GENERAL!$AI$2,GENERAL!$AI$2,CONCATENATE(OBSERVACIONES!K159,"
ESTADO DE POSTVENTAS:  ",GENERAL!L160))</f>
        <v>OK
ESTADO DE POSTVENTAS:  POSTVENTA CORREGIDA</v>
      </c>
      <c r="L159" s="51" t="str">
        <f>+IF(GENERAL!M160=GENERAL!$AI$2,GENERAL!$AI$2,CONCATENATE(OBSERVACIONES!L159,"
ESTADO DE POSTVENTAS:  ",GENERAL!M160))</f>
        <v>OK
ESTADO DE POSTVENTAS:  POSTVENTA CORREGIDA</v>
      </c>
      <c r="M159" s="70" t="str">
        <f>+IF(GENERAL!N160=GENERAL!$AI$2,GENERAL!$AI$2,CONCATENATE(OBSERVACIONES!M159,"
ESTADO DE POSTVENTAS:  ",GENERAL!N160))</f>
        <v>OK
ESTADO DE POSTVENTAS:  POSTVENTA CORREGIDA</v>
      </c>
      <c r="N159" s="51" t="str">
        <f>+IF(GENERAL!O160=GENERAL!$AI$2,GENERAL!$AI$2,CONCATENATE(OBSERVACIONES!N159,"
ESTADO DE POSTVENTAS:  ",GENERAL!O160))</f>
        <v>OK
ESTADO DE POSTVENTAS:  POSTVENTA CORREGIDA</v>
      </c>
      <c r="O159" s="51" t="str">
        <f>+IF(GENERAL!P160=GENERAL!$AI$2,GENERAL!$AI$2,CONCATENATE(OBSERVACIONES!O159,"
ESTADO DE POSTVENTAS:  ",GENERAL!P160))</f>
        <v>OK
ESTADO DE POSTVENTAS:  POSTVENTA CORREGIDA</v>
      </c>
      <c r="P159" s="70" t="str">
        <f>+IF(GENERAL!Q160=GENERAL!$AI$2,GENERAL!$AI$2,CONCATENATE(OBSERVACIONES!P159,"
ESTADO DE POSTVENTAS:  ",GENERAL!Q160))</f>
        <v>OK
ESTADO DE POSTVENTAS:  POSTVENTA CORREGIDA</v>
      </c>
      <c r="Q159" s="70" t="str">
        <f>+IF(GENERAL!R160=GENERAL!$AI$2,GENERAL!$AI$2,CONCATENATE(OBSERVACIONES!Q159,"
ESTADO DE POSTVENTAS:  ",GENERAL!R160))</f>
        <v>OK
ESTADO DE POSTVENTAS:  POSTVENTA CORREGIDA</v>
      </c>
      <c r="R159" s="51" t="str">
        <f>+IF(GENERAL!S160=GENERAL!$AI$2,GENERAL!$AI$2,CONCATENATE(OBSERVACIONES!R159,"
ESTADO DE POSTVENTAS:  ",GENERAL!S160))</f>
        <v>OK
ESTADO DE POSTVENTAS:  POSTVENTA CORREGIDA</v>
      </c>
      <c r="S159" s="51" t="str">
        <f>+IF(GENERAL!T160=GENERAL!$AI$2,GENERAL!$AI$2,CONCATENATE(OBSERVACIONES!S159,"
ESTADO DE POSTVENTAS:  ",GENERAL!T160))</f>
        <v>OK
ESTADO DE POSTVENTAS:  POSTVENTA CORREGIDA</v>
      </c>
      <c r="T159" s="51" t="str">
        <f>+IF(GENERAL!U160=GENERAL!$AI$2,GENERAL!$AI$2,CONCATENATE(OBSERVACIONES!T159,"
ESTADO DE POSTVENTAS:  ",GENERAL!U160))</f>
        <v>OK
ESTADO DE POSTVENTAS:  POSTVENTA CORREGIDA</v>
      </c>
      <c r="U159" s="51" t="str">
        <f>+IF(GENERAL!V160=GENERAL!$AI$2,GENERAL!$AI$2,CONCATENATE(OBSERVACIONES!U159,"
ESTADO DE POSTVENTAS:  ",GENERAL!V160))</f>
        <v>OK
ESTADO DE POSTVENTAS:  POSTVENTA CORREGIDA</v>
      </c>
      <c r="V159" s="51" t="str">
        <f>+IF(GENERAL!W160=GENERAL!$AI$2,GENERAL!$AI$2,CONCATENATE(OBSERVACIONES!V159,"
ESTADO DE POSTVENTAS:  ",GENERAL!W160))</f>
        <v>OK
ESTADO DE POSTVENTAS:  POSTVENTA CORREGIDA</v>
      </c>
      <c r="W159" s="51" t="str">
        <f>+IF(GENERAL!V160=GENERAL!$AI$2,GENERAL!$AI$2,CONCATENATE(OBSERVACIONES!W159,"
ESTADO DE POSTVENTAS:  ",GENERAL!V160))</f>
        <v>OK
ESTADO DE POSTVENTAS:  POSTVENTA CORREGIDA</v>
      </c>
      <c r="X159" s="51" t="str">
        <f>+IF(GENERAL!W160=GENERAL!$AI$2,GENERAL!$AI$2,CONCATENATE(OBSERVACIONES!X159,"
ESTADO DE POSTVENTAS:  ",GENERAL!W160))</f>
        <v>OK
ESTADO DE POSTVENTAS:  POSTVENTA CORREGIDA</v>
      </c>
      <c r="Y159" s="51" t="str">
        <f>+IF(GENERAL!Z160=GENERAL!$AI$2,GENERAL!$AI$2,CONCATENATE(OBSERVACIONES!Y159,"
ESTADO DE POSTVENTAS:  ",GENERAL!Z160))</f>
        <v>OK
ESTADO DE POSTVENTAS:  POSTVENTA CORREGIDA</v>
      </c>
      <c r="Z159" s="51" t="str">
        <f>+IF(GENERAL!AA160=GENERAL!$AI$2,GENERAL!$AI$2,CONCATENATE(OBSERVACIONES!Z159,"
ESTADO DE POSTVENTAS:  ",GENERAL!AA160))</f>
        <v>OK
ESTADO DE POSTVENTAS:  POSTVENTA CORREGIDA</v>
      </c>
      <c r="AA159" s="51" t="str">
        <f>+IF(GENERAL!AB160=GENERAL!$AI$2,GENERAL!$AI$2,CONCATENATE(OBSERVACIONES!AA159,"
ESTADO DE POSTVENTAS:  ",GENERAL!AB160))</f>
        <v>OK
ESTADO DE POSTVENTAS:  POSTVENTA CORREGIDA</v>
      </c>
      <c r="AB159" s="70" t="str">
        <f>+IF(GENERAL!AC160=GENERAL!$AI$2,GENERAL!$AI$2,CONCATENATE(OBSERVACIONES!AB159,"
ESTADO DE POSTVENTAS:  ",GENERAL!AC160))</f>
        <v>OK
ESTADO DE POSTVENTAS:  POSTVENTA CORREGIDA</v>
      </c>
      <c r="AC159" s="51" t="str">
        <f>+IF(GENERAL!AD160=GENERAL!$AI$2,GENERAL!$AI$2,CONCATENATE(OBSERVACIONES!AC159,"
ESTADO DE POSTVENTAS:  ",GENERAL!AD160))</f>
        <v>OK
ESTADO DE POSTVENTAS:  POSTVENTA CORREGIDA</v>
      </c>
      <c r="AD159" s="51" t="str">
        <f>+IF(GENERAL!AE160=GENERAL!$AI$2,GENERAL!$AI$2,CONCATENATE(OBSERVACIONES!AD159,"
ESTADO DE POSTVENTAS:  ",GENERAL!AE160))</f>
        <v>OK
ESTADO DE POSTVENTAS:  POSTVENTA CORREGIDA</v>
      </c>
      <c r="AE159" s="51" t="str">
        <f>+IF(GENERAL!AF160=GENERAL!$AI$2,GENERAL!$AI$2,CONCATENATE(OBSERVACIONES!AE159,"
ESTADO DE POSTVENTAS:  ",GENERAL!AF160))</f>
        <v>OK
ESTADO DE POSTVENTAS:  POSTVENTA CORREGIDA</v>
      </c>
      <c r="AF159" s="51" t="str">
        <f>+IF(GENERAL!AG160=GENERAL!$AI$2,GENERAL!$AI$2,CONCATENATE(OBSERVACIONES!AF159,"
ESTADO DE POSTVENTAS:  ",GENERAL!AG160))</f>
        <v>OK
ESTADO DE POSTVENTAS:  POSTVENTA CORREGIDA</v>
      </c>
      <c r="AG159" s="51" t="str">
        <f>+IF(GENERAL!AH160=GENERAL!$AI$2,GENERAL!$AI$2,CONCATENATE(OBSERVACIONES!AG159,"
ESTADO DE POSTVENTAS:  ",GENERAL!AH160))</f>
        <v>OK
ESTADO DE POSTVENTAS:  POSTVENTA CORREGIDA</v>
      </c>
      <c r="AH159" s="51" t="str">
        <f>+IF(GENERAL!AI160=GENERAL!$AI$2,GENERAL!$AI$2,CONCATENATE(OBSERVACIONES!AH159,"
ESTADO DE POSTVENTAS:  ",GENERAL!AI160))</f>
        <v>OK
ESTADO DE POSTVENTAS:  POSTVENTA CORREGIDA</v>
      </c>
      <c r="AI159" s="51" t="str">
        <f>+IF(GENERAL!AG160=GENERAL!$AI$2,GENERAL!$AI$2,CONCATENATE(OBSERVACIONES!AF159,"
ESTADO DE POSTVENTAS:  ",GENERAL!AG160))</f>
        <v>OK
ESTADO DE POSTVENTAS:  POSTVENTA CORREGIDA</v>
      </c>
      <c r="AJ159" s="51" t="str">
        <f>+IF(GENERAL!AI160=GENERAL!$AI$2,GENERAL!$AI$2,CONCATENATE(OBSERVACIONES!AH159,"
ESTADO DE POSTVENTAS:  ",GENERAL!AI160))</f>
        <v>OK
ESTADO DE POSTVENTAS:  POSTVENTA CORREGIDA</v>
      </c>
      <c r="AK159" s="51" t="str">
        <f>+IF(GENERAL!AJ160=GENERAL!$AI$2,GENERAL!$AI$2,CONCATENATE(OBSERVACIONES!AI159,"
ESTADO DE POSTVENTAS:  ",GENERAL!AJ160))</f>
        <v>OK
ESTADO DE POSTVENTAS:  POSTVENTA CORREGIDA</v>
      </c>
      <c r="AL159" s="51" t="str">
        <f>+IF(GENERAL!AK160=GENERAL!$AI$2,GENERAL!$AI$2,CONCATENATE(OBSERVACIONES!AJ159,"
ESTADO DE POSTVENTAS:  ",GENERAL!AK160))</f>
        <v>OK
ESTADO DE POSTVENTAS:  POSTVENTA CORREGIDA</v>
      </c>
      <c r="AM159" s="51" t="str">
        <f>+IF(GENERAL!AN160=GENERAL!$AI$2,GENERAL!$AI$2,CONCATENATE(OBSERVACIONES!AM159,"
ESTADO DE POSTVENTAS:  ",GENERAL!AN160))</f>
        <v>OK
ESTADO DE POSTVENTAS:  POSTVENTA CORREGIDA</v>
      </c>
      <c r="AN159" s="37">
        <v>2</v>
      </c>
      <c r="AO159" s="37">
        <v>9</v>
      </c>
      <c r="AP159" s="37">
        <v>3</v>
      </c>
      <c r="AQ159" s="37">
        <v>1</v>
      </c>
      <c r="AR159" s="43">
        <v>13</v>
      </c>
      <c r="AS159" s="40">
        <v>12</v>
      </c>
      <c r="AT159" s="37">
        <f>COUNTIFS($D$5:$AM$5,"&lt;&gt;"&amp;CODICIONALES!$A$1,$D$5:$AM$5,"&lt;&gt;"&amp;CODICIONALES!$A$2,$D$5:$AM$5,"&lt;&gt;"&amp;CODICIONALES!$B$2,$D$5:$AM$5,"&lt;&gt;"&amp;CODICIONALES!$C$2)</f>
        <v>6</v>
      </c>
      <c r="AU159" s="43">
        <f>COUNTIFS(D159:AM159,CODICIONALES!$A$2)</f>
        <v>34</v>
      </c>
      <c r="AV159" s="40">
        <f t="shared" si="2"/>
        <v>-4</v>
      </c>
    </row>
    <row r="160" spans="1:48" ht="51" customHeight="1" x14ac:dyDescent="0.25">
      <c r="A160" s="110"/>
      <c r="B160" s="2">
        <v>156</v>
      </c>
      <c r="C160" s="21" t="s">
        <v>46</v>
      </c>
      <c r="D160" s="51" t="str">
        <f>+IF(GENERAL!E161=GENERAL!$AI$2,GENERAL!$AI$2,CONCATENATE(OBSERVACIONES!D160,"
ESTADO DE POSTVENTAS:  ",GENERAL!E161))</f>
        <v>NO ENTREGADO
ESTADO DE POSTVENTAS:  TIENE POSTVENTA</v>
      </c>
      <c r="E160" s="51" t="str">
        <f>+IF(GENERAL!F161=GENERAL!$AI$2,GENERAL!$AI$2,CONCATENATE(OBSERVACIONES!E160,"
ESTADO DE POSTVENTAS:  ",GENERAL!F161))</f>
        <v>OK
ESTADO DE POSTVENTAS:  POSTVENTA CORREGIDA</v>
      </c>
      <c r="F160" s="51" t="str">
        <f>+IF(GENERAL!G161=GENERAL!$AI$2,GENERAL!$AI$2,CONCATENATE(OBSERVACIONES!F160,"
ESTADO DE POSTVENTAS:  ",GENERAL!G161))</f>
        <v>OK
ESTADO DE POSTVENTAS:  POSTVENTA CORREGIDA</v>
      </c>
      <c r="G160" s="51" t="str">
        <f>+IF(GENERAL!H161=GENERAL!$AI$2,GENERAL!$AI$2,CONCATENATE(OBSERVACIONES!G160,"
ESTADO DE POSTVENTAS:  ",GENERAL!H161))</f>
        <v>NO ENTREGADO
ESTADO DE POSTVENTAS:  TIENE POSTVENTA</v>
      </c>
      <c r="H160" s="51" t="str">
        <f>+IF(GENERAL!I161=GENERAL!$AI$2,GENERAL!$AI$2,CONCATENATE(OBSERVACIONES!H160,"
ESTADO DE POSTVENTAS:  ",GENERAL!I161))</f>
        <v>OK
ESTADO DE POSTVENTAS:  POSTVENTA CORREGIDA</v>
      </c>
      <c r="I160" s="51" t="str">
        <f>+IF(GENERAL!J161=GENERAL!$AI$2,GENERAL!$AI$2,CONCATENATE(OBSERVACIONES!I160,"
ESTADO DE POSTVENTAS:  ",GENERAL!J161))</f>
        <v>OK
ESTADO DE POSTVENTAS:  POSTVENTA CORREGIDA</v>
      </c>
      <c r="J160" s="51" t="str">
        <f>+IF(GENERAL!K161=GENERAL!$AI$2,GENERAL!$AI$2,CONCATENATE(OBSERVACIONES!J160,"
ESTADO DE POSTVENTAS:  ",GENERAL!K161))</f>
        <v>OK
ESTADO DE POSTVENTAS:  POSTVENTA CORREGIDA</v>
      </c>
      <c r="K160" s="51" t="str">
        <f>+IF(GENERAL!L161=GENERAL!$AI$2,GENERAL!$AI$2,CONCATENATE(OBSERVACIONES!K160,"
ESTADO DE POSTVENTAS:  ",GENERAL!L161))</f>
        <v>OK
ESTADO DE POSTVENTAS:  POSTVENTA CORREGIDA</v>
      </c>
      <c r="L160" s="51" t="str">
        <f>+IF(GENERAL!M161=GENERAL!$AI$2,GENERAL!$AI$2,CONCATENATE(OBSERVACIONES!L160,"
ESTADO DE POSTVENTAS:  ",GENERAL!M161))</f>
        <v>OK
ESTADO DE POSTVENTAS:  POSTVENTA CORREGIDA</v>
      </c>
      <c r="M160" s="70" t="str">
        <f>+IF(GENERAL!N161=GENERAL!$AI$2,GENERAL!$AI$2,CONCATENATE(OBSERVACIONES!M160,"
ESTADO DE POSTVENTAS:  ",GENERAL!N161))</f>
        <v>OK
ESTADO DE POSTVENTAS:  POSTVENTA CORREGIDA</v>
      </c>
      <c r="N160" s="51" t="str">
        <f>+IF(GENERAL!O161=GENERAL!$AI$2,GENERAL!$AI$2,CONCATENATE(OBSERVACIONES!N160,"
ESTADO DE POSTVENTAS:  ",GENERAL!O161))</f>
        <v>OK
ESTADO DE POSTVENTAS:  POSTVENTA CORREGIDA</v>
      </c>
      <c r="O160" s="51" t="str">
        <f>+IF(GENERAL!P161=GENERAL!$AI$2,GENERAL!$AI$2,CONCATENATE(OBSERVACIONES!O160,"
ESTADO DE POSTVENTAS:  ",GENERAL!P161))</f>
        <v>OK
ESTADO DE POSTVENTAS:  POSTVENTA CORREGIDA</v>
      </c>
      <c r="P160" s="70" t="str">
        <f>+IF(GENERAL!Q161=GENERAL!$AI$2,GENERAL!$AI$2,CONCATENATE(OBSERVACIONES!P160,"
ESTADO DE POSTVENTAS:  ",GENERAL!Q161))</f>
        <v>OK
ESTADO DE POSTVENTAS:  POSTVENTA CORREGIDA</v>
      </c>
      <c r="Q160" s="70" t="str">
        <f>+IF(GENERAL!R161=GENERAL!$AI$2,GENERAL!$AI$2,CONCATENATE(OBSERVACIONES!Q160,"
ESTADO DE POSTVENTAS:  ",GENERAL!R161))</f>
        <v>OK
ESTADO DE POSTVENTAS:  POSTVENTA CORREGIDA</v>
      </c>
      <c r="R160" s="51" t="str">
        <f>+IF(GENERAL!S161=GENERAL!$AI$2,GENERAL!$AI$2,CONCATENATE(OBSERVACIONES!R160,"
ESTADO DE POSTVENTAS:  ",GENERAL!S161))</f>
        <v>OK
ESTADO DE POSTVENTAS:  POSTVENTA CORREGIDA</v>
      </c>
      <c r="S160" s="51" t="str">
        <f>+IF(GENERAL!T161=GENERAL!$AI$2,GENERAL!$AI$2,CONCATENATE(OBSERVACIONES!S160,"
ESTADO DE POSTVENTAS:  ",GENERAL!T161))</f>
        <v>OK
ESTADO DE POSTVENTAS:  POSTVENTA CORREGIDA</v>
      </c>
      <c r="T160" s="51" t="str">
        <f>+IF(GENERAL!U161=GENERAL!$AI$2,GENERAL!$AI$2,CONCATENATE(OBSERVACIONES!T160,"
ESTADO DE POSTVENTAS:  ",GENERAL!U161))</f>
        <v>OK
ESTADO DE POSTVENTAS:  POSTVENTA CORREGIDA</v>
      </c>
      <c r="U160" s="51" t="str">
        <f>+IF(GENERAL!V161=GENERAL!$AI$2,GENERAL!$AI$2,CONCATENATE(OBSERVACIONES!U160,"
ESTADO DE POSTVENTAS:  ",GENERAL!V161))</f>
        <v>OK
ESTADO DE POSTVENTAS:  POSTVENTA CORREGIDA</v>
      </c>
      <c r="V160" s="51" t="str">
        <f>+IF(GENERAL!W161=GENERAL!$AI$2,GENERAL!$AI$2,CONCATENATE(OBSERVACIONES!V160,"
ESTADO DE POSTVENTAS:  ",GENERAL!W161))</f>
        <v>OK
ESTADO DE POSTVENTAS:  POSTVENTA CORREGIDA</v>
      </c>
      <c r="W160" s="51" t="str">
        <f>+IF(GENERAL!V161=GENERAL!$AI$2,GENERAL!$AI$2,CONCATENATE(OBSERVACIONES!W160,"
ESTADO DE POSTVENTAS:  ",GENERAL!V161))</f>
        <v>OK
ESTADO DE POSTVENTAS:  POSTVENTA CORREGIDA</v>
      </c>
      <c r="X160" s="51" t="str">
        <f>+IF(GENERAL!W161=GENERAL!$AI$2,GENERAL!$AI$2,CONCATENATE(OBSERVACIONES!X160,"
ESTADO DE POSTVENTAS:  ",GENERAL!W161))</f>
        <v>OK
ESTADO DE POSTVENTAS:  POSTVENTA CORREGIDA</v>
      </c>
      <c r="Y160" s="51" t="str">
        <f>+IF(GENERAL!Z161=GENERAL!$AI$2,GENERAL!$AI$2,CONCATENATE(OBSERVACIONES!Y160,"
ESTADO DE POSTVENTAS:  ",GENERAL!Z161))</f>
        <v>OK
ESTADO DE POSTVENTAS:  POSTVENTA CORREGIDA</v>
      </c>
      <c r="Z160" s="51" t="str">
        <f>+IF(GENERAL!AA161=GENERAL!$AI$2,GENERAL!$AI$2,CONCATENATE(OBSERVACIONES!Z160,"
ESTADO DE POSTVENTAS:  ",GENERAL!AA161))</f>
        <v>OK
ESTADO DE POSTVENTAS:  POSTVENTA CORREGIDA</v>
      </c>
      <c r="AA160" s="51" t="str">
        <f>+IF(GENERAL!AB161=GENERAL!$AI$2,GENERAL!$AI$2,CONCATENATE(OBSERVACIONES!AA160,"
ESTADO DE POSTVENTAS:  ",GENERAL!AB161))</f>
        <v>OK
ESTADO DE POSTVENTAS:  POSTVENTA CORREGIDA</v>
      </c>
      <c r="AB160" s="51" t="str">
        <f>+IF(GENERAL!AC161=GENERAL!$AI$2,GENERAL!$AI$2,CONCATENATE(OBSERVACIONES!AB160,"
ESTADO DE POSTVENTAS:  ",GENERAL!AC161))</f>
        <v>OK
ESTADO DE POSTVENTAS:  POSTVENTA CORREGIDA</v>
      </c>
      <c r="AC160" s="51" t="str">
        <f>+IF(GENERAL!AD161=GENERAL!$AI$2,GENERAL!$AI$2,CONCATENATE(OBSERVACIONES!AC160,"
ESTADO DE POSTVENTAS:  ",GENERAL!AD161))</f>
        <v>OK
ESTADO DE POSTVENTAS:  POSTVENTA CORREGIDA</v>
      </c>
      <c r="AD160" s="51" t="str">
        <f>+IF(GENERAL!AE161=GENERAL!$AI$2,GENERAL!$AI$2,CONCATENATE(OBSERVACIONES!AD160,"
ESTADO DE POSTVENTAS:  ",GENERAL!AE161))</f>
        <v>OK
ESTADO DE POSTVENTAS:  POSTVENTA CORREGIDA</v>
      </c>
      <c r="AE160" s="51" t="str">
        <f>+IF(GENERAL!AF161=GENERAL!$AI$2,GENERAL!$AI$2,CONCATENATE(OBSERVACIONES!AE160,"
ESTADO DE POSTVENTAS:  ",GENERAL!AF161))</f>
        <v>OK
ESTADO DE POSTVENTAS:  POSTVENTA CORREGIDA</v>
      </c>
      <c r="AF160" s="51" t="str">
        <f>+IF(GENERAL!AG161=GENERAL!$AI$2,GENERAL!$AI$2,CONCATENATE(OBSERVACIONES!AF160,"
ESTADO DE POSTVENTAS:  ",GENERAL!AG161))</f>
        <v>OK
ESTADO DE POSTVENTAS:  POSTVENTA CORREGIDA</v>
      </c>
      <c r="AG160" s="51" t="str">
        <f>+IF(GENERAL!AH161=GENERAL!$AI$2,GENERAL!$AI$2,CONCATENATE(OBSERVACIONES!AG160,"
ESTADO DE POSTVENTAS:  ",GENERAL!AH161))</f>
        <v>OK
ESTADO DE POSTVENTAS:  POSTVENTA CORREGIDA</v>
      </c>
      <c r="AH160" s="51" t="str">
        <f>+IF(GENERAL!AI161=GENERAL!$AI$2,GENERAL!$AI$2,CONCATENATE(OBSERVACIONES!AH160,"
ESTADO DE POSTVENTAS:  ",GENERAL!AI161))</f>
        <v>OK
ESTADO DE POSTVENTAS:  POSTVENTA CORREGIDA</v>
      </c>
      <c r="AI160" s="51" t="str">
        <f>+IF(GENERAL!AG161=GENERAL!$AI$2,GENERAL!$AI$2,CONCATENATE(OBSERVACIONES!AF160,"
ESTADO DE POSTVENTAS:  ",GENERAL!AG161))</f>
        <v>OK
ESTADO DE POSTVENTAS:  POSTVENTA CORREGIDA</v>
      </c>
      <c r="AJ160" s="51" t="str">
        <f>+IF(GENERAL!AI161=GENERAL!$AI$2,GENERAL!$AI$2,CONCATENATE(OBSERVACIONES!AH160,"
ESTADO DE POSTVENTAS:  ",GENERAL!AI161))</f>
        <v>OK
ESTADO DE POSTVENTAS:  POSTVENTA CORREGIDA</v>
      </c>
      <c r="AK160" s="51" t="str">
        <f>+IF(GENERAL!AJ161=GENERAL!$AI$2,GENERAL!$AI$2,CONCATENATE(OBSERVACIONES!AI160,"
ESTADO DE POSTVENTAS:  ",GENERAL!AJ161))</f>
        <v>OK
ESTADO DE POSTVENTAS:  POSTVENTA CORREGIDA</v>
      </c>
      <c r="AL160" s="51" t="str">
        <f>+IF(GENERAL!AK161=GENERAL!$AI$2,GENERAL!$AI$2,CONCATENATE(OBSERVACIONES!AJ160,"
ESTADO DE POSTVENTAS:  ",GENERAL!AK161))</f>
        <v>OK
ESTADO DE POSTVENTAS:  POSTVENTA CORREGIDA</v>
      </c>
      <c r="AM160" s="51" t="str">
        <f>+IF(GENERAL!AN161=GENERAL!$AI$2,GENERAL!$AI$2,CONCATENATE(OBSERVACIONES!AM160,"
ESTADO DE POSTVENTAS:  ",GENERAL!AN161))</f>
        <v>OK
ESTADO DE POSTVENTAS:  POSTVENTA CORREGIDA</v>
      </c>
      <c r="AN160" s="37">
        <v>1</v>
      </c>
      <c r="AO160" s="37">
        <v>10</v>
      </c>
      <c r="AP160" s="37">
        <v>3</v>
      </c>
      <c r="AQ160" s="37">
        <v>0</v>
      </c>
      <c r="AR160" s="43">
        <v>14</v>
      </c>
      <c r="AS160" s="40">
        <v>12</v>
      </c>
      <c r="AT160" s="37">
        <f>COUNTIFS($D$5:$AM$5,"&lt;&gt;"&amp;CODICIONALES!$A$1,$D$5:$AM$5,"&lt;&gt;"&amp;CODICIONALES!$A$2,$D$5:$AM$5,"&lt;&gt;"&amp;CODICIONALES!$B$2,$D$5:$AM$5,"&lt;&gt;"&amp;CODICIONALES!$C$2)</f>
        <v>6</v>
      </c>
      <c r="AU160" s="43">
        <f>COUNTIFS(D160:AM160,CODICIONALES!$A$2)</f>
        <v>34</v>
      </c>
      <c r="AV160" s="40">
        <f t="shared" si="2"/>
        <v>-4</v>
      </c>
    </row>
    <row r="161" spans="1:49" ht="51" customHeight="1" x14ac:dyDescent="0.25">
      <c r="A161" s="110"/>
      <c r="B161" s="2">
        <v>157</v>
      </c>
      <c r="C161" s="21" t="s">
        <v>47</v>
      </c>
      <c r="D161" s="51" t="str">
        <f>+IF(GENERAL!E162=GENERAL!$AI$2,GENERAL!$AI$2,CONCATENATE(OBSERVACIONES!D161,"
ESTADO DE POSTVENTAS:  ",GENERAL!E162))</f>
        <v>NO ENTREGADO
ESTADO DE POSTVENTAS:  TIENE POSTVENTA</v>
      </c>
      <c r="E161" s="51" t="str">
        <f>+IF(GENERAL!F162=GENERAL!$AI$2,GENERAL!$AI$2,CONCATENATE(OBSERVACIONES!E161,"
ESTADO DE POSTVENTAS:  ",GENERAL!F162))</f>
        <v>OK
ESTADO DE POSTVENTAS:  POSTVENTA CORREGIDA</v>
      </c>
      <c r="F161" s="51" t="str">
        <f>+IF(GENERAL!G162=GENERAL!$AI$2,GENERAL!$AI$2,CONCATENATE(OBSERVACIONES!F161,"
ESTADO DE POSTVENTAS:  ",GENERAL!G162))</f>
        <v>OK
ESTADO DE POSTVENTAS:  POSTVENTA CORREGIDA</v>
      </c>
      <c r="G161" s="51" t="str">
        <f>+IF(GENERAL!H162=GENERAL!$AI$2,GENERAL!$AI$2,CONCATENATE(OBSERVACIONES!G161,"
ESTADO DE POSTVENTAS:  ",GENERAL!H162))</f>
        <v>NO ENTREGADO
ESTADO DE POSTVENTAS:  TIENE POSTVENTA</v>
      </c>
      <c r="H161" s="51" t="str">
        <f>+IF(GENERAL!I162=GENERAL!$AI$2,GENERAL!$AI$2,CONCATENATE(OBSERVACIONES!H161,"
ESTADO DE POSTVENTAS:  ",GENERAL!I162))</f>
        <v>OK
ESTADO DE POSTVENTAS:  POSTVENTA CORREGIDA</v>
      </c>
      <c r="I161" s="51" t="str">
        <f>+IF(GENERAL!J162=GENERAL!$AI$2,GENERAL!$AI$2,CONCATENATE(OBSERVACIONES!I161,"
ESTADO DE POSTVENTAS:  ",GENERAL!J162))</f>
        <v>OK
ESTADO DE POSTVENTAS:  POSTVENTA CORREGIDA</v>
      </c>
      <c r="J161" s="51" t="str">
        <f>+IF(GENERAL!K162=GENERAL!$AI$2,GENERAL!$AI$2,CONCATENATE(OBSERVACIONES!J161,"
ESTADO DE POSTVENTAS:  ",GENERAL!K162))</f>
        <v>OK
ESTADO DE POSTVENTAS:  POSTVENTA CORREGIDA</v>
      </c>
      <c r="K161" s="51" t="str">
        <f>+IF(GENERAL!L162=GENERAL!$AI$2,GENERAL!$AI$2,CONCATENATE(OBSERVACIONES!K161,"
ESTADO DE POSTVENTAS:  ",GENERAL!L162))</f>
        <v>OK
ESTADO DE POSTVENTAS:  POSTVENTA CORREGIDA</v>
      </c>
      <c r="L161" s="51" t="str">
        <f>+IF(GENERAL!M162=GENERAL!$AI$2,GENERAL!$AI$2,CONCATENATE(OBSERVACIONES!L161,"
ESTADO DE POSTVENTAS:  ",GENERAL!M162))</f>
        <v>OK
ESTADO DE POSTVENTAS:  POSTVENTA CORREGIDA</v>
      </c>
      <c r="M161" s="70" t="str">
        <f>+IF(GENERAL!N162=GENERAL!$AI$2,GENERAL!$AI$2,CONCATENATE(OBSERVACIONES!M161,"
ESTADO DE POSTVENTAS:  ",GENERAL!N162))</f>
        <v>OK
ESTADO DE POSTVENTAS:  POSTVENTA CORREGIDA</v>
      </c>
      <c r="N161" s="51" t="str">
        <f>+IF(GENERAL!O162=GENERAL!$AI$2,GENERAL!$AI$2,CONCATENATE(OBSERVACIONES!N161,"
ESTADO DE POSTVENTAS:  ",GENERAL!O162))</f>
        <v>OK
ESTADO DE POSTVENTAS:  POSTVENTA CORREGIDA</v>
      </c>
      <c r="O161" s="51" t="str">
        <f>+IF(GENERAL!P162=GENERAL!$AI$2,GENERAL!$AI$2,CONCATENATE(OBSERVACIONES!O161,"
ESTADO DE POSTVENTAS:  ",GENERAL!P162))</f>
        <v>OK
ESTADO DE POSTVENTAS:  POSTVENTA CORREGIDA</v>
      </c>
      <c r="P161" s="70" t="str">
        <f>+IF(GENERAL!Q162=GENERAL!$AI$2,GENERAL!$AI$2,CONCATENATE(OBSERVACIONES!P161,"
ESTADO DE POSTVENTAS:  ",GENERAL!Q162))</f>
        <v>OK
ESTADO DE POSTVENTAS:  POSTVENTA CORREGIDA</v>
      </c>
      <c r="Q161" s="70" t="str">
        <f>+IF(GENERAL!R162=GENERAL!$AI$2,GENERAL!$AI$2,CONCATENATE(OBSERVACIONES!Q161,"
ESTADO DE POSTVENTAS:  ",GENERAL!R162))</f>
        <v>OK
ESTADO DE POSTVENTAS:  POSTVENTA CORREGIDA</v>
      </c>
      <c r="R161" s="51" t="str">
        <f>+IF(GENERAL!S162=GENERAL!$AI$2,GENERAL!$AI$2,CONCATENATE(OBSERVACIONES!R161,"
ESTADO DE POSTVENTAS:  ",GENERAL!S162))</f>
        <v>OK
ESTADO DE POSTVENTAS:  POSTVENTA CORREGIDA</v>
      </c>
      <c r="S161" s="51" t="str">
        <f>+IF(GENERAL!T162=GENERAL!$AI$2,GENERAL!$AI$2,CONCATENATE(OBSERVACIONES!S161,"
ESTADO DE POSTVENTAS:  ",GENERAL!T162))</f>
        <v>OK
ESTADO DE POSTVENTAS:  POSTVENTA CORREGIDA</v>
      </c>
      <c r="T161" s="51" t="str">
        <f>+IF(GENERAL!U162=GENERAL!$AI$2,GENERAL!$AI$2,CONCATENATE(OBSERVACIONES!T161,"
ESTADO DE POSTVENTAS:  ",GENERAL!U162))</f>
        <v>OK
ESTADO DE POSTVENTAS:  POSTVENTA CORREGIDA</v>
      </c>
      <c r="U161" s="51" t="str">
        <f>+IF(GENERAL!V162=GENERAL!$AI$2,GENERAL!$AI$2,CONCATENATE(OBSERVACIONES!U161,"
ESTADO DE POSTVENTAS:  ",GENERAL!V162))</f>
        <v>OK
ESTADO DE POSTVENTAS:  POSTVENTA CORREGIDA</v>
      </c>
      <c r="V161" s="51" t="str">
        <f>+IF(GENERAL!W162=GENERAL!$AI$2,GENERAL!$AI$2,CONCATENATE(OBSERVACIONES!V161,"
ESTADO DE POSTVENTAS:  ",GENERAL!W162))</f>
        <v>OK
ESTADO DE POSTVENTAS:  POSTVENTA CORREGIDA</v>
      </c>
      <c r="W161" s="51" t="str">
        <f>+IF(GENERAL!V162=GENERAL!$AI$2,GENERAL!$AI$2,CONCATENATE(OBSERVACIONES!W161,"
ESTADO DE POSTVENTAS:  ",GENERAL!V162))</f>
        <v>OK
ESTADO DE POSTVENTAS:  POSTVENTA CORREGIDA</v>
      </c>
      <c r="X161" s="51" t="str">
        <f>+IF(GENERAL!W162=GENERAL!$AI$2,GENERAL!$AI$2,CONCATENATE(OBSERVACIONES!X161,"
ESTADO DE POSTVENTAS:  ",GENERAL!W162))</f>
        <v>OK
ESTADO DE POSTVENTAS:  POSTVENTA CORREGIDA</v>
      </c>
      <c r="Y161" s="51" t="str">
        <f>+IF(GENERAL!Z162=GENERAL!$AI$2,GENERAL!$AI$2,CONCATENATE(OBSERVACIONES!Y161,"
ESTADO DE POSTVENTAS:  ",GENERAL!Z162))</f>
        <v>OK
ESTADO DE POSTVENTAS:  POSTVENTA CORREGIDA</v>
      </c>
      <c r="Z161" s="51" t="str">
        <f>+IF(GENERAL!AA162=GENERAL!$AI$2,GENERAL!$AI$2,CONCATENATE(OBSERVACIONES!Z161,"
ESTADO DE POSTVENTAS:  ",GENERAL!AA162))</f>
        <v>OK
ESTADO DE POSTVENTAS:  POSTVENTA CORREGIDA</v>
      </c>
      <c r="AA161" s="51" t="str">
        <f>+IF(GENERAL!AB162=GENERAL!$AI$2,GENERAL!$AI$2,CONCATENATE(OBSERVACIONES!AA161,"
ESTADO DE POSTVENTAS:  ",GENERAL!AB162))</f>
        <v>OK
ESTADO DE POSTVENTAS:  POSTVENTA CORREGIDA</v>
      </c>
      <c r="AB161" s="51" t="str">
        <f>+IF(GENERAL!AC162=GENERAL!$AI$2,GENERAL!$AI$2,CONCATENATE(OBSERVACIONES!AB161,"
ESTADO DE POSTVENTAS:  ",GENERAL!AC162))</f>
        <v>OK
ESTADO DE POSTVENTAS:  POSTVENTA CORREGIDA</v>
      </c>
      <c r="AC161" s="51" t="str">
        <f>+IF(GENERAL!AD162=GENERAL!$AI$2,GENERAL!$AI$2,CONCATENATE(OBSERVACIONES!AC161,"
ESTADO DE POSTVENTAS:  ",GENERAL!AD162))</f>
        <v>OK
ESTADO DE POSTVENTAS:  POSTVENTA CORREGIDA</v>
      </c>
      <c r="AD161" s="51" t="str">
        <f>+IF(GENERAL!AE162=GENERAL!$AI$2,GENERAL!$AI$2,CONCATENATE(OBSERVACIONES!AD161,"
ESTADO DE POSTVENTAS:  ",GENERAL!AE162))</f>
        <v>OK
ESTADO DE POSTVENTAS:  POSTVENTA CORREGIDA</v>
      </c>
      <c r="AE161" s="51" t="str">
        <f>+IF(GENERAL!AF162=GENERAL!$AI$2,GENERAL!$AI$2,CONCATENATE(OBSERVACIONES!AE161,"
ESTADO DE POSTVENTAS:  ",GENERAL!AF162))</f>
        <v>OK
ESTADO DE POSTVENTAS:  POSTVENTA CORREGIDA</v>
      </c>
      <c r="AF161" s="51" t="str">
        <f>+IF(GENERAL!AG162=GENERAL!$AI$2,GENERAL!$AI$2,CONCATENATE(OBSERVACIONES!AF161,"
ESTADO DE POSTVENTAS:  ",GENERAL!AG162))</f>
        <v>OK
ESTADO DE POSTVENTAS:  POSTVENTA CORREGIDA</v>
      </c>
      <c r="AG161" s="51" t="str">
        <f>+IF(GENERAL!AH162=GENERAL!$AI$2,GENERAL!$AI$2,CONCATENATE(OBSERVACIONES!AG161,"
ESTADO DE POSTVENTAS:  ",GENERAL!AH162))</f>
        <v>OK
ESTADO DE POSTVENTAS:  POSTVENTA CORREGIDA</v>
      </c>
      <c r="AH161" s="51" t="str">
        <f>+IF(GENERAL!AI162=GENERAL!$AI$2,GENERAL!$AI$2,CONCATENATE(OBSERVACIONES!AH161,"
ESTADO DE POSTVENTAS:  ",GENERAL!AI162))</f>
        <v>OK
ESTADO DE POSTVENTAS:  POSTVENTA CORREGIDA</v>
      </c>
      <c r="AI161" s="51" t="str">
        <f>+IF(GENERAL!AG162=GENERAL!$AI$2,GENERAL!$AI$2,CONCATENATE(OBSERVACIONES!AF161,"
ESTADO DE POSTVENTAS:  ",GENERAL!AG162))</f>
        <v>OK
ESTADO DE POSTVENTAS:  POSTVENTA CORREGIDA</v>
      </c>
      <c r="AJ161" s="51" t="str">
        <f>+IF(GENERAL!AI162=GENERAL!$AI$2,GENERAL!$AI$2,CONCATENATE(OBSERVACIONES!AH161,"
ESTADO DE POSTVENTAS:  ",GENERAL!AI162))</f>
        <v>OK
ESTADO DE POSTVENTAS:  POSTVENTA CORREGIDA</v>
      </c>
      <c r="AK161" s="51" t="str">
        <f>+IF(GENERAL!AJ162=GENERAL!$AI$2,GENERAL!$AI$2,CONCATENATE(OBSERVACIONES!AI161,"
ESTADO DE POSTVENTAS:  ",GENERAL!AJ162))</f>
        <v>OK
ESTADO DE POSTVENTAS:  POSTVENTA CORREGIDA</v>
      </c>
      <c r="AL161" s="51" t="str">
        <f>+IF(GENERAL!AK162=GENERAL!$AI$2,GENERAL!$AI$2,CONCATENATE(OBSERVACIONES!AJ161,"
ESTADO DE POSTVENTAS:  ",GENERAL!AK162))</f>
        <v>OK
ESTADO DE POSTVENTAS:  POSTVENTA CORREGIDA</v>
      </c>
      <c r="AM161" s="51" t="str">
        <f>+IF(GENERAL!AN162=GENERAL!$AI$2,GENERAL!$AI$2,CONCATENATE(OBSERVACIONES!AM161,"
ESTADO DE POSTVENTAS:  ",GENERAL!AN162))</f>
        <v>OK
ESTADO DE POSTVENTAS:  POSTVENTA CORREGIDA</v>
      </c>
      <c r="AN161" s="37">
        <v>0</v>
      </c>
      <c r="AO161" s="37">
        <v>11</v>
      </c>
      <c r="AP161" s="37">
        <v>3</v>
      </c>
      <c r="AQ161" s="37">
        <v>0</v>
      </c>
      <c r="AR161" s="43">
        <v>14</v>
      </c>
      <c r="AS161" s="40">
        <v>12</v>
      </c>
      <c r="AT161" s="37">
        <f>COUNTIFS($D$5:$AM$5,"&lt;&gt;"&amp;CODICIONALES!$A$1,$D$5:$AM$5,"&lt;&gt;"&amp;CODICIONALES!$A$2,$D$5:$AM$5,"&lt;&gt;"&amp;CODICIONALES!$B$2,$D$5:$AM$5,"&lt;&gt;"&amp;CODICIONALES!$C$2)</f>
        <v>6</v>
      </c>
      <c r="AU161" s="43">
        <f>COUNTIFS(D161:AM161,CODICIONALES!$A$2)</f>
        <v>34</v>
      </c>
      <c r="AV161" s="40">
        <f t="shared" si="2"/>
        <v>-4</v>
      </c>
    </row>
    <row r="162" spans="1:49" ht="51" customHeight="1" x14ac:dyDescent="0.25">
      <c r="A162" s="110"/>
      <c r="B162" s="2">
        <v>158</v>
      </c>
      <c r="C162" s="21" t="s">
        <v>51</v>
      </c>
      <c r="D162" s="51" t="str">
        <f>+IF(GENERAL!E163=GENERAL!$AI$2,GENERAL!$AI$2,CONCATENATE(OBSERVACIONES!D162,"
ESTADO DE POSTVENTAS:  ",GENERAL!E163))</f>
        <v>NO ENTREGADO
ESTADO DE POSTVENTAS:  TIENE POSTVENTA</v>
      </c>
      <c r="E162" s="51" t="str">
        <f>+IF(GENERAL!F163=GENERAL!$AI$2,GENERAL!$AI$2,CONCATENATE(OBSERVACIONES!E162,"
ESTADO DE POSTVENTAS:  ",GENERAL!F163))</f>
        <v>OK
ESTADO DE POSTVENTAS:  POSTVENTA CORREGIDA</v>
      </c>
      <c r="F162" s="51" t="str">
        <f>+IF(GENERAL!G163=GENERAL!$AI$2,GENERAL!$AI$2,CONCATENATE(OBSERVACIONES!F162,"
ESTADO DE POSTVENTAS:  ",GENERAL!G163))</f>
        <v>OK
ESTADO DE POSTVENTAS:  POSTVENTA CORREGIDA</v>
      </c>
      <c r="G162" s="51" t="str">
        <f>+IF(GENERAL!H163=GENERAL!$AI$2,GENERAL!$AI$2,CONCATENATE(OBSERVACIONES!G162,"
ESTADO DE POSTVENTAS:  ",GENERAL!H163))</f>
        <v>NO ENTREGADO
ESTADO DE POSTVENTAS:  TIENE POSTVENTA</v>
      </c>
      <c r="H162" s="51" t="str">
        <f>+IF(GENERAL!I163=GENERAL!$AI$2,GENERAL!$AI$2,CONCATENATE(OBSERVACIONES!H162,"
ESTADO DE POSTVENTAS:  ",GENERAL!I163))</f>
        <v>OK
ESTADO DE POSTVENTAS:  POSTVENTA CORREGIDA</v>
      </c>
      <c r="I162" s="51" t="str">
        <f>+IF(GENERAL!J163=GENERAL!$AI$2,GENERAL!$AI$2,CONCATENATE(OBSERVACIONES!I162,"
ESTADO DE POSTVENTAS:  ",GENERAL!J163))</f>
        <v>OK
ESTADO DE POSTVENTAS:  POSTVENTA CORREGIDA</v>
      </c>
      <c r="J162" s="51" t="str">
        <f>+IF(GENERAL!K163=GENERAL!$AI$2,GENERAL!$AI$2,CONCATENATE(OBSERVACIONES!J162,"
ESTADO DE POSTVENTAS:  ",GENERAL!K163))</f>
        <v>OK
ESTADO DE POSTVENTAS:  POSTVENTA CORREGIDA</v>
      </c>
      <c r="K162" s="51" t="str">
        <f>+IF(GENERAL!L163=GENERAL!$AI$2,GENERAL!$AI$2,CONCATENATE(OBSERVACIONES!K162,"
ESTADO DE POSTVENTAS:  ",GENERAL!L163))</f>
        <v>OK
ESTADO DE POSTVENTAS:  POSTVENTA CORREGIDA</v>
      </c>
      <c r="L162" s="51" t="str">
        <f>+IF(GENERAL!M163=GENERAL!$AI$2,GENERAL!$AI$2,CONCATENATE(OBSERVACIONES!L162,"
ESTADO DE POSTVENTAS:  ",GENERAL!M163))</f>
        <v>OK
ESTADO DE POSTVENTAS:  POSTVENTA CORREGIDA</v>
      </c>
      <c r="M162" s="70" t="str">
        <f>+IF(GENERAL!N163=GENERAL!$AI$2,GENERAL!$AI$2,CONCATENATE(OBSERVACIONES!M162,"
ESTADO DE POSTVENTAS:  ",GENERAL!N163))</f>
        <v>OK
ESTADO DE POSTVENTAS:  POSTVENTA CORREGIDA</v>
      </c>
      <c r="N162" s="51" t="str">
        <f>+IF(GENERAL!O163=GENERAL!$AI$2,GENERAL!$AI$2,CONCATENATE(OBSERVACIONES!N162,"
ESTADO DE POSTVENTAS:  ",GENERAL!O163))</f>
        <v>OK
ESTADO DE POSTVENTAS:  POSTVENTA CORREGIDA</v>
      </c>
      <c r="O162" s="51" t="str">
        <f>+IF(GENERAL!P163=GENERAL!$AI$2,GENERAL!$AI$2,CONCATENATE(OBSERVACIONES!O162,"
ESTADO DE POSTVENTAS:  ",GENERAL!P163))</f>
        <v>OK
ESTADO DE POSTVENTAS:  POSTVENTA CORREGIDA</v>
      </c>
      <c r="P162" s="70" t="str">
        <f>+IF(GENERAL!Q163=GENERAL!$AI$2,GENERAL!$AI$2,CONCATENATE(OBSERVACIONES!P162,"
ESTADO DE POSTVENTAS:  ",GENERAL!Q163))</f>
        <v>OK
ESTADO DE POSTVENTAS:  POSTVENTA CORREGIDA</v>
      </c>
      <c r="Q162" s="70" t="str">
        <f>+IF(GENERAL!R163=GENERAL!$AI$2,GENERAL!$AI$2,CONCATENATE(OBSERVACIONES!Q162,"
ESTADO DE POSTVENTAS:  ",GENERAL!R163))</f>
        <v>OK
ESTADO DE POSTVENTAS:  POSTVENTA CORREGIDA</v>
      </c>
      <c r="R162" s="51" t="str">
        <f>+IF(GENERAL!S163=GENERAL!$AI$2,GENERAL!$AI$2,CONCATENATE(OBSERVACIONES!R162,"
ESTADO DE POSTVENTAS:  ",GENERAL!S163))</f>
        <v>OK
ESTADO DE POSTVENTAS:  POSTVENTA CORREGIDA</v>
      </c>
      <c r="S162" s="51" t="str">
        <f>+IF(GENERAL!T163=GENERAL!$AI$2,GENERAL!$AI$2,CONCATENATE(OBSERVACIONES!S162,"
ESTADO DE POSTVENTAS:  ",GENERAL!T163))</f>
        <v>OK
ESTADO DE POSTVENTAS:  POSTVENTA CORREGIDA</v>
      </c>
      <c r="T162" s="51" t="str">
        <f>+IF(GENERAL!U163=GENERAL!$AI$2,GENERAL!$AI$2,CONCATENATE(OBSERVACIONES!T162,"
ESTADO DE POSTVENTAS:  ",GENERAL!U163))</f>
        <v>OK
ESTADO DE POSTVENTAS:  POSTVENTA CORREGIDA</v>
      </c>
      <c r="U162" s="51" t="str">
        <f>+IF(GENERAL!V163=GENERAL!$AI$2,GENERAL!$AI$2,CONCATENATE(OBSERVACIONES!U162,"
ESTADO DE POSTVENTAS:  ",GENERAL!V163))</f>
        <v>OK
ESTADO DE POSTVENTAS:  POSTVENTA CORREGIDA</v>
      </c>
      <c r="V162" s="51" t="str">
        <f>+IF(GENERAL!W163=GENERAL!$AI$2,GENERAL!$AI$2,CONCATENATE(OBSERVACIONES!V162,"
ESTADO DE POSTVENTAS:  ",GENERAL!W163))</f>
        <v>OK
ESTADO DE POSTVENTAS:  POSTVENTA CORREGIDA</v>
      </c>
      <c r="W162" s="51" t="str">
        <f>+IF(GENERAL!V163=GENERAL!$AI$2,GENERAL!$AI$2,CONCATENATE(OBSERVACIONES!W162,"
ESTADO DE POSTVENTAS:  ",GENERAL!V163))</f>
        <v>OK
ESTADO DE POSTVENTAS:  POSTVENTA CORREGIDA</v>
      </c>
      <c r="X162" s="51" t="str">
        <f>+IF(GENERAL!W163=GENERAL!$AI$2,GENERAL!$AI$2,CONCATENATE(OBSERVACIONES!X162,"
ESTADO DE POSTVENTAS:  ",GENERAL!W163))</f>
        <v>OK
ESTADO DE POSTVENTAS:  POSTVENTA CORREGIDA</v>
      </c>
      <c r="Y162" s="51" t="str">
        <f>+IF(GENERAL!Z163=GENERAL!$AI$2,GENERAL!$AI$2,CONCATENATE(OBSERVACIONES!Y162,"
ESTADO DE POSTVENTAS:  ",GENERAL!Z163))</f>
        <v>OK
ESTADO DE POSTVENTAS:  POSTVENTA CORREGIDA</v>
      </c>
      <c r="Z162" s="51" t="str">
        <f>+IF(GENERAL!AA163=GENERAL!$AI$2,GENERAL!$AI$2,CONCATENATE(OBSERVACIONES!Z162,"
ESTADO DE POSTVENTAS:  ",GENERAL!AA163))</f>
        <v>OK
ESTADO DE POSTVENTAS:  POSTVENTA CORREGIDA</v>
      </c>
      <c r="AA162" s="51" t="str">
        <f>+IF(GENERAL!AB163=GENERAL!$AI$2,GENERAL!$AI$2,CONCATENATE(OBSERVACIONES!AA162,"
ESTADO DE POSTVENTAS:  ",GENERAL!AB163))</f>
        <v>OK
ESTADO DE POSTVENTAS:  POSTVENTA CORREGIDA</v>
      </c>
      <c r="AB162" s="51" t="str">
        <f>+IF(GENERAL!AC163=GENERAL!$AI$2,GENERAL!$AI$2,CONCATENATE(OBSERVACIONES!AB162,"
ESTADO DE POSTVENTAS:  ",GENERAL!AC163))</f>
        <v>OK
ESTADO DE POSTVENTAS:  POSTVENTA CORREGIDA</v>
      </c>
      <c r="AC162" s="51" t="str">
        <f>+IF(GENERAL!AD163=GENERAL!$AI$2,GENERAL!$AI$2,CONCATENATE(OBSERVACIONES!AC162,"
ESTADO DE POSTVENTAS:  ",GENERAL!AD163))</f>
        <v>OK
ESTADO DE POSTVENTAS:  POSTVENTA CORREGIDA</v>
      </c>
      <c r="AD162" s="51" t="str">
        <f>+IF(GENERAL!AE163=GENERAL!$AI$2,GENERAL!$AI$2,CONCATENATE(OBSERVACIONES!AD162,"
ESTADO DE POSTVENTAS:  ",GENERAL!AE163))</f>
        <v>OK
ESTADO DE POSTVENTAS:  POSTVENTA CORREGIDA</v>
      </c>
      <c r="AE162" s="51" t="str">
        <f>+IF(GENERAL!AF163=GENERAL!$AI$2,GENERAL!$AI$2,CONCATENATE(OBSERVACIONES!AE162,"
ESTADO DE POSTVENTAS:  ",GENERAL!AF163))</f>
        <v>OK
ESTADO DE POSTVENTAS:  POSTVENTA CORREGIDA</v>
      </c>
      <c r="AF162" s="51" t="str">
        <f>+IF(GENERAL!AG163=GENERAL!$AI$2,GENERAL!$AI$2,CONCATENATE(OBSERVACIONES!AF162,"
ESTADO DE POSTVENTAS:  ",GENERAL!AG163))</f>
        <v>OK
ESTADO DE POSTVENTAS:  POSTVENTA CORREGIDA</v>
      </c>
      <c r="AG162" s="51" t="str">
        <f>+IF(GENERAL!AH163=GENERAL!$AI$2,GENERAL!$AI$2,CONCATENATE(OBSERVACIONES!AG162,"
ESTADO DE POSTVENTAS:  ",GENERAL!AH163))</f>
        <v>OK
ESTADO DE POSTVENTAS:  POSTVENTA CORREGIDA</v>
      </c>
      <c r="AH162" s="51" t="str">
        <f>+IF(GENERAL!AI163=GENERAL!$AI$2,GENERAL!$AI$2,CONCATENATE(OBSERVACIONES!AH162,"
ESTADO DE POSTVENTAS:  ",GENERAL!AI163))</f>
        <v>OK
ESTADO DE POSTVENTAS:  POSTVENTA CORREGIDA</v>
      </c>
      <c r="AI162" s="51" t="str">
        <f>+IF(GENERAL!AG163=GENERAL!$AI$2,GENERAL!$AI$2,CONCATENATE(OBSERVACIONES!AF162,"
ESTADO DE POSTVENTAS:  ",GENERAL!AG163))</f>
        <v>OK
ESTADO DE POSTVENTAS:  POSTVENTA CORREGIDA</v>
      </c>
      <c r="AJ162" s="51" t="str">
        <f>+IF(GENERAL!AI163=GENERAL!$AI$2,GENERAL!$AI$2,CONCATENATE(OBSERVACIONES!AH162,"
ESTADO DE POSTVENTAS:  ",GENERAL!AI163))</f>
        <v>OK
ESTADO DE POSTVENTAS:  POSTVENTA CORREGIDA</v>
      </c>
      <c r="AK162" s="51" t="str">
        <f>+IF(GENERAL!AJ163=GENERAL!$AI$2,GENERAL!$AI$2,CONCATENATE(OBSERVACIONES!AI162,"
ESTADO DE POSTVENTAS:  ",GENERAL!AJ163))</f>
        <v>OK
ESTADO DE POSTVENTAS:  POSTVENTA CORREGIDA</v>
      </c>
      <c r="AL162" s="51" t="str">
        <f>+IF(GENERAL!AK163=GENERAL!$AI$2,GENERAL!$AI$2,CONCATENATE(OBSERVACIONES!AJ162,"
ESTADO DE POSTVENTAS:  ",GENERAL!AK163))</f>
        <v>OK
ESTADO DE POSTVENTAS:  POSTVENTA CORREGIDA</v>
      </c>
      <c r="AM162" s="51" t="str">
        <f>+IF(GENERAL!AN163=GENERAL!$AI$2,GENERAL!$AI$2,CONCATENATE(OBSERVACIONES!AM162,"
ESTADO DE POSTVENTAS:  ",GENERAL!AN163))</f>
        <v>OK
ESTADO DE POSTVENTAS:  POSTVENTA CORREGIDA</v>
      </c>
      <c r="AN162" s="37">
        <v>0</v>
      </c>
      <c r="AO162" s="37">
        <v>11</v>
      </c>
      <c r="AP162" s="37">
        <v>3</v>
      </c>
      <c r="AQ162" s="37">
        <v>0</v>
      </c>
      <c r="AR162" s="43">
        <v>14</v>
      </c>
      <c r="AS162" s="40">
        <v>12</v>
      </c>
      <c r="AT162" s="37">
        <f>COUNTIFS($D$5:$AM$5,"&lt;&gt;"&amp;CODICIONALES!$A$1,$D$5:$AM$5,"&lt;&gt;"&amp;CODICIONALES!$A$2,$D$5:$AM$5,"&lt;&gt;"&amp;CODICIONALES!$B$2,$D$5:$AM$5,"&lt;&gt;"&amp;CODICIONALES!$C$2)</f>
        <v>6</v>
      </c>
      <c r="AU162" s="43">
        <f>COUNTIFS(D162:AM162,CODICIONALES!$A$2)</f>
        <v>34</v>
      </c>
      <c r="AV162" s="40">
        <f t="shared" si="2"/>
        <v>-4</v>
      </c>
    </row>
    <row r="163" spans="1:49" ht="51" customHeight="1" x14ac:dyDescent="0.25">
      <c r="A163" s="110"/>
      <c r="B163" s="2">
        <v>159</v>
      </c>
      <c r="C163" s="21" t="s">
        <v>59</v>
      </c>
      <c r="D163" s="51" t="str">
        <f>+IF(GENERAL!E164=GENERAL!$AI$2,GENERAL!$AI$2,CONCATENATE(OBSERVACIONES!D163,"
ESTADO DE POSTVENTAS:  ",GENERAL!E164))</f>
        <v>NO ENTREGADO
ESTADO DE POSTVENTAS:  TIENE POSTVENTA</v>
      </c>
      <c r="E163" s="51" t="str">
        <f>+IF(GENERAL!F164=GENERAL!$AI$2,GENERAL!$AI$2,CONCATENATE(OBSERVACIONES!E163,"
ESTADO DE POSTVENTAS:  ",GENERAL!F164))</f>
        <v>OK
ESTADO DE POSTVENTAS:  POSTVENTA CORREGIDA</v>
      </c>
      <c r="F163" s="51" t="str">
        <f>+IF(GENERAL!G164=GENERAL!$AI$2,GENERAL!$AI$2,CONCATENATE(OBSERVACIONES!F163,"
ESTADO DE POSTVENTAS:  ",GENERAL!G164))</f>
        <v>OK
ESTADO DE POSTVENTAS:  POSTVENTA CORREGIDA</v>
      </c>
      <c r="G163" s="51" t="str">
        <f>+IF(GENERAL!H164=GENERAL!$AI$2,GENERAL!$AI$2,CONCATENATE(OBSERVACIONES!G163,"
ESTADO DE POSTVENTAS:  ",GENERAL!H164))</f>
        <v>NO ENTREGADO
ESTADO DE POSTVENTAS:  TIENE POSTVENTA</v>
      </c>
      <c r="H163" s="51" t="str">
        <f>+IF(GENERAL!I164=GENERAL!$AI$2,GENERAL!$AI$2,CONCATENATE(OBSERVACIONES!H163,"
ESTADO DE POSTVENTAS:  ",GENERAL!I164))</f>
        <v>OK
ESTADO DE POSTVENTAS:  POSTVENTA CORREGIDA</v>
      </c>
      <c r="I163" s="51" t="str">
        <f>+IF(GENERAL!J164=GENERAL!$AI$2,GENERAL!$AI$2,CONCATENATE(OBSERVACIONES!I163,"
ESTADO DE POSTVENTAS:  ",GENERAL!J164))</f>
        <v>OK
ESTADO DE POSTVENTAS:  POSTVENTA CORREGIDA</v>
      </c>
      <c r="J163" s="51" t="str">
        <f>+IF(GENERAL!K164=GENERAL!$AI$2,GENERAL!$AI$2,CONCATENATE(OBSERVACIONES!J163,"
ESTADO DE POSTVENTAS:  ",GENERAL!K164))</f>
        <v>OK
ESTADO DE POSTVENTAS:  POSTVENTA CORREGIDA</v>
      </c>
      <c r="K163" s="70" t="str">
        <f>+IF(GENERAL!L164=GENERAL!$AI$2,GENERAL!$AI$2,CONCATENATE(OBSERVACIONES!L163,"
ESTADO DE POSTVENTAS:  ",GENERAL!L164))</f>
        <v>DETALLE BALDOSAS
ESTADO DE POSTVENTAS:  POSTVENTA CORREGIDA</v>
      </c>
      <c r="L163" s="70" t="str">
        <f>+IF(GENERAL!M164=GENERAL!$AI$2,GENERAL!$AI$2,CONCATENATE(OBSERVACIONES!L163,"
ESTADO DE POSTVENTAS:  ",GENERAL!M164))</f>
        <v>DETALLE BALDOSAS
ESTADO DE POSTVENTAS:  TIENE POSTVENTA</v>
      </c>
      <c r="M163" s="70" t="str">
        <f>+IF(GENERAL!N164=GENERAL!$AI$2,GENERAL!$AI$2,CONCATENATE(OBSERVACIONES!M163,"
ESTADO DE POSTVENTAS:  ",GENERAL!N164))</f>
        <v>OK
ESTADO DE POSTVENTAS:  POSTVENTA CORREGIDA</v>
      </c>
      <c r="N163" s="51" t="str">
        <f>+IF(GENERAL!O164=GENERAL!$AI$2,GENERAL!$AI$2,CONCATENATE(OBSERVACIONES!N163,"
ESTADO DE POSTVENTAS:  ",GENERAL!O164))</f>
        <v>OK
ESTADO DE POSTVENTAS:  POSTVENTA CORREGIDA</v>
      </c>
      <c r="O163" s="51" t="str">
        <f>+IF(GENERAL!P164=GENERAL!$AI$2,GENERAL!$AI$2,CONCATENATE(OBSERVACIONES!O163,"
ESTADO DE POSTVENTAS:  ",GENERAL!P164))</f>
        <v>DETALLES DESNIVEL
ESTADO DE POSTVENTAS:  TIENE POSTVENTA</v>
      </c>
      <c r="P163" s="70" t="str">
        <f>+IF(GENERAL!Q164=GENERAL!$AI$2,GENERAL!$AI$2,CONCATENATE(OBSERVACIONES!P163,"
ESTADO DE POSTVENTAS:  ",GENERAL!Q164))</f>
        <v>OK
ESTADO DE POSTVENTAS:  POSTVENTA CORREGIDA</v>
      </c>
      <c r="Q163" s="70" t="str">
        <f>+IF(GENERAL!R164=GENERAL!$AI$2,GENERAL!$AI$2,CONCATENATE(OBSERVACIONES!Q163,"
ESTADO DE POSTVENTAS:  ",GENERAL!R164))</f>
        <v>OK
ESTADO DE POSTVENTAS:  POSTVENTA CORREGIDA</v>
      </c>
      <c r="R163" s="51" t="str">
        <f>+IF(GENERAL!S164=GENERAL!$AI$2,GENERAL!$AI$2,CONCATENATE(OBSERVACIONES!R163,"
ESTADO DE POSTVENTAS:  ",GENERAL!S164))</f>
        <v>OK
ESTADO DE POSTVENTAS:  POSTVENTA CORREGIDA</v>
      </c>
      <c r="S163" s="51" t="str">
        <f>+IF(GENERAL!T164=GENERAL!$AI$2,GENERAL!$AI$2,CONCATENATE(OBSERVACIONES!S163,"
ESTADO DE POSTVENTAS:  ",GENERAL!T164))</f>
        <v>OK
ESTADO DE POSTVENTAS:  POSTVENTA CORREGIDA</v>
      </c>
      <c r="T163" s="51" t="str">
        <f>+IF(GENERAL!U164=GENERAL!$AI$2,GENERAL!$AI$2,CONCATENATE(OBSERVACIONES!T163,"
ESTADO DE POSTVENTAS:  ",GENERAL!U164))</f>
        <v>OK
ESTADO DE POSTVENTAS:  POSTVENTA CORREGIDA</v>
      </c>
      <c r="U163" s="51" t="str">
        <f>+IF(GENERAL!V164=GENERAL!$AI$2,GENERAL!$AI$2,CONCATENATE(OBSERVACIONES!U163,"
ESTADO DE POSTVENTAS:  ",GENERAL!V164))</f>
        <v>OK
ESTADO DE POSTVENTAS:  POSTVENTA CORREGIDA</v>
      </c>
      <c r="V163" s="51" t="str">
        <f>+IF(GENERAL!W164=GENERAL!$AI$2,GENERAL!$AI$2,CONCATENATE(OBSERVACIONES!V163,"
ESTADO DE POSTVENTAS:  ",GENERAL!W164))</f>
        <v>OK
ESTADO DE POSTVENTAS:  POSTVENTA CORREGIDA</v>
      </c>
      <c r="W163" s="51" t="str">
        <f>+IF(GENERAL!V164=GENERAL!$AI$2,GENERAL!$AI$2,CONCATENATE(OBSERVACIONES!W163,"
ESTADO DE POSTVENTAS:  ",GENERAL!V164))</f>
        <v>OK
ESTADO DE POSTVENTAS:  POSTVENTA CORREGIDA</v>
      </c>
      <c r="X163" s="51" t="str">
        <f>+IF(GENERAL!W164=GENERAL!$AI$2,GENERAL!$AI$2,CONCATENATE(OBSERVACIONES!X163,"
ESTADO DE POSTVENTAS:  ",GENERAL!W164))</f>
        <v>OK
ESTADO DE POSTVENTAS:  POSTVENTA CORREGIDA</v>
      </c>
      <c r="Y163" s="51" t="str">
        <f>+IF(GENERAL!Z164=GENERAL!$AI$2,GENERAL!$AI$2,CONCATENATE(OBSERVACIONES!Y163,"
ESTADO DE POSTVENTAS:  ",GENERAL!Z164))</f>
        <v>OK
ESTADO DE POSTVENTAS:  POSTVENTA CORREGIDA</v>
      </c>
      <c r="Z163" s="51" t="str">
        <f>+IF(GENERAL!AA164=GENERAL!$AI$2,GENERAL!$AI$2,CONCATENATE(OBSERVACIONES!Z163,"
ESTADO DE POSTVENTAS:  ",GENERAL!AA164))</f>
        <v>OK
ESTADO DE POSTVENTAS:  POSTVENTA CORREGIDA</v>
      </c>
      <c r="AA163" s="51" t="str">
        <f>+IF(GENERAL!AB164=GENERAL!$AI$2,GENERAL!$AI$2,CONCATENATE(OBSERVACIONES!AA163,"
ESTADO DE POSTVENTAS:  ",GENERAL!AB164))</f>
        <v>OK
ESTADO DE POSTVENTAS:  POSTVENTA CORREGIDA</v>
      </c>
      <c r="AB163" s="70" t="str">
        <f>+IF(GENERAL!AC164=GENERAL!$AI$2,GENERAL!$AI$2,CONCATENATE(OBSERVACIONES!AB163,"
ESTADO DE POSTVENTAS:  ",GENERAL!AC164))</f>
        <v>OK
ESTADO DE POSTVENTAS:  POSTVENTA CORREGIDA</v>
      </c>
      <c r="AC163" s="70" t="str">
        <f>+IF(GENERAL!AD164=GENERAL!$AI$2,GENERAL!$AI$2,CONCATENATE(OBSERVACIONES!AC163,"
ESTADO DE POSTVENTAS:  ",GENERAL!AD164))</f>
        <v>OK
ESTADO DE POSTVENTAS:  POSTVENTA CORREGIDA</v>
      </c>
      <c r="AD163" s="51" t="str">
        <f>+IF(GENERAL!AE164=GENERAL!$AI$2,GENERAL!$AI$2,CONCATENATE(OBSERVACIONES!AD163,"
ESTADO DE POSTVENTAS:  ",GENERAL!AE164))</f>
        <v>OK
ESTADO DE POSTVENTAS:  POSTVENTA CORREGIDA</v>
      </c>
      <c r="AE163" s="51" t="str">
        <f>+IF(GENERAL!AF164=GENERAL!$AI$2,GENERAL!$AI$2,CONCATENATE(OBSERVACIONES!AE163,"
ESTADO DE POSTVENTAS:  ",GENERAL!AF164))</f>
        <v>OK
ESTADO DE POSTVENTAS:  POSTVENTA CORREGIDA</v>
      </c>
      <c r="AF163" s="51" t="str">
        <f>+IF(GENERAL!AG164=GENERAL!$AI$2,GENERAL!$AI$2,CONCATENATE(OBSERVACIONES!AF163,"
ESTADO DE POSTVENTAS:  ",GENERAL!AG164))</f>
        <v>OK
ESTADO DE POSTVENTAS:  POSTVENTA CORREGIDA</v>
      </c>
      <c r="AG163" s="51" t="str">
        <f>+IF(GENERAL!AH164=GENERAL!$AI$2,GENERAL!$AI$2,CONCATENATE(OBSERVACIONES!AG163,"
ESTADO DE POSTVENTAS:  ",GENERAL!AH164))</f>
        <v>OK
ESTADO DE POSTVENTAS:  POSTVENTA CORREGIDA</v>
      </c>
      <c r="AH163" s="51" t="str">
        <f>+IF(GENERAL!AI164=GENERAL!$AI$2,GENERAL!$AI$2,CONCATENATE(OBSERVACIONES!AH163,"
ESTADO DE POSTVENTAS:  ",GENERAL!AI164))</f>
        <v>OK
ESTADO DE POSTVENTAS:  POSTVENTA CORREGIDA</v>
      </c>
      <c r="AI163" s="51" t="str">
        <f>+IF(GENERAL!AG164=GENERAL!$AI$2,GENERAL!$AI$2,CONCATENATE(OBSERVACIONES!AF163,"
ESTADO DE POSTVENTAS:  ",GENERAL!AG164))</f>
        <v>OK
ESTADO DE POSTVENTAS:  POSTVENTA CORREGIDA</v>
      </c>
      <c r="AJ163" s="51" t="str">
        <f>+IF(GENERAL!AI164=GENERAL!$AI$2,GENERAL!$AI$2,CONCATENATE(OBSERVACIONES!AH163,"
ESTADO DE POSTVENTAS:  ",GENERAL!AI164))</f>
        <v>OK
ESTADO DE POSTVENTAS:  POSTVENTA CORREGIDA</v>
      </c>
      <c r="AK163" s="51" t="str">
        <f>+IF(GENERAL!AJ164=GENERAL!$AI$2,GENERAL!$AI$2,CONCATENATE(OBSERVACIONES!AI163,"
ESTADO DE POSTVENTAS:  ",GENERAL!AJ164))</f>
        <v>OK
ESTADO DE POSTVENTAS:  POSTVENTA CORREGIDA</v>
      </c>
      <c r="AL163" s="51" t="str">
        <f>+IF(GENERAL!AK164=GENERAL!$AI$2,GENERAL!$AI$2,CONCATENATE(OBSERVACIONES!AJ163,"
ESTADO DE POSTVENTAS:  ",GENERAL!AK164))</f>
        <v>OK
ESTADO DE POSTVENTAS:  POSTVENTA CORREGIDA</v>
      </c>
      <c r="AM163" s="51" t="str">
        <f>+IF(GENERAL!AN164=GENERAL!$AI$2,GENERAL!$AI$2,CONCATENATE(OBSERVACIONES!AM163,"
ESTADO DE POSTVENTAS:  ",GENERAL!AN164))</f>
        <v>OK
ESTADO DE POSTVENTAS:  POSTVENTA CORREGIDA</v>
      </c>
      <c r="AN163" s="37">
        <v>4</v>
      </c>
      <c r="AO163" s="37">
        <v>7</v>
      </c>
      <c r="AP163" s="37">
        <v>3</v>
      </c>
      <c r="AQ163" s="37">
        <v>2</v>
      </c>
      <c r="AR163" s="43">
        <v>12</v>
      </c>
      <c r="AS163" s="40">
        <v>12</v>
      </c>
      <c r="AT163" s="37">
        <f>COUNTIFS($D$5:$AM$5,"&lt;&gt;"&amp;CODICIONALES!$A$1,$D$5:$AM$5,"&lt;&gt;"&amp;CODICIONALES!$A$2,$D$5:$AM$5,"&lt;&gt;"&amp;CODICIONALES!$B$2,$D$5:$AM$5,"&lt;&gt;"&amp;CODICIONALES!$C$2)</f>
        <v>6</v>
      </c>
      <c r="AU163" s="43">
        <f>COUNTIFS(D163:AM163,CODICIONALES!$A$2)</f>
        <v>31</v>
      </c>
      <c r="AV163" s="40">
        <f t="shared" si="2"/>
        <v>-1</v>
      </c>
    </row>
    <row r="164" spans="1:49" ht="51" customHeight="1" x14ac:dyDescent="0.25">
      <c r="A164" s="110"/>
      <c r="B164" s="2">
        <v>160</v>
      </c>
      <c r="C164" s="21" t="s">
        <v>61</v>
      </c>
      <c r="D164" s="51" t="str">
        <f>+IF(GENERAL!E165=GENERAL!$AI$2,GENERAL!$AI$2,CONCATENATE(OBSERVACIONES!D164,"
ESTADO DE POSTVENTAS:  ",GENERAL!E165))</f>
        <v>NO ENTREGADO
ESTADO DE POSTVENTAS:  TIENE POSTVENTA</v>
      </c>
      <c r="E164" s="51" t="str">
        <f>+IF(GENERAL!F165=GENERAL!$AI$2,GENERAL!$AI$2,CONCATENATE(OBSERVACIONES!E164,"
ESTADO DE POSTVENTAS:  ",GENERAL!F165))</f>
        <v>OK
ESTADO DE POSTVENTAS:  POSTVENTA CORREGIDA</v>
      </c>
      <c r="F164" s="51" t="str">
        <f>+IF(GENERAL!G165=GENERAL!$AI$2,GENERAL!$AI$2,CONCATENATE(OBSERVACIONES!F164,"
ESTADO DE POSTVENTAS:  ",GENERAL!G165))</f>
        <v>OK
ESTADO DE POSTVENTAS:  POSTVENTA CORREGIDA</v>
      </c>
      <c r="G164" s="51" t="str">
        <f>+IF(GENERAL!H165=GENERAL!$AI$2,GENERAL!$AI$2,CONCATENATE(OBSERVACIONES!G164,"
ESTADO DE POSTVENTAS:  ",GENERAL!H165))</f>
        <v>NO ENTREGADO
ESTADO DE POSTVENTAS:  TIENE POSTVENTA</v>
      </c>
      <c r="H164" s="51" t="str">
        <f>+IF(GENERAL!I165=GENERAL!$AI$2,GENERAL!$AI$2,CONCATENATE(OBSERVACIONES!H164,"
ESTADO DE POSTVENTAS:  ",GENERAL!I165))</f>
        <v>OK
ESTADO DE POSTVENTAS:  POSTVENTA CORREGIDA</v>
      </c>
      <c r="I164" s="51" t="str">
        <f>+IF(GENERAL!J165=GENERAL!$AI$2,GENERAL!$AI$2,CONCATENATE(OBSERVACIONES!I164,"
ESTADO DE POSTVENTAS:  ",GENERAL!J165))</f>
        <v>OK
ESTADO DE POSTVENTAS:  POSTVENTA CORREGIDA</v>
      </c>
      <c r="J164" s="51" t="str">
        <f>+IF(GENERAL!K165=GENERAL!$AI$2,GENERAL!$AI$2,CONCATENATE(OBSERVACIONES!J164,"
ESTADO DE POSTVENTAS:  ",GENERAL!K165))</f>
        <v>OK
ESTADO DE POSTVENTAS:  POSTVENTA CORREGIDA</v>
      </c>
      <c r="K164" s="51" t="str">
        <f>+IF(GENERAL!L165=GENERAL!$AI$2,GENERAL!$AI$2,CONCATENATE(OBSERVACIONES!K164,"
ESTADO DE POSTVENTAS:  ",GENERAL!L165))</f>
        <v>OK
ESTADO DE POSTVENTAS:  POSTVENTA CORREGIDA</v>
      </c>
      <c r="L164" s="51" t="str">
        <f>+IF(GENERAL!M165=GENERAL!$AI$2,GENERAL!$AI$2,CONCATENATE(OBSERVACIONES!L164,"
ESTADO DE POSTVENTAS:  ",GENERAL!M165))</f>
        <v>OK
ESTADO DE POSTVENTAS:  POSTVENTA CORREGIDA</v>
      </c>
      <c r="M164" s="70" t="str">
        <f>+IF(GENERAL!N165=GENERAL!$AI$2,GENERAL!$AI$2,CONCATENATE(OBSERVACIONES!M164,"
ESTADO DE POSTVENTAS:  ",GENERAL!N165))</f>
        <v>OK
ESTADO DE POSTVENTAS:  POSTVENTA CORREGIDA</v>
      </c>
      <c r="N164" s="51" t="str">
        <f>+IF(GENERAL!O165=GENERAL!$AI$2,GENERAL!$AI$2,CONCATENATE(OBSERVACIONES!N164,"
ESTADO DE POSTVENTAS:  ",GENERAL!O165))</f>
        <v>OK
ESTADO DE POSTVENTAS:  POSTVENTA CORREGIDA</v>
      </c>
      <c r="O164" s="51" t="str">
        <f>+IF(GENERAL!P165=GENERAL!$AI$2,GENERAL!$AI$2,CONCATENATE(OBSERVACIONES!O164,"
ESTADO DE POSTVENTAS:  ",GENERAL!P165))</f>
        <v>OK
ESTADO DE POSTVENTAS:  POSTVENTA CORREGIDA</v>
      </c>
      <c r="P164" s="70" t="str">
        <f>+IF(GENERAL!Q165=GENERAL!$AI$2,GENERAL!$AI$2,CONCATENATE(OBSERVACIONES!P164,"
ESTADO DE POSTVENTAS:  ",GENERAL!Q165))</f>
        <v>OK
ESTADO DE POSTVENTAS:  POSTVENTA CORREGIDA</v>
      </c>
      <c r="Q164" s="70" t="str">
        <f>+IF(GENERAL!R165=GENERAL!$AI$2,GENERAL!$AI$2,CONCATENATE(OBSERVACIONES!Q164,"
ESTADO DE POSTVENTAS:  ",GENERAL!R165))</f>
        <v>OK
ESTADO DE POSTVENTAS:  POSTVENTA CORREGIDA</v>
      </c>
      <c r="R164" s="51" t="str">
        <f>+IF(GENERAL!S165=GENERAL!$AI$2,GENERAL!$AI$2,CONCATENATE(OBSERVACIONES!R164,"
ESTADO DE POSTVENTAS:  ",GENERAL!S165))</f>
        <v>OK
ESTADO DE POSTVENTAS:  POSTVENTA CORREGIDA</v>
      </c>
      <c r="S164" s="51" t="str">
        <f>+IF(GENERAL!T165=GENERAL!$AI$2,GENERAL!$AI$2,CONCATENATE(OBSERVACIONES!S164,"
ESTADO DE POSTVENTAS:  ",GENERAL!T165))</f>
        <v>OK
ESTADO DE POSTVENTAS:  POSTVENTA CORREGIDA</v>
      </c>
      <c r="T164" s="51" t="str">
        <f>+IF(GENERAL!U165=GENERAL!$AI$2,GENERAL!$AI$2,CONCATENATE(OBSERVACIONES!T164,"
ESTADO DE POSTVENTAS:  ",GENERAL!U165))</f>
        <v>OK
ESTADO DE POSTVENTAS:  POSTVENTA CORREGIDA</v>
      </c>
      <c r="U164" s="51" t="str">
        <f>+IF(GENERAL!V165=GENERAL!$AI$2,GENERAL!$AI$2,CONCATENATE(OBSERVACIONES!U164,"
ESTADO DE POSTVENTAS:  ",GENERAL!V165))</f>
        <v>OK
ESTADO DE POSTVENTAS:  POSTVENTA CORREGIDA</v>
      </c>
      <c r="V164" s="51" t="str">
        <f>+IF(GENERAL!W165=GENERAL!$AI$2,GENERAL!$AI$2,CONCATENATE(OBSERVACIONES!V164,"
ESTADO DE POSTVENTAS:  ",GENERAL!W165))</f>
        <v>OK
ESTADO DE POSTVENTAS:  POSTVENTA CORREGIDA</v>
      </c>
      <c r="W164" s="51" t="str">
        <f>+IF(GENERAL!V165=GENERAL!$AI$2,GENERAL!$AI$2,CONCATENATE(OBSERVACIONES!W164,"
ESTADO DE POSTVENTAS:  ",GENERAL!V165))</f>
        <v>OK
ESTADO DE POSTVENTAS:  POSTVENTA CORREGIDA</v>
      </c>
      <c r="X164" s="51" t="str">
        <f>+IF(GENERAL!W165=GENERAL!$AI$2,GENERAL!$AI$2,CONCATENATE(OBSERVACIONES!X164,"
ESTADO DE POSTVENTAS:  ",GENERAL!W165))</f>
        <v>OK
ESTADO DE POSTVENTAS:  POSTVENTA CORREGIDA</v>
      </c>
      <c r="Y164" s="51" t="str">
        <f>+IF(GENERAL!Z165=GENERAL!$AI$2,GENERAL!$AI$2,CONCATENATE(OBSERVACIONES!Y164,"
ESTADO DE POSTVENTAS:  ",GENERAL!Z165))</f>
        <v>OK
ESTADO DE POSTVENTAS:  POSTVENTA CORREGIDA</v>
      </c>
      <c r="Z164" s="51" t="str">
        <f>+IF(GENERAL!AA165=GENERAL!$AI$2,GENERAL!$AI$2,CONCATENATE(OBSERVACIONES!Z164,"
ESTADO DE POSTVENTAS:  ",GENERAL!AA165))</f>
        <v>OK
ESTADO DE POSTVENTAS:  POSTVENTA CORREGIDA</v>
      </c>
      <c r="AA164" s="51" t="str">
        <f>+IF(GENERAL!AB165=GENERAL!$AI$2,GENERAL!$AI$2,CONCATENATE(OBSERVACIONES!AA164,"
ESTADO DE POSTVENTAS:  ",GENERAL!AB165))</f>
        <v>OK
ESTADO DE POSTVENTAS:  POSTVENTA CORREGIDA</v>
      </c>
      <c r="AB164" s="70" t="str">
        <f>+IF(GENERAL!AC165=GENERAL!$AI$2,GENERAL!$AI$2,CONCATENATE(OBSERVACIONES!AB164,"
ESTADO DE POSTVENTAS:  ",GENERAL!AC165))</f>
        <v>OK
ESTADO DE POSTVENTAS:  POSTVENTA CORREGIDA</v>
      </c>
      <c r="AC164" s="51" t="str">
        <f>+IF(GENERAL!AD165=GENERAL!$AI$2,GENERAL!$AI$2,CONCATENATE(OBSERVACIONES!AC164,"
ESTADO DE POSTVENTAS:  ",GENERAL!AD165))</f>
        <v>OK
ESTADO DE POSTVENTAS:  POSTVENTA CORREGIDA</v>
      </c>
      <c r="AD164" s="51" t="str">
        <f>+IF(GENERAL!AE165=GENERAL!$AI$2,GENERAL!$AI$2,CONCATENATE(OBSERVACIONES!AD164,"
ESTADO DE POSTVENTAS:  ",GENERAL!AE165))</f>
        <v>OK
ESTADO DE POSTVENTAS:  POSTVENTA CORREGIDA</v>
      </c>
      <c r="AE164" s="51" t="str">
        <f>+IF(GENERAL!AF165=GENERAL!$AI$2,GENERAL!$AI$2,CONCATENATE(OBSERVACIONES!AE164,"
ESTADO DE POSTVENTAS:  ",GENERAL!AF165))</f>
        <v>OK
ESTADO DE POSTVENTAS:  POSTVENTA CORREGIDA</v>
      </c>
      <c r="AF164" s="51" t="str">
        <f>+IF(GENERAL!AG165=GENERAL!$AI$2,GENERAL!$AI$2,CONCATENATE(OBSERVACIONES!AF164,"
ESTADO DE POSTVENTAS:  ",GENERAL!AG165))</f>
        <v>OK
ESTADO DE POSTVENTAS:  POSTVENTA CORREGIDA</v>
      </c>
      <c r="AG164" s="51" t="str">
        <f>+IF(GENERAL!AH165=GENERAL!$AI$2,GENERAL!$AI$2,CONCATENATE(OBSERVACIONES!AG164,"
ESTADO DE POSTVENTAS:  ",GENERAL!AH165))</f>
        <v>OK
ESTADO DE POSTVENTAS:  POSTVENTA CORREGIDA</v>
      </c>
      <c r="AH164" s="51" t="str">
        <f>+IF(GENERAL!AI165=GENERAL!$AI$2,GENERAL!$AI$2,CONCATENATE(OBSERVACIONES!AH164,"
ESTADO DE POSTVENTAS:  ",GENERAL!AI165))</f>
        <v>OK
ESTADO DE POSTVENTAS:  POSTVENTA CORREGIDA</v>
      </c>
      <c r="AI164" s="51" t="str">
        <f>+IF(GENERAL!AG165=GENERAL!$AI$2,GENERAL!$AI$2,CONCATENATE(OBSERVACIONES!AF164,"
ESTADO DE POSTVENTAS:  ",GENERAL!AG165))</f>
        <v>OK
ESTADO DE POSTVENTAS:  POSTVENTA CORREGIDA</v>
      </c>
      <c r="AJ164" s="51" t="str">
        <f>+IF(GENERAL!AI165=GENERAL!$AI$2,GENERAL!$AI$2,CONCATENATE(OBSERVACIONES!AH164,"
ESTADO DE POSTVENTAS:  ",GENERAL!AI165))</f>
        <v>OK
ESTADO DE POSTVENTAS:  POSTVENTA CORREGIDA</v>
      </c>
      <c r="AK164" s="51" t="str">
        <f>+IF(GENERAL!AJ165=GENERAL!$AI$2,GENERAL!$AI$2,CONCATENATE(OBSERVACIONES!AI164,"
ESTADO DE POSTVENTAS:  ",GENERAL!AJ165))</f>
        <v>OK
ESTADO DE POSTVENTAS:  POSTVENTA CORREGIDA</v>
      </c>
      <c r="AL164" s="51" t="str">
        <f>+IF(GENERAL!AK165=GENERAL!$AI$2,GENERAL!$AI$2,CONCATENATE(OBSERVACIONES!AJ164,"
ESTADO DE POSTVENTAS:  ",GENERAL!AK165))</f>
        <v>OK
ESTADO DE POSTVENTAS:  POSTVENTA CORREGIDA</v>
      </c>
      <c r="AM164" s="51" t="str">
        <f>+IF(GENERAL!AN165=GENERAL!$AI$2,GENERAL!$AI$2,CONCATENATE(OBSERVACIONES!AM164,"
ESTADO DE POSTVENTAS:  ",GENERAL!AN165))</f>
        <v>OK
ESTADO DE POSTVENTAS:  POSTVENTA CORREGIDA</v>
      </c>
      <c r="AN164" s="37">
        <v>5</v>
      </c>
      <c r="AO164" s="37">
        <v>6</v>
      </c>
      <c r="AP164" s="37">
        <v>3</v>
      </c>
      <c r="AQ164" s="37">
        <v>2</v>
      </c>
      <c r="AR164" s="43">
        <v>12</v>
      </c>
      <c r="AS164" s="40">
        <v>12</v>
      </c>
      <c r="AT164" s="37">
        <f>COUNTIFS($D$5:$AM$5,"&lt;&gt;"&amp;CODICIONALES!$A$1,$D$5:$AM$5,"&lt;&gt;"&amp;CODICIONALES!$A$2,$D$5:$AM$5,"&lt;&gt;"&amp;CODICIONALES!$B$2,$D$5:$AM$5,"&lt;&gt;"&amp;CODICIONALES!$C$2)</f>
        <v>6</v>
      </c>
      <c r="AU164" s="43">
        <f>COUNTIFS(D164:AM164,CODICIONALES!$A$2)</f>
        <v>34</v>
      </c>
      <c r="AV164" s="40">
        <f t="shared" si="2"/>
        <v>-4</v>
      </c>
    </row>
    <row r="165" spans="1:49" ht="51" customHeight="1" x14ac:dyDescent="0.25">
      <c r="A165" s="110"/>
      <c r="B165" s="2">
        <v>161</v>
      </c>
      <c r="C165" s="21" t="s">
        <v>62</v>
      </c>
      <c r="D165" s="51" t="str">
        <f>+IF(GENERAL!E166=GENERAL!$AI$2,GENERAL!$AI$2,CONCATENATE(OBSERVACIONES!D165,"
ESTADO DE POSTVENTAS:  ",GENERAL!E166))</f>
        <v>NO ENTREGADO
ESTADO DE POSTVENTAS:  TIENE POSTVENTA</v>
      </c>
      <c r="E165" s="51" t="str">
        <f>+IF(GENERAL!F166=GENERAL!$AI$2,GENERAL!$AI$2,CONCATENATE(OBSERVACIONES!E165,"
ESTADO DE POSTVENTAS:  ",GENERAL!F166))</f>
        <v>OK
ESTADO DE POSTVENTAS:  POSTVENTA CORREGIDA</v>
      </c>
      <c r="F165" s="51" t="str">
        <f>+IF(GENERAL!G166=GENERAL!$AI$2,GENERAL!$AI$2,CONCATENATE(OBSERVACIONES!F165,"
ESTADO DE POSTVENTAS:  ",GENERAL!G166))</f>
        <v>OK
ESTADO DE POSTVENTAS:  POSTVENTA CORREGIDA</v>
      </c>
      <c r="G165" s="70" t="str">
        <f>+IF(GENERAL!H166=GENERAL!$AI$2,GENERAL!$AI$2,CONCATENATE(OBSERVACIONES!G165,"
ESTADO DE POSTVENTAS:  ",GENERAL!H166))</f>
        <v>DETALLE FILTRACION
ESTADO DE POSTVENTAS:  TIENE POSTVENTA</v>
      </c>
      <c r="H165" s="70" t="str">
        <f>+IF(GENERAL!I166=GENERAL!$AI$2,GENERAL!$AI$2,CONCATENATE(OBSERVACIONES!H165,"
ESTADO DE POSTVENTAS:  ",GENERAL!I166))</f>
        <v>OK
ESTADO DE POSTVENTAS:  POSTVENTA CORREGIDA</v>
      </c>
      <c r="I165" s="51" t="str">
        <f>+IF(GENERAL!J166=GENERAL!$AI$2,GENERAL!$AI$2,CONCATENATE(OBSERVACIONES!I165,"
ESTADO DE POSTVENTAS:  ",GENERAL!J166))</f>
        <v>OK
ESTADO DE POSTVENTAS:  POSTVENTA CORREGIDA</v>
      </c>
      <c r="J165" s="70" t="str">
        <f>+IF(GENERAL!K166=GENERAL!$AI$2,GENERAL!$AI$2,CONCATENATE(OBSERVACIONES!J165,"
ESTADO DE POSTVENTAS:  ",GENERAL!K166))</f>
        <v>OK
ESTADO DE POSTVENTAS:  POSTVENTA CORREGIDA</v>
      </c>
      <c r="K165" s="51" t="str">
        <f>+IF(GENERAL!L166=GENERAL!$AI$2,GENERAL!$AI$2,CONCATENATE(OBSERVACIONES!K165,"
ESTADO DE POSTVENTAS:  ",GENERAL!L166))</f>
        <v>OK
ESTADO DE POSTVENTAS:  POSTVENTA CORREGIDA</v>
      </c>
      <c r="L165" s="51" t="str">
        <f>+IF(GENERAL!M166=GENERAL!$AI$2,GENERAL!$AI$2,CONCATENATE(OBSERVACIONES!L165,"
ESTADO DE POSTVENTAS:  ",GENERAL!M166))</f>
        <v>OK
ESTADO DE POSTVENTAS:  POSTVENTA CORREGIDA</v>
      </c>
      <c r="M165" s="70" t="str">
        <f>+IF(GENERAL!N166=GENERAL!$AI$2,GENERAL!$AI$2,CONCATENATE(OBSERVACIONES!M165,"
ESTADO DE POSTVENTAS:  ",GENERAL!N166))</f>
        <v>OK
ESTADO DE POSTVENTAS:  POSTVENTA CORREGIDA</v>
      </c>
      <c r="N165" s="51" t="str">
        <f>+IF(GENERAL!O166=GENERAL!$AI$2,GENERAL!$AI$2,CONCATENATE(OBSERVACIONES!N165,"
ESTADO DE POSTVENTAS:  ",GENERAL!O166))</f>
        <v>OK
ESTADO DE POSTVENTAS:  POSTVENTA CORREGIDA</v>
      </c>
      <c r="O165" s="51" t="str">
        <f>+IF(GENERAL!P166=GENERAL!$AI$2,GENERAL!$AI$2,CONCATENATE(OBSERVACIONES!O165,"
ESTADO DE POSTVENTAS:  ",GENERAL!P166))</f>
        <v>OK
ESTADO DE POSTVENTAS:  POSTVENTA CORREGIDA</v>
      </c>
      <c r="P165" s="70" t="str">
        <f>+IF(GENERAL!Q166=GENERAL!$AI$2,GENERAL!$AI$2,CONCATENATE(OBSERVACIONES!P165,"
ESTADO DE POSTVENTAS:  ",GENERAL!Q166))</f>
        <v>OK
ESTADO DE POSTVENTAS:  POSTVENTA CORREGIDA</v>
      </c>
      <c r="Q165" s="70" t="str">
        <f>+IF(GENERAL!R166=GENERAL!$AI$2,GENERAL!$AI$2,CONCATENATE(OBSERVACIONES!Q165,"
ESTADO DE POSTVENTAS:  ",GENERAL!R166))</f>
        <v>OK
ESTADO DE POSTVENTAS:  POSTVENTA CORREGIDA</v>
      </c>
      <c r="R165" s="51" t="str">
        <f>+IF(GENERAL!S166=GENERAL!$AI$2,GENERAL!$AI$2,CONCATENATE(OBSERVACIONES!R165,"
ESTADO DE POSTVENTAS:  ",GENERAL!S166))</f>
        <v>OK
ESTADO DE POSTVENTAS:  POSTVENTA CORREGIDA</v>
      </c>
      <c r="S165" s="51" t="str">
        <f>+IF(GENERAL!T166=GENERAL!$AI$2,GENERAL!$AI$2,CONCATENATE(OBSERVACIONES!S165,"
ESTADO DE POSTVENTAS:  ",GENERAL!T166))</f>
        <v>OK
ESTADO DE POSTVENTAS:  POSTVENTA CORREGIDA</v>
      </c>
      <c r="T165" s="51" t="str">
        <f>+IF(GENERAL!U166=GENERAL!$AI$2,GENERAL!$AI$2,CONCATENATE(OBSERVACIONES!T165,"
ESTADO DE POSTVENTAS:  ",GENERAL!U166))</f>
        <v>DETALLE HUMEDAD
ESTADO DE POSTVENTAS:  TIENE POSTVENTA</v>
      </c>
      <c r="U165" s="51" t="str">
        <f>+IF(GENERAL!V166=GENERAL!$AI$2,GENERAL!$AI$2,CONCATENATE(OBSERVACIONES!U165,"
ESTADO DE POSTVENTAS:  ",GENERAL!V166))</f>
        <v>OK
ESTADO DE POSTVENTAS:  POSTVENTA CORREGIDA</v>
      </c>
      <c r="V165" s="51" t="str">
        <f>+IF(GENERAL!W166=GENERAL!$AI$2,GENERAL!$AI$2,CONCATENATE(OBSERVACIONES!V165,"
ESTADO DE POSTVENTAS:  ",GENERAL!W166))</f>
        <v>OK
ESTADO DE POSTVENTAS:  POSTVENTA CORREGIDA</v>
      </c>
      <c r="W165" s="51" t="str">
        <f>+IF(GENERAL!V166=GENERAL!$AI$2,GENERAL!$AI$2,CONCATENATE(OBSERVACIONES!W165,"
ESTADO DE POSTVENTAS:  ",GENERAL!V166))</f>
        <v>OK
ESTADO DE POSTVENTAS:  POSTVENTA CORREGIDA</v>
      </c>
      <c r="X165" s="51" t="str">
        <f>+IF(GENERAL!W166=GENERAL!$AI$2,GENERAL!$AI$2,CONCATENATE(OBSERVACIONES!X165,"
ESTADO DE POSTVENTAS:  ",GENERAL!W166))</f>
        <v>OK
ESTADO DE POSTVENTAS:  POSTVENTA CORREGIDA</v>
      </c>
      <c r="Y165" s="51" t="str">
        <f>+IF(GENERAL!Z166=GENERAL!$AI$2,GENERAL!$AI$2,CONCATENATE(OBSERVACIONES!Y165,"
ESTADO DE POSTVENTAS:  ",GENERAL!Z166))</f>
        <v>OK
ESTADO DE POSTVENTAS:  POSTVENTA CORREGIDA</v>
      </c>
      <c r="Z165" s="51" t="str">
        <f>+IF(GENERAL!AA166=GENERAL!$AI$2,GENERAL!$AI$2,CONCATENATE(OBSERVACIONES!Z165,"
ESTADO DE POSTVENTAS:  ",GENERAL!AA166))</f>
        <v>OK
ESTADO DE POSTVENTAS:  POSTVENTA CORREGIDA</v>
      </c>
      <c r="AA165" s="51" t="str">
        <f>+IF(GENERAL!AB166=GENERAL!$AI$2,GENERAL!$AI$2,CONCATENATE(OBSERVACIONES!AA165,"
ESTADO DE POSTVENTAS:  ",GENERAL!AB166))</f>
        <v>OK
ESTADO DE POSTVENTAS:  POSTVENTA CORREGIDA</v>
      </c>
      <c r="AB165" s="51" t="str">
        <f>+IF(GENERAL!AC166=GENERAL!$AI$2,GENERAL!$AI$2,CONCATENATE(OBSERVACIONES!AB165,"
ESTADO DE POSTVENTAS:  ",GENERAL!AC166))</f>
        <v>OK
ESTADO DE POSTVENTAS:  POSTVENTA CORREGIDA</v>
      </c>
      <c r="AC165" s="51" t="str">
        <f>+IF(GENERAL!AD166=GENERAL!$AI$2,GENERAL!$AI$2,CONCATENATE(OBSERVACIONES!AC165,"
ESTADO DE POSTVENTAS:  ",GENERAL!AD166))</f>
        <v>OK
ESTADO DE POSTVENTAS:  POSTVENTA CORREGIDA</v>
      </c>
      <c r="AD165" s="51" t="str">
        <f>+IF(GENERAL!AE166=GENERAL!$AI$2,GENERAL!$AI$2,CONCATENATE(OBSERVACIONES!AD165,"
ESTADO DE POSTVENTAS:  ",GENERAL!AE166))</f>
        <v>OK
ESTADO DE POSTVENTAS:  POSTVENTA CORREGIDA</v>
      </c>
      <c r="AE165" s="51" t="str">
        <f>+IF(GENERAL!AF166=GENERAL!$AI$2,GENERAL!$AI$2,CONCATENATE(OBSERVACIONES!AE165,"
ESTADO DE POSTVENTAS:  ",GENERAL!AF166))</f>
        <v>OK
ESTADO DE POSTVENTAS:  POSTVENTA CORREGIDA</v>
      </c>
      <c r="AF165" s="51" t="str">
        <f>+IF(GENERAL!AG166=GENERAL!$AI$2,GENERAL!$AI$2,CONCATENATE(OBSERVACIONES!AF165,"
ESTADO DE POSTVENTAS:  ",GENERAL!AG166))</f>
        <v>OK
ESTADO DE POSTVENTAS:  POSTVENTA CORREGIDA</v>
      </c>
      <c r="AG165" s="51" t="str">
        <f>+IF(GENERAL!AH166=GENERAL!$AI$2,GENERAL!$AI$2,CONCATENATE(OBSERVACIONES!AG165,"
ESTADO DE POSTVENTAS:  ",GENERAL!AH166))</f>
        <v>OK
ESTADO DE POSTVENTAS:  POSTVENTA CORREGIDA</v>
      </c>
      <c r="AH165" s="51" t="str">
        <f>+IF(GENERAL!AI166=GENERAL!$AI$2,GENERAL!$AI$2,CONCATENATE(OBSERVACIONES!AH165,"
ESTADO DE POSTVENTAS:  ",GENERAL!AI166))</f>
        <v>OK
ESTADO DE POSTVENTAS:  POSTVENTA CORREGIDA</v>
      </c>
      <c r="AI165" s="51" t="str">
        <f>+IF(GENERAL!AG166=GENERAL!$AI$2,GENERAL!$AI$2,CONCATENATE(OBSERVACIONES!AF165,"
ESTADO DE POSTVENTAS:  ",GENERAL!AG166))</f>
        <v>OK
ESTADO DE POSTVENTAS:  POSTVENTA CORREGIDA</v>
      </c>
      <c r="AJ165" s="51" t="str">
        <f>+IF(GENERAL!AI166=GENERAL!$AI$2,GENERAL!$AI$2,CONCATENATE(OBSERVACIONES!AH165,"
ESTADO DE POSTVENTAS:  ",GENERAL!AI166))</f>
        <v>OK
ESTADO DE POSTVENTAS:  POSTVENTA CORREGIDA</v>
      </c>
      <c r="AK165" s="51" t="str">
        <f>+IF(GENERAL!AJ166=GENERAL!$AI$2,GENERAL!$AI$2,CONCATENATE(OBSERVACIONES!AI165,"
ESTADO DE POSTVENTAS:  ",GENERAL!AJ166))</f>
        <v>OK
ESTADO DE POSTVENTAS:  POSTVENTA CORREGIDA</v>
      </c>
      <c r="AL165" s="51" t="str">
        <f>+IF(GENERAL!AK166=GENERAL!$AI$2,GENERAL!$AI$2,CONCATENATE(OBSERVACIONES!AJ165,"
ESTADO DE POSTVENTAS:  ",GENERAL!AK166))</f>
        <v>OK
ESTADO DE POSTVENTAS:  POSTVENTA CORREGIDA</v>
      </c>
      <c r="AM165" s="51" t="str">
        <f>+IF(GENERAL!AN166=GENERAL!$AI$2,GENERAL!$AI$2,CONCATENATE(OBSERVACIONES!AM165,"
ESTADO DE POSTVENTAS:  ",GENERAL!AN166))</f>
        <v>OK
ESTADO DE POSTVENTAS:  POSTVENTA CORREGIDA</v>
      </c>
      <c r="AN165" s="37">
        <v>1</v>
      </c>
      <c r="AO165" s="37">
        <v>10</v>
      </c>
      <c r="AP165" s="37">
        <v>3</v>
      </c>
      <c r="AQ165" s="37">
        <v>6</v>
      </c>
      <c r="AR165" s="43">
        <v>13</v>
      </c>
      <c r="AS165" s="40">
        <v>7</v>
      </c>
      <c r="AT165" s="37">
        <f>COUNTIFS($D$5:$AM$5,"&lt;&gt;"&amp;CODICIONALES!$A$1,$D$5:$AM$5,"&lt;&gt;"&amp;CODICIONALES!$A$2,$D$5:$AM$5,"&lt;&gt;"&amp;CODICIONALES!$B$2,$D$5:$AM$5,"&lt;&gt;"&amp;CODICIONALES!$C$2)</f>
        <v>6</v>
      </c>
      <c r="AU165" s="43">
        <f>COUNTIFS(D165:AM165,CODICIONALES!$A$2)</f>
        <v>33</v>
      </c>
      <c r="AV165" s="40">
        <f t="shared" si="2"/>
        <v>-3</v>
      </c>
    </row>
    <row r="166" spans="1:49" ht="51" customHeight="1" x14ac:dyDescent="0.25">
      <c r="A166" s="111"/>
      <c r="B166" s="2">
        <v>162</v>
      </c>
      <c r="C166" s="22" t="s">
        <v>64</v>
      </c>
      <c r="D166" s="51" t="str">
        <f>+IF(GENERAL!E167=GENERAL!$AI$2,GENERAL!$AI$2,CONCATENATE(OBSERVACIONES!D166,"
ESTADO DE POSTVENTAS:  ",GENERAL!E167))</f>
        <v>NO ENTREGADO
ESTADO DE POSTVENTAS:  TIENE POSTVENTA</v>
      </c>
      <c r="E166" s="51" t="str">
        <f>+IF(GENERAL!F167=GENERAL!$AI$2,GENERAL!$AI$2,CONCATENATE(OBSERVACIONES!E166,"
ESTADO DE POSTVENTAS:  ",GENERAL!F167))</f>
        <v>OK
ESTADO DE POSTVENTAS:  POSTVENTA CORREGIDA</v>
      </c>
      <c r="F166" s="51" t="str">
        <f>+IF(GENERAL!G167=GENERAL!$AI$2,GENERAL!$AI$2,CONCATENATE(OBSERVACIONES!F166,"
ESTADO DE POSTVENTAS:  ",GENERAL!G167))</f>
        <v>OK
ESTADO DE POSTVENTAS:  POSTVENTA CORREGIDA</v>
      </c>
      <c r="G166" s="51" t="str">
        <f>+IF(GENERAL!H167=GENERAL!$AI$2,GENERAL!$AI$2,CONCATENATE(OBSERVACIONES!G166,"
ESTADO DE POSTVENTAS:  ",GENERAL!H167))</f>
        <v>NO ENTREGADO
ESTADO DE POSTVENTAS:  TIENE POSTVENTA</v>
      </c>
      <c r="H166" s="51" t="str">
        <f>+IF(GENERAL!I167=GENERAL!$AI$2,GENERAL!$AI$2,CONCATENATE(OBSERVACIONES!H166,"
ESTADO DE POSTVENTAS:  ",GENERAL!I167))</f>
        <v>OK
ESTADO DE POSTVENTAS:  POSTVENTA CORREGIDA</v>
      </c>
      <c r="I166" s="51" t="str">
        <f>+IF(GENERAL!J167=GENERAL!$AI$2,GENERAL!$AI$2,CONCATENATE(OBSERVACIONES!I166,"
ESTADO DE POSTVENTAS:  ",GENERAL!J167))</f>
        <v>OK
ESTADO DE POSTVENTAS:  POSTVENTA CORREGIDA</v>
      </c>
      <c r="J166" s="51" t="str">
        <f>+IF(GENERAL!K167=GENERAL!$AI$2,GENERAL!$AI$2,CONCATENATE(OBSERVACIONES!J166,"
ESTADO DE POSTVENTAS:  ",GENERAL!K167))</f>
        <v>OK
ESTADO DE POSTVENTAS:  POSTVENTA CORREGIDA</v>
      </c>
      <c r="K166" s="51" t="str">
        <f>+IF(GENERAL!L167=GENERAL!$AI$2,GENERAL!$AI$2,CONCATENATE(OBSERVACIONES!K166,"
ESTADO DE POSTVENTAS:  ",GENERAL!L167))</f>
        <v>OK
ESTADO DE POSTVENTAS:  POSTVENTA CORREGIDA</v>
      </c>
      <c r="L166" s="51" t="str">
        <f>+IF(GENERAL!M167=GENERAL!$AI$2,GENERAL!$AI$2,CONCATENATE(OBSERVACIONES!L166,"
ESTADO DE POSTVENTAS:  ",GENERAL!M167))</f>
        <v>OK
ESTADO DE POSTVENTAS:  POSTVENTA CORREGIDA</v>
      </c>
      <c r="M166" s="70" t="str">
        <f>+IF(GENERAL!N167=GENERAL!$AI$2,GENERAL!$AI$2,CONCATENATE(OBSERVACIONES!M166,"
ESTADO DE POSTVENTAS:  ",GENERAL!N167))</f>
        <v>OK
ESTADO DE POSTVENTAS:  POSTVENTA CORREGIDA</v>
      </c>
      <c r="N166" s="51" t="str">
        <f>+IF(GENERAL!O167=GENERAL!$AI$2,GENERAL!$AI$2,CONCATENATE(OBSERVACIONES!N166,"
ESTADO DE POSTVENTAS:  ",GENERAL!O167))</f>
        <v>OK
ESTADO DE POSTVENTAS:  POSTVENTA CORREGIDA</v>
      </c>
      <c r="O166" s="70" t="str">
        <f>+IF(GENERAL!P167=GENERAL!$AI$2,GENERAL!$AI$2,CONCATENATE(OBSERVACIONES!O166,"
ESTADO DE POSTVENTAS:  ",GENERAL!P167))</f>
        <v>DETALLE ACABADO
ESTADO DE POSTVENTAS:  TIENE POSTVENTA</v>
      </c>
      <c r="P166" s="70" t="str">
        <f>+IF(GENERAL!Q167=GENERAL!$AI$2,GENERAL!$AI$2,CONCATENATE(OBSERVACIONES!P166,"
ESTADO DE POSTVENTAS:  ",GENERAL!Q167))</f>
        <v>OK
ESTADO DE POSTVENTAS:  POSTVENTA CORREGIDA</v>
      </c>
      <c r="Q166" s="70" t="str">
        <f>+IF(GENERAL!R167=GENERAL!$AI$2,GENERAL!$AI$2,CONCATENATE(OBSERVACIONES!Q166,"
ESTADO DE POSTVENTAS:  ",GENERAL!R167))</f>
        <v>OK
ESTADO DE POSTVENTAS:  POSTVENTA CORREGIDA</v>
      </c>
      <c r="R166" s="51" t="str">
        <f>+IF(GENERAL!S167=GENERAL!$AI$2,GENERAL!$AI$2,CONCATENATE(OBSERVACIONES!R166,"
ESTADO DE POSTVENTAS:  ",GENERAL!S167))</f>
        <v>OK
ESTADO DE POSTVENTAS:  POSTVENTA CORREGIDA</v>
      </c>
      <c r="S166" s="51" t="str">
        <f>+IF(GENERAL!T167=GENERAL!$AI$2,GENERAL!$AI$2,CONCATENATE(OBSERVACIONES!S166,"
ESTADO DE POSTVENTAS:  ",GENERAL!T167))</f>
        <v>DETALLE HUMEDAD
ESTADO DE POSTVENTAS:  TIENE POSTVENTA</v>
      </c>
      <c r="T166" s="70" t="str">
        <f>+IF(GENERAL!U167=GENERAL!$AI$2,GENERAL!$AI$2,CONCATENATE(OBSERVACIONES!T166,"
ESTADO DE POSTVENTAS:  ",GENERAL!U167))</f>
        <v>DETALLE HUMEDAD
ESTADO DE POSTVENTAS:  TIENE POSTVENTA</v>
      </c>
      <c r="U166" s="70" t="str">
        <f>+IF(GENERAL!V167=GENERAL!$AI$2,GENERAL!$AI$2,CONCATENATE(OBSERVACIONES!U166,"
ESTADO DE POSTVENTAS:  ",GENERAL!V167))</f>
        <v>DETALLE PINTURA Y ESTUCO
ESTADO DE POSTVENTAS:  TIENE POSTVENTA</v>
      </c>
      <c r="V166" s="51" t="str">
        <f>+IF(GENERAL!W167=GENERAL!$AI$2,GENERAL!$AI$2,CONCATENATE(OBSERVACIONES!V166,"
ESTADO DE POSTVENTAS:  ",GENERAL!W167))</f>
        <v>OK
ESTADO DE POSTVENTAS:  POSTVENTA CORREGIDA</v>
      </c>
      <c r="W166" s="70" t="str">
        <f>+IF(GENERAL!V167=GENERAL!$AI$2,GENERAL!$AI$2,CONCATENATE(OBSERVACIONES!W166,"
ESTADO DE POSTVENTAS:  ",GENERAL!V167))</f>
        <v>OK
ESTADO DE POSTVENTAS:  TIENE POSTVENTA</v>
      </c>
      <c r="X166" s="51" t="str">
        <f>+IF(GENERAL!W167=GENERAL!$AI$2,GENERAL!$AI$2,CONCATENATE(OBSERVACIONES!X166,"
ESTADO DE POSTVENTAS:  ",GENERAL!W167))</f>
        <v>OK
ESTADO DE POSTVENTAS:  POSTVENTA CORREGIDA</v>
      </c>
      <c r="Y166" s="51" t="str">
        <f>+IF(GENERAL!Z167=GENERAL!$AI$2,GENERAL!$AI$2,CONCATENATE(OBSERVACIONES!Y166,"
ESTADO DE POSTVENTAS:  ",GENERAL!Z167))</f>
        <v>DETALLE PINTURA
ESTADO DE POSTVENTAS:  TIENE POSTVENTA</v>
      </c>
      <c r="Z166" s="51" t="str">
        <f>+IF(GENERAL!AA167=GENERAL!$AI$2,GENERAL!$AI$2,CONCATENATE(OBSERVACIONES!Z166,"
ESTADO DE POSTVENTAS:  ",GENERAL!AA167))</f>
        <v>OK
ESTADO DE POSTVENTAS:  POSTVENTA CORREGIDA</v>
      </c>
      <c r="AA166" s="51" t="str">
        <f>+IF(GENERAL!AB167=GENERAL!$AI$2,GENERAL!$AI$2,CONCATENATE(OBSERVACIONES!AA166,"
ESTADO DE POSTVENTAS:  ",GENERAL!AB167))</f>
        <v>OK
ESTADO DE POSTVENTAS:  POSTVENTA CORREGIDA</v>
      </c>
      <c r="AB166" s="70" t="str">
        <f>+IF(GENERAL!AC167=GENERAL!$AI$2,GENERAL!$AI$2,CONCATENATE(OBSERVACIONES!AB166,"
ESTADO DE POSTVENTAS:  ",GENERAL!AC167))</f>
        <v>OK
ESTADO DE POSTVENTAS:  POSTVENTA CORREGIDA</v>
      </c>
      <c r="AC166" s="70" t="str">
        <f>+IF(GENERAL!AD167=GENERAL!$AI$2,GENERAL!$AI$2,CONCATENATE(OBSERVACIONES!AC166,"
ESTADO DE POSTVENTAS:  ",GENERAL!AD167))</f>
        <v>OK
ESTADO DE POSTVENTAS:  POSTVENTA CORREGIDA</v>
      </c>
      <c r="AD166" s="51" t="str">
        <f>+IF(GENERAL!AE167=GENERAL!$AI$2,GENERAL!$AI$2,CONCATENATE(OBSERVACIONES!AD166,"
ESTADO DE POSTVENTAS:  ",GENERAL!AE167))</f>
        <v>DETALLE PINTURA
ESTADO DE POSTVENTAS:  TIENE POSTVENTA</v>
      </c>
      <c r="AE166" s="70" t="str">
        <f>+IF(GENERAL!AF167=GENERAL!$AI$2,GENERAL!$AI$2,CONCATENATE(OBSERVACIONES!AE166,"
ESTADO DE POSTVENTAS:  ",GENERAL!AF167))</f>
        <v>DETALLE PINTURA
ESTADO DE POSTVENTAS:  TIENE POSTVENTA</v>
      </c>
      <c r="AF166" s="51" t="str">
        <f>+IF(GENERAL!AG167=GENERAL!$AI$2,GENERAL!$AI$2,CONCATENATE(OBSERVACIONES!AF166,"
ESTADO DE POSTVENTAS:  ",GENERAL!AG167))</f>
        <v>OK
ESTADO DE POSTVENTAS:  POSTVENTA CORREGIDA</v>
      </c>
      <c r="AG166" s="51" t="str">
        <f>+IF(GENERAL!AH167=GENERAL!$AI$2,GENERAL!$AI$2,CONCATENATE(OBSERVACIONES!AG166,"
ESTADO DE POSTVENTAS:  ",GENERAL!AH167))</f>
        <v>OK
ESTADO DE POSTVENTAS:  POSTVENTA CORREGIDA</v>
      </c>
      <c r="AH166" s="51" t="str">
        <f>+IF(GENERAL!AI167=GENERAL!$AI$2,GENERAL!$AI$2,CONCATENATE(OBSERVACIONES!AH166,"
ESTADO DE POSTVENTAS:  ",GENERAL!AI167))</f>
        <v>OK
ESTADO DE POSTVENTAS:  POSTVENTA CORREGIDA</v>
      </c>
      <c r="AI166" s="51" t="str">
        <f>+IF(GENERAL!AG167=GENERAL!$AI$2,GENERAL!$AI$2,CONCATENATE(OBSERVACIONES!AF166,"
ESTADO DE POSTVENTAS:  ",GENERAL!AG167))</f>
        <v>OK
ESTADO DE POSTVENTAS:  POSTVENTA CORREGIDA</v>
      </c>
      <c r="AJ166" s="51" t="str">
        <f>+IF(GENERAL!AI167=GENERAL!$AI$2,GENERAL!$AI$2,CONCATENATE(OBSERVACIONES!AH166,"
ESTADO DE POSTVENTAS:  ",GENERAL!AI167))</f>
        <v>OK
ESTADO DE POSTVENTAS:  POSTVENTA CORREGIDA</v>
      </c>
      <c r="AK166" s="70" t="str">
        <f>+IF(GENERAL!AJ167=GENERAL!$AI$2,GENERAL!$AI$2,CONCATENATE(OBSERVACIONES!AI166,"
ESTADO DE POSTVENTAS:  ",GENERAL!AJ167))</f>
        <v>DETALLE PINTURA
ESTADO DE POSTVENTAS:  TIENE POSTVENTA</v>
      </c>
      <c r="AL166" s="51" t="str">
        <f>+IF(GENERAL!AK167=GENERAL!$AI$2,GENERAL!$AI$2,CONCATENATE(OBSERVACIONES!AJ166,"
ESTADO DE POSTVENTAS:  ",GENERAL!AK167))</f>
        <v>OK
ESTADO DE POSTVENTAS:  POSTVENTA CORREGIDA</v>
      </c>
      <c r="AM166" s="51" t="str">
        <f>+IF(GENERAL!AN167=GENERAL!$AI$2,GENERAL!$AI$2,CONCATENATE(OBSERVACIONES!AM166,"
ESTADO DE POSTVENTAS:  ",GENERAL!AN167))</f>
        <v>OK
ESTADO DE POSTVENTAS:  POSTVENTA CORREGIDA</v>
      </c>
      <c r="AN166" s="37">
        <v>3</v>
      </c>
      <c r="AO166" s="37">
        <v>8</v>
      </c>
      <c r="AP166" s="37">
        <v>3</v>
      </c>
      <c r="AQ166" s="37">
        <v>2</v>
      </c>
      <c r="AR166" s="43">
        <v>12</v>
      </c>
      <c r="AS166" s="40">
        <v>12</v>
      </c>
      <c r="AT166" s="37">
        <f>COUNTIFS($D$5:$AM$5,"&lt;&gt;"&amp;CODICIONALES!$A$1,$D$5:$AM$5,"&lt;&gt;"&amp;CODICIONALES!$A$2,$D$5:$AM$5,"&lt;&gt;"&amp;CODICIONALES!$B$2,$D$5:$AM$5,"&lt;&gt;"&amp;CODICIONALES!$C$2)</f>
        <v>6</v>
      </c>
      <c r="AU166" s="43">
        <f>COUNTIFS(D166:AM166,CODICIONALES!$A$2)</f>
        <v>25</v>
      </c>
      <c r="AV166" s="40">
        <f t="shared" si="2"/>
        <v>5</v>
      </c>
    </row>
    <row r="167" spans="1:49" ht="51" customHeight="1" x14ac:dyDescent="0.25">
      <c r="A167" s="112" t="s">
        <v>111</v>
      </c>
      <c r="B167" s="2">
        <v>163</v>
      </c>
      <c r="C167" s="25" t="s">
        <v>99</v>
      </c>
      <c r="D167" s="51" t="str">
        <f>+IF(GENERAL!E168=GENERAL!$AI$2,GENERAL!$AI$2,CONCATENATE(OBSERVACIONES!D167,"
ESTADO DE POSTVENTAS:  ",GENERAL!E168))</f>
        <v>NO ENTREGADO
ESTADO DE POSTVENTAS:  TIENE POSTVENTA</v>
      </c>
      <c r="E167" s="51" t="str">
        <f>+IF(GENERAL!F168=GENERAL!$AI$2,GENERAL!$AI$2,CONCATENATE(OBSERVACIONES!E167,"
ESTADO DE POSTVENTAS:  ",GENERAL!F168))</f>
        <v>OK
ESTADO DE POSTVENTAS:  POSTVENTA CORREGIDA</v>
      </c>
      <c r="F167" s="51" t="str">
        <f>+IF(GENERAL!G168=GENERAL!$AI$2,GENERAL!$AI$2,CONCATENATE(OBSERVACIONES!F167,"
ESTADO DE POSTVENTAS:  ",GENERAL!G168))</f>
        <v>OK
ESTADO DE POSTVENTAS:  POSTVENTA CORREGIDA</v>
      </c>
      <c r="G167" s="51" t="str">
        <f>+IF(GENERAL!H168=GENERAL!$AI$2,GENERAL!$AI$2,CONCATENATE(OBSERVACIONES!G167,"
ESTADO DE POSTVENTAS:  ",GENERAL!H168))</f>
        <v>NO ENTREGADO
ESTADO DE POSTVENTAS:  TIENE POSTVENTA</v>
      </c>
      <c r="H167" s="51" t="str">
        <f>+IF(GENERAL!I168=GENERAL!$AI$2,GENERAL!$AI$2,CONCATENATE(OBSERVACIONES!H167,"
ESTADO DE POSTVENTAS:  ",GENERAL!I168))</f>
        <v>OK
ESTADO DE POSTVENTAS:  POSTVENTA CORREGIDA</v>
      </c>
      <c r="I167" s="51" t="str">
        <f>+IF(GENERAL!J168=GENERAL!$AI$2,GENERAL!$AI$2,CONCATENATE(OBSERVACIONES!I167,"
ESTADO DE POSTVENTAS:  ",GENERAL!J168))</f>
        <v>OK
ESTADO DE POSTVENTAS:  POSTVENTA CORREGIDA</v>
      </c>
      <c r="J167" s="51" t="str">
        <f>+IF(GENERAL!K168=GENERAL!$AI$2,GENERAL!$AI$2,CONCATENATE(OBSERVACIONES!J167,"
ESTADO DE POSTVENTAS:  ",GENERAL!K168))</f>
        <v>OK
ESTADO DE POSTVENTAS:  POSTVENTA CORREGIDA</v>
      </c>
      <c r="K167" s="51" t="str">
        <f>+IF(GENERAL!L168=GENERAL!$AI$2,GENERAL!$AI$2,CONCATENATE(OBSERVACIONES!K167,"
ESTADO DE POSTVENTAS:  ",GENERAL!L168))</f>
        <v>OK
ESTADO DE POSTVENTAS:  POSTVENTA CORREGIDA</v>
      </c>
      <c r="L167" s="51" t="str">
        <f>+IF(GENERAL!M168=GENERAL!$AI$2,GENERAL!$AI$2,CONCATENATE(OBSERVACIONES!L167,"
ESTADO DE POSTVENTAS:  ",GENERAL!M168))</f>
        <v>OK
ESTADO DE POSTVENTAS:  POSTVENTA CORREGIDA</v>
      </c>
      <c r="M167" s="70" t="str">
        <f>+IF(GENERAL!N168=GENERAL!$AI$2,GENERAL!$AI$2,CONCATENATE(OBSERVACIONES!M167,"
ESTADO DE POSTVENTAS:  ",GENERAL!N168))</f>
        <v>OK
ESTADO DE POSTVENTAS:  POSTVENTA CORREGIDA</v>
      </c>
      <c r="N167" s="51" t="str">
        <f>+IF(GENERAL!O168=GENERAL!$AI$2,GENERAL!$AI$2,CONCATENATE(OBSERVACIONES!N167,"
ESTADO DE POSTVENTAS:  ",GENERAL!O168))</f>
        <v>OK
ESTADO DE POSTVENTAS:  POSTVENTA CORREGIDA</v>
      </c>
      <c r="O167" s="51" t="str">
        <f>+IF(GENERAL!P168=GENERAL!$AI$2,GENERAL!$AI$2,CONCATENATE(OBSERVACIONES!O167,"
ESTADO DE POSTVENTAS:  ",GENERAL!P168))</f>
        <v>OK
ESTADO DE POSTVENTAS:  POSTVENTA CORREGIDA</v>
      </c>
      <c r="P167" s="70" t="str">
        <f>+IF(GENERAL!Q168=GENERAL!$AI$2,GENERAL!$AI$2,CONCATENATE(OBSERVACIONES!P167,"
ESTADO DE POSTVENTAS:  ",GENERAL!Q168))</f>
        <v>OK
ESTADO DE POSTVENTAS:  POSTVENTA CORREGIDA</v>
      </c>
      <c r="Q167" s="70" t="str">
        <f>+IF(GENERAL!R168=GENERAL!$AI$2,GENERAL!$AI$2,CONCATENATE(OBSERVACIONES!Q167,"
ESTADO DE POSTVENTAS:  ",GENERAL!R168))</f>
        <v>OK
ESTADO DE POSTVENTAS:  POSTVENTA CORREGIDA</v>
      </c>
      <c r="R167" s="51" t="str">
        <f>+IF(GENERAL!S168=GENERAL!$AI$2,GENERAL!$AI$2,CONCATENATE(OBSERVACIONES!R167,"
ESTADO DE POSTVENTAS:  ",GENERAL!S168))</f>
        <v>OK
ESTADO DE POSTVENTAS:  POSTVENTA CORREGIDA</v>
      </c>
      <c r="S167" s="51" t="str">
        <f>+IF(GENERAL!T168=GENERAL!$AI$2,GENERAL!$AI$2,CONCATENATE(OBSERVACIONES!S167,"
ESTADO DE POSTVENTAS:  ",GENERAL!T168))</f>
        <v>OK
ESTADO DE POSTVENTAS:  POSTVENTA CORREGIDA</v>
      </c>
      <c r="T167" s="51" t="str">
        <f>+IF(GENERAL!U168=GENERAL!$AI$2,GENERAL!$AI$2,CONCATENATE(OBSERVACIONES!T167,"
ESTADO DE POSTVENTAS:  ",GENERAL!U168))</f>
        <v>OK
ESTADO DE POSTVENTAS:  POSTVENTA CORREGIDA</v>
      </c>
      <c r="U167" s="51" t="str">
        <f>+IF(GENERAL!V168=GENERAL!$AI$2,GENERAL!$AI$2,CONCATENATE(OBSERVACIONES!U167,"
ESTADO DE POSTVENTAS:  ",GENERAL!V168))</f>
        <v>OK
ESTADO DE POSTVENTAS:  POSTVENTA CORREGIDA</v>
      </c>
      <c r="V167" s="51" t="str">
        <f>+IF(GENERAL!W168=GENERAL!$AI$2,GENERAL!$AI$2,CONCATENATE(OBSERVACIONES!V167,"
ESTADO DE POSTVENTAS:  ",GENERAL!W168))</f>
        <v>OK
ESTADO DE POSTVENTAS:  POSTVENTA CORREGIDA</v>
      </c>
      <c r="W167" s="51" t="str">
        <f>+IF(GENERAL!V168=GENERAL!$AI$2,GENERAL!$AI$2,CONCATENATE(OBSERVACIONES!W167,"
ESTADO DE POSTVENTAS:  ",GENERAL!V168))</f>
        <v>OK
ESTADO DE POSTVENTAS:  POSTVENTA CORREGIDA</v>
      </c>
      <c r="X167" s="51" t="str">
        <f>+IF(GENERAL!W168=GENERAL!$AI$2,GENERAL!$AI$2,CONCATENATE(OBSERVACIONES!X167,"
ESTADO DE POSTVENTAS:  ",GENERAL!W168))</f>
        <v>OK
ESTADO DE POSTVENTAS:  POSTVENTA CORREGIDA</v>
      </c>
      <c r="Y167" s="51" t="str">
        <f>+IF(GENERAL!Z168=GENERAL!$AI$2,GENERAL!$AI$2,CONCATENATE(OBSERVACIONES!Y167,"
ESTADO DE POSTVENTAS:  ",GENERAL!Z168))</f>
        <v>OK
ESTADO DE POSTVENTAS:  POSTVENTA CORREGIDA</v>
      </c>
      <c r="Z167" s="51" t="str">
        <f>+IF(GENERAL!AA168=GENERAL!$AI$2,GENERAL!$AI$2,CONCATENATE(OBSERVACIONES!Z167,"
ESTADO DE POSTVENTAS:  ",GENERAL!AA168))</f>
        <v>OK
ESTADO DE POSTVENTAS:  POSTVENTA CORREGIDA</v>
      </c>
      <c r="AA167" s="51" t="str">
        <f>+IF(GENERAL!AB168=GENERAL!$AI$2,GENERAL!$AI$2,CONCATENATE(OBSERVACIONES!AA167,"
ESTADO DE POSTVENTAS:  ",GENERAL!AB168))</f>
        <v>OK
ESTADO DE POSTVENTAS:  POSTVENTA CORREGIDA</v>
      </c>
      <c r="AB167" s="51" t="str">
        <f>+IF(GENERAL!AC168=GENERAL!$AI$2,GENERAL!$AI$2,CONCATENATE(OBSERVACIONES!AB167,"
ESTADO DE POSTVENTAS:  ",GENERAL!AC168))</f>
        <v>OK
ESTADO DE POSTVENTAS:  POSTVENTA CORREGIDA</v>
      </c>
      <c r="AC167" s="51" t="str">
        <f>+IF(GENERAL!AD168=GENERAL!$AI$2,GENERAL!$AI$2,CONCATENATE(OBSERVACIONES!AC167,"
ESTADO DE POSTVENTAS:  ",GENERAL!AD168))</f>
        <v>OK
ESTADO DE POSTVENTAS:  POSTVENTA CORREGIDA</v>
      </c>
      <c r="AD167" s="51" t="str">
        <f>+IF(GENERAL!AE168=GENERAL!$AI$2,GENERAL!$AI$2,CONCATENATE(OBSERVACIONES!AD167,"
ESTADO DE POSTVENTAS:  ",GENERAL!AE168))</f>
        <v>OK
ESTADO DE POSTVENTAS:  POSTVENTA CORREGIDA</v>
      </c>
      <c r="AE167" s="51" t="str">
        <f>+IF(GENERAL!AF168=GENERAL!$AI$2,GENERAL!$AI$2,CONCATENATE(OBSERVACIONES!AE167,"
ESTADO DE POSTVENTAS:  ",GENERAL!AF168))</f>
        <v>OK
ESTADO DE POSTVENTAS:  POSTVENTA CORREGIDA</v>
      </c>
      <c r="AF167" s="51" t="str">
        <f>+IF(GENERAL!AG168=GENERAL!$AI$2,GENERAL!$AI$2,CONCATENATE(OBSERVACIONES!AF167,"
ESTADO DE POSTVENTAS:  ",GENERAL!AG168))</f>
        <v>OK
ESTADO DE POSTVENTAS:  POSTVENTA CORREGIDA</v>
      </c>
      <c r="AG167" s="51" t="str">
        <f>+IF(GENERAL!AH168=GENERAL!$AI$2,GENERAL!$AI$2,CONCATENATE(OBSERVACIONES!AG167,"
ESTADO DE POSTVENTAS:  ",GENERAL!AH168))</f>
        <v>OK
ESTADO DE POSTVENTAS:  POSTVENTA CORREGIDA</v>
      </c>
      <c r="AH167" s="51" t="str">
        <f>+IF(GENERAL!AI168=GENERAL!$AI$2,GENERAL!$AI$2,CONCATENATE(OBSERVACIONES!AH167,"
ESTADO DE POSTVENTAS:  ",GENERAL!AI168))</f>
        <v>OK
ESTADO DE POSTVENTAS:  POSTVENTA CORREGIDA</v>
      </c>
      <c r="AI167" s="51" t="str">
        <f>+IF(GENERAL!AG168=GENERAL!$AI$2,GENERAL!$AI$2,CONCATENATE(OBSERVACIONES!AF167,"
ESTADO DE POSTVENTAS:  ",GENERAL!AG168))</f>
        <v>OK
ESTADO DE POSTVENTAS:  POSTVENTA CORREGIDA</v>
      </c>
      <c r="AJ167" s="51" t="str">
        <f>+IF(GENERAL!AI168=GENERAL!$AI$2,GENERAL!$AI$2,CONCATENATE(OBSERVACIONES!AH167,"
ESTADO DE POSTVENTAS:  ",GENERAL!AI168))</f>
        <v>OK
ESTADO DE POSTVENTAS:  POSTVENTA CORREGIDA</v>
      </c>
      <c r="AK167" s="51" t="str">
        <f>+IF(GENERAL!AJ168=GENERAL!$AI$2,GENERAL!$AI$2,CONCATENATE(OBSERVACIONES!AI167,"
ESTADO DE POSTVENTAS:  ",GENERAL!AJ168))</f>
        <v>OK
ESTADO DE POSTVENTAS:  POSTVENTA CORREGIDA</v>
      </c>
      <c r="AL167" s="51" t="str">
        <f>+IF(GENERAL!AK168=GENERAL!$AI$2,GENERAL!$AI$2,CONCATENATE(OBSERVACIONES!AJ167,"
ESTADO DE POSTVENTAS:  ",GENERAL!AK168))</f>
        <v>OK
ESTADO DE POSTVENTAS:  POSTVENTA CORREGIDA</v>
      </c>
      <c r="AM167" s="51" t="str">
        <f>+IF(GENERAL!AN168=GENERAL!$AI$2,GENERAL!$AI$2,CONCATENATE(OBSERVACIONES!AM167,"
ESTADO DE POSTVENTAS:  ",GENERAL!AN168))</f>
        <v>OK
ESTADO DE POSTVENTAS:  POSTVENTA CORREGIDA</v>
      </c>
      <c r="AN167" s="37">
        <v>0</v>
      </c>
      <c r="AO167" s="37">
        <v>11</v>
      </c>
      <c r="AP167" s="37">
        <v>3</v>
      </c>
      <c r="AQ167" s="37">
        <v>0</v>
      </c>
      <c r="AR167" s="43">
        <v>14</v>
      </c>
      <c r="AS167" s="40">
        <v>12</v>
      </c>
      <c r="AT167" s="37">
        <f>COUNTIFS($D$5:$AM$5,"&lt;&gt;"&amp;CODICIONALES!$A$1,$D$5:$AM$5,"&lt;&gt;"&amp;CODICIONALES!$A$2,$D$5:$AM$5,"&lt;&gt;"&amp;CODICIONALES!$B$2,$D$5:$AM$5,"&lt;&gt;"&amp;CODICIONALES!$C$2)</f>
        <v>6</v>
      </c>
      <c r="AU167" s="43">
        <f>COUNTIFS(D167:AM167,CODICIONALES!$A$2)</f>
        <v>34</v>
      </c>
      <c r="AV167" s="40">
        <f t="shared" si="2"/>
        <v>-4</v>
      </c>
    </row>
    <row r="168" spans="1:49" ht="51" customHeight="1" x14ac:dyDescent="0.25">
      <c r="A168" s="110"/>
      <c r="B168" s="2">
        <v>164</v>
      </c>
      <c r="C168" s="21" t="s">
        <v>100</v>
      </c>
      <c r="D168" s="51" t="str">
        <f>+IF(GENERAL!E169=GENERAL!$AI$2,GENERAL!$AI$2,CONCATENATE(OBSERVACIONES!D168,"
ESTADO DE POSTVENTAS:  ",GENERAL!E169))</f>
        <v>NO ENTREGADO
ESTADO DE POSTVENTAS:  TIENE POSTVENTA</v>
      </c>
      <c r="E168" s="51" t="str">
        <f>+IF(GENERAL!F169=GENERAL!$AI$2,GENERAL!$AI$2,CONCATENATE(OBSERVACIONES!E168,"
ESTADO DE POSTVENTAS:  ",GENERAL!F169))</f>
        <v>OK
ESTADO DE POSTVENTAS:  POSTVENTA CORREGIDA</v>
      </c>
      <c r="F168" s="51" t="str">
        <f>+IF(GENERAL!G169=GENERAL!$AI$2,GENERAL!$AI$2,CONCATENATE(OBSERVACIONES!F168,"
ESTADO DE POSTVENTAS:  ",GENERAL!G169))</f>
        <v>OK
ESTADO DE POSTVENTAS:  POSTVENTA CORREGIDA</v>
      </c>
      <c r="G168" s="51" t="str">
        <f>+IF(GENERAL!H169=GENERAL!$AI$2,GENERAL!$AI$2,CONCATENATE(OBSERVACIONES!G168,"
ESTADO DE POSTVENTAS:  ",GENERAL!H169))</f>
        <v>NO ENTREGADO
ESTADO DE POSTVENTAS:  TIENE POSTVENTA</v>
      </c>
      <c r="H168" s="51" t="str">
        <f>+IF(GENERAL!I169=GENERAL!$AI$2,GENERAL!$AI$2,CONCATENATE(OBSERVACIONES!H168,"
ESTADO DE POSTVENTAS:  ",GENERAL!I169))</f>
        <v>OK
ESTADO DE POSTVENTAS:  POSTVENTA CORREGIDA</v>
      </c>
      <c r="I168" s="51" t="str">
        <f>+IF(GENERAL!J169=GENERAL!$AI$2,GENERAL!$AI$2,CONCATENATE(OBSERVACIONES!I168,"
ESTADO DE POSTVENTAS:  ",GENERAL!J169))</f>
        <v>OK
ESTADO DE POSTVENTAS:  POSTVENTA CORREGIDA</v>
      </c>
      <c r="J168" s="51" t="str">
        <f>+IF(GENERAL!K169=GENERAL!$AI$2,GENERAL!$AI$2,CONCATENATE(OBSERVACIONES!J168,"
ESTADO DE POSTVENTAS:  ",GENERAL!K169))</f>
        <v>OK
ESTADO DE POSTVENTAS:  POSTVENTA CORREGIDA</v>
      </c>
      <c r="K168" s="51" t="str">
        <f>+IF(GENERAL!L169=GENERAL!$AI$2,GENERAL!$AI$2,CONCATENATE(OBSERVACIONES!K168,"
ESTADO DE POSTVENTAS:  ",GENERAL!L169))</f>
        <v>OK
ESTADO DE POSTVENTAS:  POSTVENTA CORREGIDA</v>
      </c>
      <c r="L168" s="51" t="str">
        <f>+IF(GENERAL!M169=GENERAL!$AI$2,GENERAL!$AI$2,CONCATENATE(OBSERVACIONES!L168,"
ESTADO DE POSTVENTAS:  ",GENERAL!M169))</f>
        <v>OK
ESTADO DE POSTVENTAS:  POSTVENTA CORREGIDA</v>
      </c>
      <c r="M168" s="70" t="str">
        <f>+IF(GENERAL!N169=GENERAL!$AI$2,GENERAL!$AI$2,CONCATENATE(OBSERVACIONES!M168,"
ESTADO DE POSTVENTAS:  ",GENERAL!N169))</f>
        <v>OK
ESTADO DE POSTVENTAS:  POSTVENTA CORREGIDA</v>
      </c>
      <c r="N168" s="51" t="str">
        <f>+IF(GENERAL!O169=GENERAL!$AI$2,GENERAL!$AI$2,CONCATENATE(OBSERVACIONES!N168,"
ESTADO DE POSTVENTAS:  ",GENERAL!O169))</f>
        <v>OK
ESTADO DE POSTVENTAS:  POSTVENTA CORREGIDA</v>
      </c>
      <c r="O168" s="51" t="str">
        <f>+IF(GENERAL!P169=GENERAL!$AI$2,GENERAL!$AI$2,CONCATENATE(OBSERVACIONES!O168,"
ESTADO DE POSTVENTAS:  ",GENERAL!P169))</f>
        <v>OK
ESTADO DE POSTVENTAS:  POSTVENTA CORREGIDA</v>
      </c>
      <c r="P168" s="70" t="str">
        <f>+IF(GENERAL!Q169=GENERAL!$AI$2,GENERAL!$AI$2,CONCATENATE(OBSERVACIONES!P168,"
ESTADO DE POSTVENTAS:  ",GENERAL!Q169))</f>
        <v>OK
ESTADO DE POSTVENTAS:  POSTVENTA CORREGIDA</v>
      </c>
      <c r="Q168" s="70" t="str">
        <f>+IF(GENERAL!R169=GENERAL!$AI$2,GENERAL!$AI$2,CONCATENATE(OBSERVACIONES!Q168,"
ESTADO DE POSTVENTAS:  ",GENERAL!R169))</f>
        <v>OK
ESTADO DE POSTVENTAS:  POSTVENTA CORREGIDA</v>
      </c>
      <c r="R168" s="51" t="str">
        <f>+IF(GENERAL!S169=GENERAL!$AI$2,GENERAL!$AI$2,CONCATENATE(OBSERVACIONES!R168,"
ESTADO DE POSTVENTAS:  ",GENERAL!S169))</f>
        <v>OK
ESTADO DE POSTVENTAS:  POSTVENTA CORREGIDA</v>
      </c>
      <c r="S168" s="51" t="str">
        <f>+IF(GENERAL!T169=GENERAL!$AI$2,GENERAL!$AI$2,CONCATENATE(OBSERVACIONES!S168,"
ESTADO DE POSTVENTAS:  ",GENERAL!T169))</f>
        <v>OK
ESTADO DE POSTVENTAS:  POSTVENTA CORREGIDA</v>
      </c>
      <c r="T168" s="51" t="str">
        <f>+IF(GENERAL!U169=GENERAL!$AI$2,GENERAL!$AI$2,CONCATENATE(OBSERVACIONES!T168,"
ESTADO DE POSTVENTAS:  ",GENERAL!U169))</f>
        <v>OK
ESTADO DE POSTVENTAS:  POSTVENTA CORREGIDA</v>
      </c>
      <c r="U168" s="51" t="str">
        <f>+IF(GENERAL!V169=GENERAL!$AI$2,GENERAL!$AI$2,CONCATENATE(OBSERVACIONES!U168,"
ESTADO DE POSTVENTAS:  ",GENERAL!V169))</f>
        <v>OK
ESTADO DE POSTVENTAS:  POSTVENTA CORREGIDA</v>
      </c>
      <c r="V168" s="51" t="str">
        <f>+IF(GENERAL!W169=GENERAL!$AI$2,GENERAL!$AI$2,CONCATENATE(OBSERVACIONES!V168,"
ESTADO DE POSTVENTAS:  ",GENERAL!W169))</f>
        <v>OK
ESTADO DE POSTVENTAS:  POSTVENTA CORREGIDA</v>
      </c>
      <c r="W168" s="51" t="str">
        <f>+IF(GENERAL!V169=GENERAL!$AI$2,GENERAL!$AI$2,CONCATENATE(OBSERVACIONES!W168,"
ESTADO DE POSTVENTAS:  ",GENERAL!V169))</f>
        <v>OK
ESTADO DE POSTVENTAS:  POSTVENTA CORREGIDA</v>
      </c>
      <c r="X168" s="51" t="str">
        <f>+IF(GENERAL!W169=GENERAL!$AI$2,GENERAL!$AI$2,CONCATENATE(OBSERVACIONES!X168,"
ESTADO DE POSTVENTAS:  ",GENERAL!W169))</f>
        <v>OK
ESTADO DE POSTVENTAS:  POSTVENTA CORREGIDA</v>
      </c>
      <c r="Y168" s="51" t="str">
        <f>+IF(GENERAL!Z169=GENERAL!$AI$2,GENERAL!$AI$2,CONCATENATE(OBSERVACIONES!Y168,"
ESTADO DE POSTVENTAS:  ",GENERAL!Z169))</f>
        <v>OK
ESTADO DE POSTVENTAS:  POSTVENTA CORREGIDA</v>
      </c>
      <c r="Z168" s="51" t="str">
        <f>+IF(GENERAL!AA169=GENERAL!$AI$2,GENERAL!$AI$2,CONCATENATE(OBSERVACIONES!Z168,"
ESTADO DE POSTVENTAS:  ",GENERAL!AA169))</f>
        <v>OK
ESTADO DE POSTVENTAS:  POSTVENTA CORREGIDA</v>
      </c>
      <c r="AA168" s="51" t="str">
        <f>+IF(GENERAL!AB169=GENERAL!$AI$2,GENERAL!$AI$2,CONCATENATE(OBSERVACIONES!AA168,"
ESTADO DE POSTVENTAS:  ",GENERAL!AB169))</f>
        <v>OK
ESTADO DE POSTVENTAS:  POSTVENTA CORREGIDA</v>
      </c>
      <c r="AB168" s="51" t="str">
        <f>+IF(GENERAL!AC169=GENERAL!$AI$2,GENERAL!$AI$2,CONCATENATE(OBSERVACIONES!AB168,"
ESTADO DE POSTVENTAS:  ",GENERAL!AC169))</f>
        <v>OK
ESTADO DE POSTVENTAS:  POSTVENTA CORREGIDA</v>
      </c>
      <c r="AC168" s="51" t="str">
        <f>+IF(GENERAL!AD169=GENERAL!$AI$2,GENERAL!$AI$2,CONCATENATE(OBSERVACIONES!AC168,"
ESTADO DE POSTVENTAS:  ",GENERAL!AD169))</f>
        <v>OK
ESTADO DE POSTVENTAS:  POSTVENTA CORREGIDA</v>
      </c>
      <c r="AD168" s="51" t="str">
        <f>+IF(GENERAL!AE169=GENERAL!$AI$2,GENERAL!$AI$2,CONCATENATE(OBSERVACIONES!AD168,"
ESTADO DE POSTVENTAS:  ",GENERAL!AE169))</f>
        <v>OK
ESTADO DE POSTVENTAS:  POSTVENTA CORREGIDA</v>
      </c>
      <c r="AE168" s="51" t="str">
        <f>+IF(GENERAL!AF169=GENERAL!$AI$2,GENERAL!$AI$2,CONCATENATE(OBSERVACIONES!AE168,"
ESTADO DE POSTVENTAS:  ",GENERAL!AF169))</f>
        <v>OK
ESTADO DE POSTVENTAS:  POSTVENTA CORREGIDA</v>
      </c>
      <c r="AF168" s="51" t="str">
        <f>+IF(GENERAL!AG169=GENERAL!$AI$2,GENERAL!$AI$2,CONCATENATE(OBSERVACIONES!AF168,"
ESTADO DE POSTVENTAS:  ",GENERAL!AG169))</f>
        <v>OK
ESTADO DE POSTVENTAS:  POSTVENTA CORREGIDA</v>
      </c>
      <c r="AG168" s="51" t="str">
        <f>+IF(GENERAL!AH169=GENERAL!$AI$2,GENERAL!$AI$2,CONCATENATE(OBSERVACIONES!AG168,"
ESTADO DE POSTVENTAS:  ",GENERAL!AH169))</f>
        <v>OK
ESTADO DE POSTVENTAS:  POSTVENTA CORREGIDA</v>
      </c>
      <c r="AH168" s="51" t="str">
        <f>+IF(GENERAL!AI169=GENERAL!$AI$2,GENERAL!$AI$2,CONCATENATE(OBSERVACIONES!AH168,"
ESTADO DE POSTVENTAS:  ",GENERAL!AI169))</f>
        <v>OK
ESTADO DE POSTVENTAS:  POSTVENTA CORREGIDA</v>
      </c>
      <c r="AI168" s="51" t="str">
        <f>+IF(GENERAL!AG169=GENERAL!$AI$2,GENERAL!$AI$2,CONCATENATE(OBSERVACIONES!AF168,"
ESTADO DE POSTVENTAS:  ",GENERAL!AG169))</f>
        <v>OK
ESTADO DE POSTVENTAS:  POSTVENTA CORREGIDA</v>
      </c>
      <c r="AJ168" s="51" t="str">
        <f>+IF(GENERAL!AI169=GENERAL!$AI$2,GENERAL!$AI$2,CONCATENATE(OBSERVACIONES!AH168,"
ESTADO DE POSTVENTAS:  ",GENERAL!AI169))</f>
        <v>OK
ESTADO DE POSTVENTAS:  POSTVENTA CORREGIDA</v>
      </c>
      <c r="AK168" s="51" t="str">
        <f>+IF(GENERAL!AJ169=GENERAL!$AI$2,GENERAL!$AI$2,CONCATENATE(OBSERVACIONES!AI168,"
ESTADO DE POSTVENTAS:  ",GENERAL!AJ169))</f>
        <v>OK
ESTADO DE POSTVENTAS:  POSTVENTA CORREGIDA</v>
      </c>
      <c r="AL168" s="51" t="str">
        <f>+IF(GENERAL!AK169=GENERAL!$AI$2,GENERAL!$AI$2,CONCATENATE(OBSERVACIONES!AJ168,"
ESTADO DE POSTVENTAS:  ",GENERAL!AK169))</f>
        <v>OK
ESTADO DE POSTVENTAS:  POSTVENTA CORREGIDA</v>
      </c>
      <c r="AM168" s="51" t="str">
        <f>+IF(GENERAL!AN169=GENERAL!$AI$2,GENERAL!$AI$2,CONCATENATE(OBSERVACIONES!AM168,"
ESTADO DE POSTVENTAS:  ",GENERAL!AN169))</f>
        <v>OK
ESTADO DE POSTVENTAS:  POSTVENTA CORREGIDA</v>
      </c>
      <c r="AN168" s="37">
        <v>0</v>
      </c>
      <c r="AO168" s="37">
        <v>11</v>
      </c>
      <c r="AP168" s="37">
        <v>3</v>
      </c>
      <c r="AQ168" s="37">
        <v>0</v>
      </c>
      <c r="AR168" s="43">
        <v>14</v>
      </c>
      <c r="AS168" s="40">
        <v>12</v>
      </c>
      <c r="AT168" s="37">
        <f>COUNTIFS($D$5:$AM$5,"&lt;&gt;"&amp;CODICIONALES!$A$1,$D$5:$AM$5,"&lt;&gt;"&amp;CODICIONALES!$A$2,$D$5:$AM$5,"&lt;&gt;"&amp;CODICIONALES!$B$2,$D$5:$AM$5,"&lt;&gt;"&amp;CODICIONALES!$C$2)</f>
        <v>6</v>
      </c>
      <c r="AU168" s="43">
        <f>COUNTIFS(D168:AM168,CODICIONALES!$A$2)</f>
        <v>34</v>
      </c>
      <c r="AV168" s="40">
        <f t="shared" si="2"/>
        <v>-4</v>
      </c>
    </row>
    <row r="169" spans="1:49" ht="51" customHeight="1" x14ac:dyDescent="0.25">
      <c r="A169" s="110"/>
      <c r="B169" s="2">
        <v>165</v>
      </c>
      <c r="C169" s="20" t="s">
        <v>42</v>
      </c>
      <c r="D169" s="51" t="str">
        <f>+IF(GENERAL!E170=GENERAL!$AI$2,GENERAL!$AI$2,CONCATENATE(OBSERVACIONES!D169,"
ESTADO DE POSTVENTAS:  ",GENERAL!E170))</f>
        <v>NO ENTREGADO
ESTADO DE POSTVENTAS:  TIENE POSTVENTA</v>
      </c>
      <c r="E169" s="51" t="str">
        <f>+IF(GENERAL!F170=GENERAL!$AI$2,GENERAL!$AI$2,CONCATENATE(OBSERVACIONES!E169,"
ESTADO DE POSTVENTAS:  ",GENERAL!F170))</f>
        <v>OK
ESTADO DE POSTVENTAS:  POSTVENTA CORREGIDA</v>
      </c>
      <c r="F169" s="51" t="str">
        <f>+IF(GENERAL!G170=GENERAL!$AI$2,GENERAL!$AI$2,CONCATENATE(OBSERVACIONES!F169,"
ESTADO DE POSTVENTAS:  ",GENERAL!G170))</f>
        <v>OK
ESTADO DE POSTVENTAS:  POSTVENTA CORREGIDA</v>
      </c>
      <c r="G169" s="51" t="str">
        <f>+IF(GENERAL!H170=GENERAL!$AI$2,GENERAL!$AI$2,CONCATENATE(OBSERVACIONES!G169,"
ESTADO DE POSTVENTAS:  ",GENERAL!H170))</f>
        <v>NO ENTREGADO
ESTADO DE POSTVENTAS:  TIENE POSTVENTA</v>
      </c>
      <c r="H169" s="51" t="str">
        <f>+IF(GENERAL!I170=GENERAL!$AI$2,GENERAL!$AI$2,CONCATENATE(OBSERVACIONES!H169,"
ESTADO DE POSTVENTAS:  ",GENERAL!I170))</f>
        <v>OK
ESTADO DE POSTVENTAS:  POSTVENTA CORREGIDA</v>
      </c>
      <c r="I169" s="51" t="str">
        <f>+IF(GENERAL!J170=GENERAL!$AI$2,GENERAL!$AI$2,CONCATENATE(OBSERVACIONES!I169,"
ESTADO DE POSTVENTAS:  ",GENERAL!J170))</f>
        <v>OK
ESTADO DE POSTVENTAS:  POSTVENTA CORREGIDA</v>
      </c>
      <c r="J169" s="51" t="str">
        <f>+IF(GENERAL!K170=GENERAL!$AI$2,GENERAL!$AI$2,CONCATENATE(OBSERVACIONES!J169,"
ESTADO DE POSTVENTAS:  ",GENERAL!K170))</f>
        <v>OK
ESTADO DE POSTVENTAS:  POSTVENTA CORREGIDA</v>
      </c>
      <c r="K169" s="51" t="str">
        <f>+IF(GENERAL!L170=GENERAL!$AI$2,GENERAL!$AI$2,CONCATENATE(OBSERVACIONES!K169,"
ESTADO DE POSTVENTAS:  ",GENERAL!L170))</f>
        <v>OK
ESTADO DE POSTVENTAS:  POSTVENTA CORREGIDA</v>
      </c>
      <c r="L169" s="51" t="str">
        <f>+IF(GENERAL!M170=GENERAL!$AI$2,GENERAL!$AI$2,CONCATENATE(OBSERVACIONES!L169,"
ESTADO DE POSTVENTAS:  ",GENERAL!M170))</f>
        <v>OK
ESTADO DE POSTVENTAS:  POSTVENTA CORREGIDA</v>
      </c>
      <c r="M169" s="70" t="str">
        <f>+IF(GENERAL!N170=GENERAL!$AI$2,GENERAL!$AI$2,CONCATENATE(OBSERVACIONES!M169,"
ESTADO DE POSTVENTAS:  ",GENERAL!N170))</f>
        <v>OK
ESTADO DE POSTVENTAS:  POSTVENTA CORREGIDA</v>
      </c>
      <c r="N169" s="51" t="str">
        <f>+IF(GENERAL!O170=GENERAL!$AI$2,GENERAL!$AI$2,CONCATENATE(OBSERVACIONES!N169,"
ESTADO DE POSTVENTAS:  ",GENERAL!O170))</f>
        <v>OK
ESTADO DE POSTVENTAS:  POSTVENTA CORREGIDA</v>
      </c>
      <c r="O169" s="51" t="str">
        <f>+IF(GENERAL!P170=GENERAL!$AI$2,GENERAL!$AI$2,CONCATENATE(OBSERVACIONES!O169,"
ESTADO DE POSTVENTAS:  ",GENERAL!P170))</f>
        <v>OK
ESTADO DE POSTVENTAS:  POSTVENTA CORREGIDA</v>
      </c>
      <c r="P169" s="70" t="str">
        <f>+IF(GENERAL!Q170=GENERAL!$AI$2,GENERAL!$AI$2,CONCATENATE(OBSERVACIONES!P169,"
ESTADO DE POSTVENTAS:  ",GENERAL!Q170))</f>
        <v>OK
ESTADO DE POSTVENTAS:  POSTVENTA CORREGIDA</v>
      </c>
      <c r="Q169" s="70" t="str">
        <f>+IF(GENERAL!R170=GENERAL!$AI$2,GENERAL!$AI$2,CONCATENATE(OBSERVACIONES!Q169,"
ESTADO DE POSTVENTAS:  ",GENERAL!R170))</f>
        <v>OK
ESTADO DE POSTVENTAS:  POSTVENTA CORREGIDA</v>
      </c>
      <c r="R169" s="51" t="str">
        <f>+IF(GENERAL!S170=GENERAL!$AI$2,GENERAL!$AI$2,CONCATENATE(OBSERVACIONES!R169,"
ESTADO DE POSTVENTAS:  ",GENERAL!S170))</f>
        <v>OK
ESTADO DE POSTVENTAS:  POSTVENTA CORREGIDA</v>
      </c>
      <c r="S169" s="51" t="str">
        <f>+IF(GENERAL!T170=GENERAL!$AI$2,GENERAL!$AI$2,CONCATENATE(OBSERVACIONES!S169,"
ESTADO DE POSTVENTAS:  ",GENERAL!T170))</f>
        <v>OK
ESTADO DE POSTVENTAS:  POSTVENTA CORREGIDA</v>
      </c>
      <c r="T169" s="51" t="str">
        <f>+IF(GENERAL!U170=GENERAL!$AI$2,GENERAL!$AI$2,CONCATENATE(OBSERVACIONES!T169,"
ESTADO DE POSTVENTAS:  ",GENERAL!U170))</f>
        <v>OK
ESTADO DE POSTVENTAS:  POSTVENTA CORREGIDA</v>
      </c>
      <c r="U169" s="51" t="str">
        <f>+IF(GENERAL!V170=GENERAL!$AI$2,GENERAL!$AI$2,CONCATENATE(OBSERVACIONES!U169,"
ESTADO DE POSTVENTAS:  ",GENERAL!V170))</f>
        <v>OK
ESTADO DE POSTVENTAS:  POSTVENTA CORREGIDA</v>
      </c>
      <c r="V169" s="51" t="str">
        <f>+IF(GENERAL!W170=GENERAL!$AI$2,GENERAL!$AI$2,CONCATENATE(OBSERVACIONES!V169,"
ESTADO DE POSTVENTAS:  ",GENERAL!W170))</f>
        <v>OK
ESTADO DE POSTVENTAS:  POSTVENTA CORREGIDA</v>
      </c>
      <c r="W169" s="51" t="str">
        <f>+IF(GENERAL!V170=GENERAL!$AI$2,GENERAL!$AI$2,CONCATENATE(OBSERVACIONES!W169,"
ESTADO DE POSTVENTAS:  ",GENERAL!V170))</f>
        <v>OK
ESTADO DE POSTVENTAS:  POSTVENTA CORREGIDA</v>
      </c>
      <c r="X169" s="51" t="str">
        <f>+IF(GENERAL!W170=GENERAL!$AI$2,GENERAL!$AI$2,CONCATENATE(OBSERVACIONES!X169,"
ESTADO DE POSTVENTAS:  ",GENERAL!W170))</f>
        <v>OK
ESTADO DE POSTVENTAS:  POSTVENTA CORREGIDA</v>
      </c>
      <c r="Y169" s="51" t="str">
        <f>+IF(GENERAL!Z170=GENERAL!$AI$2,GENERAL!$AI$2,CONCATENATE(OBSERVACIONES!Y169,"
ESTADO DE POSTVENTAS:  ",GENERAL!Z170))</f>
        <v>OK
ESTADO DE POSTVENTAS:  POSTVENTA CORREGIDA</v>
      </c>
      <c r="Z169" s="51" t="str">
        <f>+IF(GENERAL!AA170=GENERAL!$AI$2,GENERAL!$AI$2,CONCATENATE(OBSERVACIONES!Z169,"
ESTADO DE POSTVENTAS:  ",GENERAL!AA170))</f>
        <v>OK
ESTADO DE POSTVENTAS:  POSTVENTA CORREGIDA</v>
      </c>
      <c r="AA169" s="51" t="str">
        <f>+IF(GENERAL!AB170=GENERAL!$AI$2,GENERAL!$AI$2,CONCATENATE(OBSERVACIONES!AA169,"
ESTADO DE POSTVENTAS:  ",GENERAL!AB170))</f>
        <v>OK
ESTADO DE POSTVENTAS:  POSTVENTA CORREGIDA</v>
      </c>
      <c r="AB169" s="51" t="str">
        <f>+IF(GENERAL!AC170=GENERAL!$AI$2,GENERAL!$AI$2,CONCATENATE(OBSERVACIONES!AB169,"
ESTADO DE POSTVENTAS:  ",GENERAL!AC170))</f>
        <v>OK
ESTADO DE POSTVENTAS:  POSTVENTA CORREGIDA</v>
      </c>
      <c r="AC169" s="51" t="str">
        <f>+IF(GENERAL!AD170=GENERAL!$AI$2,GENERAL!$AI$2,CONCATENATE(OBSERVACIONES!AC169,"
ESTADO DE POSTVENTAS:  ",GENERAL!AD170))</f>
        <v>OK
ESTADO DE POSTVENTAS:  POSTVENTA CORREGIDA</v>
      </c>
      <c r="AD169" s="51" t="str">
        <f>+IF(GENERAL!AE170=GENERAL!$AI$2,GENERAL!$AI$2,CONCATENATE(OBSERVACIONES!AD169,"
ESTADO DE POSTVENTAS:  ",GENERAL!AE170))</f>
        <v>OK
ESTADO DE POSTVENTAS:  POSTVENTA CORREGIDA</v>
      </c>
      <c r="AE169" s="51" t="str">
        <f>+IF(GENERAL!AF170=GENERAL!$AI$2,GENERAL!$AI$2,CONCATENATE(OBSERVACIONES!AE169,"
ESTADO DE POSTVENTAS:  ",GENERAL!AF170))</f>
        <v>OK
ESTADO DE POSTVENTAS:  POSTVENTA CORREGIDA</v>
      </c>
      <c r="AF169" s="51" t="str">
        <f>+IF(GENERAL!AG170=GENERAL!$AI$2,GENERAL!$AI$2,CONCATENATE(OBSERVACIONES!AF169,"
ESTADO DE POSTVENTAS:  ",GENERAL!AG170))</f>
        <v>OK
ESTADO DE POSTVENTAS:  POSTVENTA CORREGIDA</v>
      </c>
      <c r="AG169" s="51" t="str">
        <f>+IF(GENERAL!AH170=GENERAL!$AI$2,GENERAL!$AI$2,CONCATENATE(OBSERVACIONES!AG169,"
ESTADO DE POSTVENTAS:  ",GENERAL!AH170))</f>
        <v>OK
ESTADO DE POSTVENTAS:  POSTVENTA CORREGIDA</v>
      </c>
      <c r="AH169" s="51" t="str">
        <f>+IF(GENERAL!AI170=GENERAL!$AI$2,GENERAL!$AI$2,CONCATENATE(OBSERVACIONES!AH169,"
ESTADO DE POSTVENTAS:  ",GENERAL!AI170))</f>
        <v>OK
ESTADO DE POSTVENTAS:  POSTVENTA CORREGIDA</v>
      </c>
      <c r="AI169" s="51" t="str">
        <f>+IF(GENERAL!AG170=GENERAL!$AI$2,GENERAL!$AI$2,CONCATENATE(OBSERVACIONES!AF169,"
ESTADO DE POSTVENTAS:  ",GENERAL!AG170))</f>
        <v>OK
ESTADO DE POSTVENTAS:  POSTVENTA CORREGIDA</v>
      </c>
      <c r="AJ169" s="51" t="str">
        <f>+IF(GENERAL!AI170=GENERAL!$AI$2,GENERAL!$AI$2,CONCATENATE(OBSERVACIONES!AH169,"
ESTADO DE POSTVENTAS:  ",GENERAL!AI170))</f>
        <v>OK
ESTADO DE POSTVENTAS:  POSTVENTA CORREGIDA</v>
      </c>
      <c r="AK169" s="51" t="str">
        <f>+IF(GENERAL!AJ170=GENERAL!$AI$2,GENERAL!$AI$2,CONCATENATE(OBSERVACIONES!AI169,"
ESTADO DE POSTVENTAS:  ",GENERAL!AJ170))</f>
        <v>OK
ESTADO DE POSTVENTAS:  POSTVENTA CORREGIDA</v>
      </c>
      <c r="AL169" s="51" t="str">
        <f>+IF(GENERAL!AK170=GENERAL!$AI$2,GENERAL!$AI$2,CONCATENATE(OBSERVACIONES!AJ169,"
ESTADO DE POSTVENTAS:  ",GENERAL!AK170))</f>
        <v>OK
ESTADO DE POSTVENTAS:  POSTVENTA CORREGIDA</v>
      </c>
      <c r="AM169" s="51" t="str">
        <f>+IF(GENERAL!AN170=GENERAL!$AI$2,GENERAL!$AI$2,CONCATENATE(OBSERVACIONES!AM169,"
ESTADO DE POSTVENTAS:  ",GENERAL!AN170))</f>
        <v>OK
ESTADO DE POSTVENTAS:  POSTVENTA CORREGIDA</v>
      </c>
      <c r="AN169" s="37">
        <v>0</v>
      </c>
      <c r="AO169" s="37">
        <v>11</v>
      </c>
      <c r="AP169" s="37">
        <v>3</v>
      </c>
      <c r="AQ169" s="37">
        <v>0</v>
      </c>
      <c r="AR169" s="43">
        <v>14</v>
      </c>
      <c r="AS169" s="40">
        <v>12</v>
      </c>
      <c r="AT169" s="37">
        <f>COUNTIFS($D$5:$AM$5,"&lt;&gt;"&amp;CODICIONALES!$A$1,$D$5:$AM$5,"&lt;&gt;"&amp;CODICIONALES!$A$2,$D$5:$AM$5,"&lt;&gt;"&amp;CODICIONALES!$B$2,$D$5:$AM$5,"&lt;&gt;"&amp;CODICIONALES!$C$2)</f>
        <v>6</v>
      </c>
      <c r="AU169" s="43">
        <f>COUNTIFS(D169:AM169,CODICIONALES!$A$2)</f>
        <v>34</v>
      </c>
      <c r="AV169" s="40">
        <f t="shared" si="2"/>
        <v>-4</v>
      </c>
    </row>
    <row r="170" spans="1:49" ht="51" customHeight="1" x14ac:dyDescent="0.25">
      <c r="A170" s="110"/>
      <c r="B170" s="2">
        <v>166</v>
      </c>
      <c r="C170" s="21" t="s">
        <v>45</v>
      </c>
      <c r="D170" s="51" t="str">
        <f>+IF(GENERAL!E171=GENERAL!$AI$2,GENERAL!$AI$2,CONCATENATE(OBSERVACIONES!D170,"
ESTADO DE POSTVENTAS:  ",GENERAL!E171))</f>
        <v>NO ENTREGADO
ESTADO DE POSTVENTAS:  TIENE POSTVENTA</v>
      </c>
      <c r="E170" s="51" t="str">
        <f>+IF(GENERAL!F171=GENERAL!$AI$2,GENERAL!$AI$2,CONCATENATE(OBSERVACIONES!E170,"
ESTADO DE POSTVENTAS:  ",GENERAL!F171))</f>
        <v>OK
ESTADO DE POSTVENTAS:  POSTVENTA CORREGIDA</v>
      </c>
      <c r="F170" s="51" t="str">
        <f>+IF(GENERAL!G171=GENERAL!$AI$2,GENERAL!$AI$2,CONCATENATE(OBSERVACIONES!F170,"
ESTADO DE POSTVENTAS:  ",GENERAL!G171))</f>
        <v>OK
ESTADO DE POSTVENTAS:  POSTVENTA CORREGIDA</v>
      </c>
      <c r="G170" s="51" t="str">
        <f>+IF(GENERAL!H171=GENERAL!$AI$2,GENERAL!$AI$2,CONCATENATE(OBSERVACIONES!G170,"
ESTADO DE POSTVENTAS:  ",GENERAL!H171))</f>
        <v>NO ENTREGADO
ESTADO DE POSTVENTAS:  TIENE POSTVENTA</v>
      </c>
      <c r="H170" s="51" t="str">
        <f>+IF(GENERAL!I171=GENERAL!$AI$2,GENERAL!$AI$2,CONCATENATE(OBSERVACIONES!H170,"
ESTADO DE POSTVENTAS:  ",GENERAL!I171))</f>
        <v>OK
ESTADO DE POSTVENTAS:  POSTVENTA CORREGIDA</v>
      </c>
      <c r="I170" s="51" t="str">
        <f>+IF(GENERAL!J171=GENERAL!$AI$2,GENERAL!$AI$2,CONCATENATE(OBSERVACIONES!I170,"
ESTADO DE POSTVENTAS:  ",GENERAL!J171))</f>
        <v>OK
ESTADO DE POSTVENTAS:  POSTVENTA CORREGIDA</v>
      </c>
      <c r="J170" s="51" t="str">
        <f>+IF(GENERAL!K171=GENERAL!$AI$2,GENERAL!$AI$2,CONCATENATE(OBSERVACIONES!J170,"
ESTADO DE POSTVENTAS:  ",GENERAL!K171))</f>
        <v>OK
ESTADO DE POSTVENTAS:  POSTVENTA CORREGIDA</v>
      </c>
      <c r="K170" s="51" t="str">
        <f>+IF(GENERAL!L171=GENERAL!$AI$2,GENERAL!$AI$2,CONCATENATE(OBSERVACIONES!K170,"
ESTADO DE POSTVENTAS:  ",GENERAL!L171))</f>
        <v>OK
ESTADO DE POSTVENTAS:  POSTVENTA CORREGIDA</v>
      </c>
      <c r="L170" s="51" t="str">
        <f>+IF(GENERAL!M171=GENERAL!$AI$2,GENERAL!$AI$2,CONCATENATE(OBSERVACIONES!L170,"
ESTADO DE POSTVENTAS:  ",GENERAL!M171))</f>
        <v>OK
ESTADO DE POSTVENTAS:  POSTVENTA CORREGIDA</v>
      </c>
      <c r="M170" s="70" t="str">
        <f>+IF(GENERAL!N171=GENERAL!$AI$2,GENERAL!$AI$2,CONCATENATE(OBSERVACIONES!M170,"
ESTADO DE POSTVENTAS:  ",GENERAL!N171))</f>
        <v>OK
ESTADO DE POSTVENTAS:  POSTVENTA CORREGIDA</v>
      </c>
      <c r="N170" s="51" t="str">
        <f>+IF(GENERAL!O171=GENERAL!$AI$2,GENERAL!$AI$2,CONCATENATE(OBSERVACIONES!N170,"
ESTADO DE POSTVENTAS:  ",GENERAL!O171))</f>
        <v>OK
ESTADO DE POSTVENTAS:  POSTVENTA CORREGIDA</v>
      </c>
      <c r="O170" s="51" t="str">
        <f>+IF(GENERAL!P171=GENERAL!$AI$2,GENERAL!$AI$2,CONCATENATE(OBSERVACIONES!O170,"
ESTADO DE POSTVENTAS:  ",GENERAL!P171))</f>
        <v>OK
ESTADO DE POSTVENTAS:  POSTVENTA CORREGIDA</v>
      </c>
      <c r="P170" s="70" t="str">
        <f>+IF(GENERAL!Q171=GENERAL!$AI$2,GENERAL!$AI$2,CONCATENATE(OBSERVACIONES!P170,"
ESTADO DE POSTVENTAS:  ",GENERAL!Q171))</f>
        <v>OK
ESTADO DE POSTVENTAS:  POSTVENTA CORREGIDA</v>
      </c>
      <c r="Q170" s="70" t="str">
        <f>+IF(GENERAL!R171=GENERAL!$AI$2,GENERAL!$AI$2,CONCATENATE(OBSERVACIONES!Q170,"
ESTADO DE POSTVENTAS:  ",GENERAL!R171))</f>
        <v>OK
ESTADO DE POSTVENTAS:  POSTVENTA CORREGIDA</v>
      </c>
      <c r="R170" s="51" t="str">
        <f>+IF(GENERAL!S171=GENERAL!$AI$2,GENERAL!$AI$2,CONCATENATE(OBSERVACIONES!R170,"
ESTADO DE POSTVENTAS:  ",GENERAL!S171))</f>
        <v>OK
ESTADO DE POSTVENTAS:  POSTVENTA CORREGIDA</v>
      </c>
      <c r="S170" s="51" t="str">
        <f>+IF(GENERAL!T171=GENERAL!$AI$2,GENERAL!$AI$2,CONCATENATE(OBSERVACIONES!S170,"
ESTADO DE POSTVENTAS:  ",GENERAL!T171))</f>
        <v>OK
ESTADO DE POSTVENTAS:  POSTVENTA CORREGIDA</v>
      </c>
      <c r="T170" s="51" t="str">
        <f>+IF(GENERAL!U171=GENERAL!$AI$2,GENERAL!$AI$2,CONCATENATE(OBSERVACIONES!T170,"
ESTADO DE POSTVENTAS:  ",GENERAL!U171))</f>
        <v>OK
ESTADO DE POSTVENTAS:  POSTVENTA CORREGIDA</v>
      </c>
      <c r="U170" s="51" t="str">
        <f>+IF(GENERAL!V171=GENERAL!$AI$2,GENERAL!$AI$2,CONCATENATE(OBSERVACIONES!U170,"
ESTADO DE POSTVENTAS:  ",GENERAL!V171))</f>
        <v>OK
ESTADO DE POSTVENTAS:  POSTVENTA CORREGIDA</v>
      </c>
      <c r="V170" s="51" t="str">
        <f>+IF(GENERAL!W171=GENERAL!$AI$2,GENERAL!$AI$2,CONCATENATE(OBSERVACIONES!V170,"
ESTADO DE POSTVENTAS:  ",GENERAL!W171))</f>
        <v>OK
ESTADO DE POSTVENTAS:  POSTVENTA CORREGIDA</v>
      </c>
      <c r="W170" s="51" t="str">
        <f>+IF(GENERAL!V171=GENERAL!$AI$2,GENERAL!$AI$2,CONCATENATE(OBSERVACIONES!W170,"
ESTADO DE POSTVENTAS:  ",GENERAL!V171))</f>
        <v>OK
ESTADO DE POSTVENTAS:  POSTVENTA CORREGIDA</v>
      </c>
      <c r="X170" s="51" t="str">
        <f>+IF(GENERAL!W171=GENERAL!$AI$2,GENERAL!$AI$2,CONCATENATE(OBSERVACIONES!X170,"
ESTADO DE POSTVENTAS:  ",GENERAL!W171))</f>
        <v>OK
ESTADO DE POSTVENTAS:  POSTVENTA CORREGIDA</v>
      </c>
      <c r="Y170" s="51" t="str">
        <f>+IF(GENERAL!Z171=GENERAL!$AI$2,GENERAL!$AI$2,CONCATENATE(OBSERVACIONES!Y170,"
ESTADO DE POSTVENTAS:  ",GENERAL!Z171))</f>
        <v>OK
ESTADO DE POSTVENTAS:  POSTVENTA CORREGIDA</v>
      </c>
      <c r="Z170" s="51" t="str">
        <f>+IF(GENERAL!AA171=GENERAL!$AI$2,GENERAL!$AI$2,CONCATENATE(OBSERVACIONES!Z170,"
ESTADO DE POSTVENTAS:  ",GENERAL!AA171))</f>
        <v>OK
ESTADO DE POSTVENTAS:  POSTVENTA CORREGIDA</v>
      </c>
      <c r="AA170" s="51" t="str">
        <f>+IF(GENERAL!AB171=GENERAL!$AI$2,GENERAL!$AI$2,CONCATENATE(OBSERVACIONES!AA170,"
ESTADO DE POSTVENTAS:  ",GENERAL!AB171))</f>
        <v>OK
ESTADO DE POSTVENTAS:  POSTVENTA CORREGIDA</v>
      </c>
      <c r="AB170" s="51" t="str">
        <f>+IF(GENERAL!AC171=GENERAL!$AI$2,GENERAL!$AI$2,CONCATENATE(OBSERVACIONES!AB170,"
ESTADO DE POSTVENTAS:  ",GENERAL!AC171))</f>
        <v>OK
ESTADO DE POSTVENTAS:  POSTVENTA CORREGIDA</v>
      </c>
      <c r="AC170" s="51" t="str">
        <f>+IF(GENERAL!AD171=GENERAL!$AI$2,GENERAL!$AI$2,CONCATENATE(OBSERVACIONES!AC170,"
ESTADO DE POSTVENTAS:  ",GENERAL!AD171))</f>
        <v>OK
ESTADO DE POSTVENTAS:  POSTVENTA CORREGIDA</v>
      </c>
      <c r="AD170" s="51" t="str">
        <f>+IF(GENERAL!AE171=GENERAL!$AI$2,GENERAL!$AI$2,CONCATENATE(OBSERVACIONES!AD170,"
ESTADO DE POSTVENTAS:  ",GENERAL!AE171))</f>
        <v>OK
ESTADO DE POSTVENTAS:  POSTVENTA CORREGIDA</v>
      </c>
      <c r="AE170" s="51" t="str">
        <f>+IF(GENERAL!AF171=GENERAL!$AI$2,GENERAL!$AI$2,CONCATENATE(OBSERVACIONES!AE170,"
ESTADO DE POSTVENTAS:  ",GENERAL!AF171))</f>
        <v>OK
ESTADO DE POSTVENTAS:  POSTVENTA CORREGIDA</v>
      </c>
      <c r="AF170" s="51" t="str">
        <f>+IF(GENERAL!AG171=GENERAL!$AI$2,GENERAL!$AI$2,CONCATENATE(OBSERVACIONES!AF170,"
ESTADO DE POSTVENTAS:  ",GENERAL!AG171))</f>
        <v>OK
ESTADO DE POSTVENTAS:  POSTVENTA CORREGIDA</v>
      </c>
      <c r="AG170" s="51" t="str">
        <f>+IF(GENERAL!AH171=GENERAL!$AI$2,GENERAL!$AI$2,CONCATENATE(OBSERVACIONES!AG170,"
ESTADO DE POSTVENTAS:  ",GENERAL!AH171))</f>
        <v>OK
ESTADO DE POSTVENTAS:  POSTVENTA CORREGIDA</v>
      </c>
      <c r="AH170" s="51" t="str">
        <f>+IF(GENERAL!AI171=GENERAL!$AI$2,GENERAL!$AI$2,CONCATENATE(OBSERVACIONES!AH170,"
ESTADO DE POSTVENTAS:  ",GENERAL!AI171))</f>
        <v>OK
ESTADO DE POSTVENTAS:  POSTVENTA CORREGIDA</v>
      </c>
      <c r="AI170" s="51" t="str">
        <f>+IF(GENERAL!AG171=GENERAL!$AI$2,GENERAL!$AI$2,CONCATENATE(OBSERVACIONES!AF170,"
ESTADO DE POSTVENTAS:  ",GENERAL!AG171))</f>
        <v>OK
ESTADO DE POSTVENTAS:  POSTVENTA CORREGIDA</v>
      </c>
      <c r="AJ170" s="51" t="str">
        <f>+IF(GENERAL!AI171=GENERAL!$AI$2,GENERAL!$AI$2,CONCATENATE(OBSERVACIONES!AH170,"
ESTADO DE POSTVENTAS:  ",GENERAL!AI171))</f>
        <v>OK
ESTADO DE POSTVENTAS:  POSTVENTA CORREGIDA</v>
      </c>
      <c r="AK170" s="51" t="str">
        <f>+IF(GENERAL!AJ171=GENERAL!$AI$2,GENERAL!$AI$2,CONCATENATE(OBSERVACIONES!AI170,"
ESTADO DE POSTVENTAS:  ",GENERAL!AJ171))</f>
        <v>OK
ESTADO DE POSTVENTAS:  POSTVENTA CORREGIDA</v>
      </c>
      <c r="AL170" s="51" t="str">
        <f>+IF(GENERAL!AK171=GENERAL!$AI$2,GENERAL!$AI$2,CONCATENATE(OBSERVACIONES!AJ170,"
ESTADO DE POSTVENTAS:  ",GENERAL!AK171))</f>
        <v>OK
ESTADO DE POSTVENTAS:  POSTVENTA CORREGIDA</v>
      </c>
      <c r="AM170" s="51" t="str">
        <f>+IF(GENERAL!AN171=GENERAL!$AI$2,GENERAL!$AI$2,CONCATENATE(OBSERVACIONES!AM170,"
ESTADO DE POSTVENTAS:  ",GENERAL!AN171))</f>
        <v>OK
ESTADO DE POSTVENTAS:  POSTVENTA CORREGIDA</v>
      </c>
      <c r="AN170" s="37">
        <v>0</v>
      </c>
      <c r="AO170" s="37">
        <v>11</v>
      </c>
      <c r="AP170" s="37">
        <v>3</v>
      </c>
      <c r="AQ170" s="37">
        <v>0</v>
      </c>
      <c r="AR170" s="43">
        <v>14</v>
      </c>
      <c r="AS170" s="40">
        <v>12</v>
      </c>
      <c r="AT170" s="37">
        <f>COUNTIFS($D$5:$AM$5,"&lt;&gt;"&amp;CODICIONALES!$A$1,$D$5:$AM$5,"&lt;&gt;"&amp;CODICIONALES!$A$2,$D$5:$AM$5,"&lt;&gt;"&amp;CODICIONALES!$B$2,$D$5:$AM$5,"&lt;&gt;"&amp;CODICIONALES!$C$2)</f>
        <v>6</v>
      </c>
      <c r="AU170" s="43">
        <f>COUNTIFS(D170:AM170,CODICIONALES!$A$2)</f>
        <v>34</v>
      </c>
      <c r="AV170" s="40">
        <f t="shared" si="2"/>
        <v>-4</v>
      </c>
    </row>
    <row r="171" spans="1:49" ht="51" customHeight="1" x14ac:dyDescent="0.25">
      <c r="A171" s="110"/>
      <c r="B171" s="2">
        <v>167</v>
      </c>
      <c r="C171" s="21" t="s">
        <v>46</v>
      </c>
      <c r="D171" s="51" t="str">
        <f>+IF(GENERAL!E172=GENERAL!$AI$2,GENERAL!$AI$2,CONCATENATE(OBSERVACIONES!D171,"
ESTADO DE POSTVENTAS:  ",GENERAL!E172))</f>
        <v>NO ENTREGADO
ESTADO DE POSTVENTAS:  TIENE POSTVENTA</v>
      </c>
      <c r="E171" s="51" t="str">
        <f>+IF(GENERAL!F172=GENERAL!$AI$2,GENERAL!$AI$2,CONCATENATE(OBSERVACIONES!E171,"
ESTADO DE POSTVENTAS:  ",GENERAL!F172))</f>
        <v>OK
ESTADO DE POSTVENTAS:  POSTVENTA CORREGIDA</v>
      </c>
      <c r="F171" s="51" t="str">
        <f>+IF(GENERAL!G172=GENERAL!$AI$2,GENERAL!$AI$2,CONCATENATE(OBSERVACIONES!F171,"
ESTADO DE POSTVENTAS:  ",GENERAL!G172))</f>
        <v>OK
ESTADO DE POSTVENTAS:  POSTVENTA CORREGIDA</v>
      </c>
      <c r="G171" s="51" t="str">
        <f>+IF(GENERAL!H172=GENERAL!$AI$2,GENERAL!$AI$2,CONCATENATE(OBSERVACIONES!G171,"
ESTADO DE POSTVENTAS:  ",GENERAL!H172))</f>
        <v>NO ENTREGADO
ESTADO DE POSTVENTAS:  TIENE POSTVENTA</v>
      </c>
      <c r="H171" s="51" t="str">
        <f>+IF(GENERAL!I172=GENERAL!$AI$2,GENERAL!$AI$2,CONCATENATE(OBSERVACIONES!H171,"
ESTADO DE POSTVENTAS:  ",GENERAL!I172))</f>
        <v>OK
ESTADO DE POSTVENTAS:  POSTVENTA CORREGIDA</v>
      </c>
      <c r="I171" s="51" t="str">
        <f>+IF(GENERAL!J172=GENERAL!$AI$2,GENERAL!$AI$2,CONCATENATE(OBSERVACIONES!I171,"
ESTADO DE POSTVENTAS:  ",GENERAL!J172))</f>
        <v>OK
ESTADO DE POSTVENTAS:  POSTVENTA CORREGIDA</v>
      </c>
      <c r="J171" s="51" t="str">
        <f>+IF(GENERAL!K172=GENERAL!$AI$2,GENERAL!$AI$2,CONCATENATE(OBSERVACIONES!J171,"
ESTADO DE POSTVENTAS:  ",GENERAL!K172))</f>
        <v>OK
ESTADO DE POSTVENTAS:  POSTVENTA CORREGIDA</v>
      </c>
      <c r="K171" s="51" t="str">
        <f>+IF(GENERAL!L172=GENERAL!$AI$2,GENERAL!$AI$2,CONCATENATE(OBSERVACIONES!K171,"
ESTADO DE POSTVENTAS:  ",GENERAL!L172))</f>
        <v>OK
ESTADO DE POSTVENTAS:  POSTVENTA CORREGIDA</v>
      </c>
      <c r="L171" s="51" t="str">
        <f>+IF(GENERAL!M172=GENERAL!$AI$2,GENERAL!$AI$2,CONCATENATE(OBSERVACIONES!L171,"
ESTADO DE POSTVENTAS:  ",GENERAL!M172))</f>
        <v>OK
ESTADO DE POSTVENTAS:  POSTVENTA CORREGIDA</v>
      </c>
      <c r="M171" s="70" t="str">
        <f>+IF(GENERAL!N172=GENERAL!$AI$2,GENERAL!$AI$2,CONCATENATE(OBSERVACIONES!M171,"
ESTADO DE POSTVENTAS:  ",GENERAL!N172))</f>
        <v>OK
ESTADO DE POSTVENTAS:  POSTVENTA CORREGIDA</v>
      </c>
      <c r="N171" s="51" t="str">
        <f>+IF(GENERAL!O172=GENERAL!$AI$2,GENERAL!$AI$2,CONCATENATE(OBSERVACIONES!N171,"
ESTADO DE POSTVENTAS:  ",GENERAL!O172))</f>
        <v>OK
ESTADO DE POSTVENTAS:  POSTVENTA CORREGIDA</v>
      </c>
      <c r="O171" s="51" t="str">
        <f>+IF(GENERAL!P172=GENERAL!$AI$2,GENERAL!$AI$2,CONCATENATE(OBSERVACIONES!O171,"
ESTADO DE POSTVENTAS:  ",GENERAL!P172))</f>
        <v>OK
ESTADO DE POSTVENTAS:  POSTVENTA CORREGIDA</v>
      </c>
      <c r="P171" s="70" t="str">
        <f>+IF(GENERAL!Q172=GENERAL!$AI$2,GENERAL!$AI$2,CONCATENATE(OBSERVACIONES!P171,"
ESTADO DE POSTVENTAS:  ",GENERAL!Q172))</f>
        <v>OK
ESTADO DE POSTVENTAS:  POSTVENTA CORREGIDA</v>
      </c>
      <c r="Q171" s="70" t="str">
        <f>+IF(GENERAL!R172=GENERAL!$AI$2,GENERAL!$AI$2,CONCATENATE(OBSERVACIONES!Q171,"
ESTADO DE POSTVENTAS:  ",GENERAL!R172))</f>
        <v>OK
ESTADO DE POSTVENTAS:  POSTVENTA CORREGIDA</v>
      </c>
      <c r="R171" s="51" t="str">
        <f>+IF(GENERAL!S172=GENERAL!$AI$2,GENERAL!$AI$2,CONCATENATE(OBSERVACIONES!R171,"
ESTADO DE POSTVENTAS:  ",GENERAL!S172))</f>
        <v>OK
ESTADO DE POSTVENTAS:  POSTVENTA CORREGIDA</v>
      </c>
      <c r="S171" s="51" t="str">
        <f>+IF(GENERAL!T172=GENERAL!$AI$2,GENERAL!$AI$2,CONCATENATE(OBSERVACIONES!S171,"
ESTADO DE POSTVENTAS:  ",GENERAL!T172))</f>
        <v>OK
ESTADO DE POSTVENTAS:  POSTVENTA CORREGIDA</v>
      </c>
      <c r="T171" s="51" t="str">
        <f>+IF(GENERAL!U172=GENERAL!$AI$2,GENERAL!$AI$2,CONCATENATE(OBSERVACIONES!T171,"
ESTADO DE POSTVENTAS:  ",GENERAL!U172))</f>
        <v>OK
ESTADO DE POSTVENTAS:  POSTVENTA CORREGIDA</v>
      </c>
      <c r="U171" s="51" t="str">
        <f>+IF(GENERAL!V172=GENERAL!$AI$2,GENERAL!$AI$2,CONCATENATE(OBSERVACIONES!U171,"
ESTADO DE POSTVENTAS:  ",GENERAL!V172))</f>
        <v>OK
ESTADO DE POSTVENTAS:  POSTVENTA CORREGIDA</v>
      </c>
      <c r="V171" s="51" t="str">
        <f>+IF(GENERAL!W172=GENERAL!$AI$2,GENERAL!$AI$2,CONCATENATE(OBSERVACIONES!V171,"
ESTADO DE POSTVENTAS:  ",GENERAL!W172))</f>
        <v>OK
ESTADO DE POSTVENTAS:  POSTVENTA CORREGIDA</v>
      </c>
      <c r="W171" s="51" t="str">
        <f>+IF(GENERAL!V172=GENERAL!$AI$2,GENERAL!$AI$2,CONCATENATE(OBSERVACIONES!W171,"
ESTADO DE POSTVENTAS:  ",GENERAL!V172))</f>
        <v>OK
ESTADO DE POSTVENTAS:  POSTVENTA CORREGIDA</v>
      </c>
      <c r="X171" s="51" t="str">
        <f>+IF(GENERAL!W172=GENERAL!$AI$2,GENERAL!$AI$2,CONCATENATE(OBSERVACIONES!X171,"
ESTADO DE POSTVENTAS:  ",GENERAL!W172))</f>
        <v>OK
ESTADO DE POSTVENTAS:  POSTVENTA CORREGIDA</v>
      </c>
      <c r="Y171" s="51" t="str">
        <f>+IF(GENERAL!Z172=GENERAL!$AI$2,GENERAL!$AI$2,CONCATENATE(OBSERVACIONES!Y171,"
ESTADO DE POSTVENTAS:  ",GENERAL!Z172))</f>
        <v>OK
ESTADO DE POSTVENTAS:  POSTVENTA CORREGIDA</v>
      </c>
      <c r="Z171" s="51" t="str">
        <f>+IF(GENERAL!AA172=GENERAL!$AI$2,GENERAL!$AI$2,CONCATENATE(OBSERVACIONES!Z171,"
ESTADO DE POSTVENTAS:  ",GENERAL!AA172))</f>
        <v>OK
ESTADO DE POSTVENTAS:  POSTVENTA CORREGIDA</v>
      </c>
      <c r="AA171" s="51" t="str">
        <f>+IF(GENERAL!AB172=GENERAL!$AI$2,GENERAL!$AI$2,CONCATENATE(OBSERVACIONES!AA171,"
ESTADO DE POSTVENTAS:  ",GENERAL!AB172))</f>
        <v>OK
ESTADO DE POSTVENTAS:  POSTVENTA CORREGIDA</v>
      </c>
      <c r="AB171" s="51" t="str">
        <f>+IF(GENERAL!AC172=GENERAL!$AI$2,GENERAL!$AI$2,CONCATENATE(OBSERVACIONES!AB171,"
ESTADO DE POSTVENTAS:  ",GENERAL!AC172))</f>
        <v>OK
ESTADO DE POSTVENTAS:  POSTVENTA CORREGIDA</v>
      </c>
      <c r="AC171" s="51" t="str">
        <f>+IF(GENERAL!AD172=GENERAL!$AI$2,GENERAL!$AI$2,CONCATENATE(OBSERVACIONES!AC171,"
ESTADO DE POSTVENTAS:  ",GENERAL!AD172))</f>
        <v>OK
ESTADO DE POSTVENTAS:  POSTVENTA CORREGIDA</v>
      </c>
      <c r="AD171" s="51" t="str">
        <f>+IF(GENERAL!AE172=GENERAL!$AI$2,GENERAL!$AI$2,CONCATENATE(OBSERVACIONES!AD171,"
ESTADO DE POSTVENTAS:  ",GENERAL!AE172))</f>
        <v>OK
ESTADO DE POSTVENTAS:  POSTVENTA CORREGIDA</v>
      </c>
      <c r="AE171" s="51" t="str">
        <f>+IF(GENERAL!AF172=GENERAL!$AI$2,GENERAL!$AI$2,CONCATENATE(OBSERVACIONES!AE171,"
ESTADO DE POSTVENTAS:  ",GENERAL!AF172))</f>
        <v>OK
ESTADO DE POSTVENTAS:  POSTVENTA CORREGIDA</v>
      </c>
      <c r="AF171" s="51" t="str">
        <f>+IF(GENERAL!AG172=GENERAL!$AI$2,GENERAL!$AI$2,CONCATENATE(OBSERVACIONES!AF171,"
ESTADO DE POSTVENTAS:  ",GENERAL!AG172))</f>
        <v>OK
ESTADO DE POSTVENTAS:  POSTVENTA CORREGIDA</v>
      </c>
      <c r="AG171" s="51" t="str">
        <f>+IF(GENERAL!AH172=GENERAL!$AI$2,GENERAL!$AI$2,CONCATENATE(OBSERVACIONES!AG171,"
ESTADO DE POSTVENTAS:  ",GENERAL!AH172))</f>
        <v>OK
ESTADO DE POSTVENTAS:  POSTVENTA CORREGIDA</v>
      </c>
      <c r="AH171" s="51" t="str">
        <f>+IF(GENERAL!AI172=GENERAL!$AI$2,GENERAL!$AI$2,CONCATENATE(OBSERVACIONES!AH171,"
ESTADO DE POSTVENTAS:  ",GENERAL!AI172))</f>
        <v>OK
ESTADO DE POSTVENTAS:  POSTVENTA CORREGIDA</v>
      </c>
      <c r="AI171" s="51" t="str">
        <f>+IF(GENERAL!AG172=GENERAL!$AI$2,GENERAL!$AI$2,CONCATENATE(OBSERVACIONES!AF171,"
ESTADO DE POSTVENTAS:  ",GENERAL!AG172))</f>
        <v>OK
ESTADO DE POSTVENTAS:  POSTVENTA CORREGIDA</v>
      </c>
      <c r="AJ171" s="51" t="str">
        <f>+IF(GENERAL!AI172=GENERAL!$AI$2,GENERAL!$AI$2,CONCATENATE(OBSERVACIONES!AH171,"
ESTADO DE POSTVENTAS:  ",GENERAL!AI172))</f>
        <v>OK
ESTADO DE POSTVENTAS:  POSTVENTA CORREGIDA</v>
      </c>
      <c r="AK171" s="51" t="str">
        <f>+IF(GENERAL!AJ172=GENERAL!$AI$2,GENERAL!$AI$2,CONCATENATE(OBSERVACIONES!AI171,"
ESTADO DE POSTVENTAS:  ",GENERAL!AJ172))</f>
        <v>OK
ESTADO DE POSTVENTAS:  POSTVENTA CORREGIDA</v>
      </c>
      <c r="AL171" s="51" t="str">
        <f>+IF(GENERAL!AK172=GENERAL!$AI$2,GENERAL!$AI$2,CONCATENATE(OBSERVACIONES!AJ171,"
ESTADO DE POSTVENTAS:  ",GENERAL!AK172))</f>
        <v>OK
ESTADO DE POSTVENTAS:  POSTVENTA CORREGIDA</v>
      </c>
      <c r="AM171" s="51" t="str">
        <f>+IF(GENERAL!AN172=GENERAL!$AI$2,GENERAL!$AI$2,CONCATENATE(OBSERVACIONES!AM171,"
ESTADO DE POSTVENTAS:  ",GENERAL!AN172))</f>
        <v>OK
ESTADO DE POSTVENTAS:  POSTVENTA CORREGIDA</v>
      </c>
      <c r="AN171" s="37">
        <v>0</v>
      </c>
      <c r="AO171" s="37">
        <v>11</v>
      </c>
      <c r="AP171" s="37">
        <v>3</v>
      </c>
      <c r="AQ171" s="37">
        <v>0</v>
      </c>
      <c r="AR171" s="43">
        <v>14</v>
      </c>
      <c r="AS171" s="40">
        <v>12</v>
      </c>
      <c r="AT171" s="37">
        <f>COUNTIFS($D$5:$AM$5,"&lt;&gt;"&amp;CODICIONALES!$A$1,$D$5:$AM$5,"&lt;&gt;"&amp;CODICIONALES!$A$2,$D$5:$AM$5,"&lt;&gt;"&amp;CODICIONALES!$B$2,$D$5:$AM$5,"&lt;&gt;"&amp;CODICIONALES!$C$2)</f>
        <v>6</v>
      </c>
      <c r="AU171" s="43">
        <f>COUNTIFS(D171:AM171,CODICIONALES!$A$2)</f>
        <v>34</v>
      </c>
      <c r="AV171" s="40">
        <f t="shared" si="2"/>
        <v>-4</v>
      </c>
    </row>
    <row r="172" spans="1:49" ht="51" customHeight="1" x14ac:dyDescent="0.25">
      <c r="A172" s="110"/>
      <c r="B172" s="2">
        <v>168</v>
      </c>
      <c r="C172" s="21" t="s">
        <v>59</v>
      </c>
      <c r="D172" s="51" t="str">
        <f>+IF(GENERAL!E173=GENERAL!$AI$2,GENERAL!$AI$2,CONCATENATE(OBSERVACIONES!D172,"
ESTADO DE POSTVENTAS:  ",GENERAL!E173))</f>
        <v>NO ENTREGADO
ESTADO DE POSTVENTAS:  TIENE POSTVENTA</v>
      </c>
      <c r="E172" s="51" t="str">
        <f>+IF(GENERAL!F173=GENERAL!$AI$2,GENERAL!$AI$2,CONCATENATE(OBSERVACIONES!E172,"
ESTADO DE POSTVENTAS:  ",GENERAL!F173))</f>
        <v>OK
ESTADO DE POSTVENTAS:  POSTVENTA CORREGIDA</v>
      </c>
      <c r="F172" s="51" t="str">
        <f>+IF(GENERAL!G173=GENERAL!$AI$2,GENERAL!$AI$2,CONCATENATE(OBSERVACIONES!F172,"
ESTADO DE POSTVENTAS:  ",GENERAL!G173))</f>
        <v>OK
ESTADO DE POSTVENTAS:  POSTVENTA CORREGIDA</v>
      </c>
      <c r="G172" s="51" t="str">
        <f>+IF(GENERAL!H173=GENERAL!$AI$2,GENERAL!$AI$2,CONCATENATE(OBSERVACIONES!G172,"
ESTADO DE POSTVENTAS:  ",GENERAL!H173))</f>
        <v>NO ENTREGADO
ESTADO DE POSTVENTAS:  TIENE POSTVENTA</v>
      </c>
      <c r="H172" s="51" t="str">
        <f>+IF(GENERAL!I173=GENERAL!$AI$2,GENERAL!$AI$2,CONCATENATE(OBSERVACIONES!H172,"
ESTADO DE POSTVENTAS:  ",GENERAL!I173))</f>
        <v>OK
ESTADO DE POSTVENTAS:  POSTVENTA CORREGIDA</v>
      </c>
      <c r="I172" s="51" t="str">
        <f>+IF(GENERAL!J173=GENERAL!$AI$2,GENERAL!$AI$2,CONCATENATE(OBSERVACIONES!I172,"
ESTADO DE POSTVENTAS:  ",GENERAL!J173))</f>
        <v>OK
ESTADO DE POSTVENTAS:  POSTVENTA CORREGIDA</v>
      </c>
      <c r="J172" s="51" t="str">
        <f>+IF(GENERAL!K173=GENERAL!$AI$2,GENERAL!$AI$2,CONCATENATE(OBSERVACIONES!J172,"
ESTADO DE POSTVENTAS:  ",GENERAL!K173))</f>
        <v>OK
ESTADO DE POSTVENTAS:  POSTVENTA CORREGIDA</v>
      </c>
      <c r="K172" s="51" t="str">
        <f>+IF(GENERAL!L173=GENERAL!$AI$2,GENERAL!$AI$2,CONCATENATE(OBSERVACIONES!K172,"
ESTADO DE POSTVENTAS:  ",GENERAL!L173))</f>
        <v>OK
ESTADO DE POSTVENTAS:  POSTVENTA CORREGIDA</v>
      </c>
      <c r="L172" s="51" t="str">
        <f>+IF(GENERAL!M173=GENERAL!$AI$2,GENERAL!$AI$2,CONCATENATE(OBSERVACIONES!L172,"
ESTADO DE POSTVENTAS:  ",GENERAL!M173))</f>
        <v>OK
ESTADO DE POSTVENTAS:  POSTVENTA CORREGIDA</v>
      </c>
      <c r="M172" s="70" t="str">
        <f>+IF(GENERAL!N173=GENERAL!$AI$2,GENERAL!$AI$2,CONCATENATE(OBSERVACIONES!M172,"
ESTADO DE POSTVENTAS:  ",GENERAL!N173))</f>
        <v>OK
ESTADO DE POSTVENTAS:  POSTVENTA CORREGIDA</v>
      </c>
      <c r="N172" s="51" t="str">
        <f>+IF(GENERAL!O173=GENERAL!$AI$2,GENERAL!$AI$2,CONCATENATE(OBSERVACIONES!N172,"
ESTADO DE POSTVENTAS:  ",GENERAL!O173))</f>
        <v>OK
ESTADO DE POSTVENTAS:  POSTVENTA CORREGIDA</v>
      </c>
      <c r="O172" s="51" t="str">
        <f>+IF(GENERAL!P173=GENERAL!$AI$2,GENERAL!$AI$2,CONCATENATE(OBSERVACIONES!O172,"
ESTADO DE POSTVENTAS:  ",GENERAL!P173))</f>
        <v>OK
ESTADO DE POSTVENTAS:  POSTVENTA CORREGIDA</v>
      </c>
      <c r="P172" s="70" t="str">
        <f>+IF(GENERAL!Q173=GENERAL!$AI$2,GENERAL!$AI$2,CONCATENATE(OBSERVACIONES!P172,"
ESTADO DE POSTVENTAS:  ",GENERAL!Q173))</f>
        <v>OK
ESTADO DE POSTVENTAS:  POSTVENTA CORREGIDA</v>
      </c>
      <c r="Q172" s="70" t="str">
        <f>+IF(GENERAL!R173=GENERAL!$AI$2,GENERAL!$AI$2,CONCATENATE(OBSERVACIONES!Q172,"
ESTADO DE POSTVENTAS:  ",GENERAL!R173))</f>
        <v>OK
ESTADO DE POSTVENTAS:  POSTVENTA CORREGIDA</v>
      </c>
      <c r="R172" s="51" t="str">
        <f>+IF(GENERAL!S173=GENERAL!$AI$2,GENERAL!$AI$2,CONCATENATE(OBSERVACIONES!R172,"
ESTADO DE POSTVENTAS:  ",GENERAL!S173))</f>
        <v>OK
ESTADO DE POSTVENTAS:  POSTVENTA CORREGIDA</v>
      </c>
      <c r="S172" s="51" t="str">
        <f>+IF(GENERAL!T173=GENERAL!$AI$2,GENERAL!$AI$2,CONCATENATE(OBSERVACIONES!S172,"
ESTADO DE POSTVENTAS:  ",GENERAL!T173))</f>
        <v>OK
ESTADO DE POSTVENTAS:  POSTVENTA CORREGIDA</v>
      </c>
      <c r="T172" s="51" t="str">
        <f>+IF(GENERAL!U173=GENERAL!$AI$2,GENERAL!$AI$2,CONCATENATE(OBSERVACIONES!T172,"
ESTADO DE POSTVENTAS:  ",GENERAL!U173))</f>
        <v>OK
ESTADO DE POSTVENTAS:  POSTVENTA CORREGIDA</v>
      </c>
      <c r="U172" s="51" t="str">
        <f>+IF(GENERAL!V173=GENERAL!$AI$2,GENERAL!$AI$2,CONCATENATE(OBSERVACIONES!U172,"
ESTADO DE POSTVENTAS:  ",GENERAL!V173))</f>
        <v>OK
ESTADO DE POSTVENTAS:  POSTVENTA CORREGIDA</v>
      </c>
      <c r="V172" s="51" t="str">
        <f>+IF(GENERAL!W173=GENERAL!$AI$2,GENERAL!$AI$2,CONCATENATE(OBSERVACIONES!V172,"
ESTADO DE POSTVENTAS:  ",GENERAL!W173))</f>
        <v>OK
ESTADO DE POSTVENTAS:  POSTVENTA CORREGIDA</v>
      </c>
      <c r="W172" s="51" t="str">
        <f>+IF(GENERAL!V173=GENERAL!$AI$2,GENERAL!$AI$2,CONCATENATE(OBSERVACIONES!W172,"
ESTADO DE POSTVENTAS:  ",GENERAL!V173))</f>
        <v>OK
ESTADO DE POSTVENTAS:  POSTVENTA CORREGIDA</v>
      </c>
      <c r="X172" s="51" t="str">
        <f>+IF(GENERAL!W173=GENERAL!$AI$2,GENERAL!$AI$2,CONCATENATE(OBSERVACIONES!X172,"
ESTADO DE POSTVENTAS:  ",GENERAL!W173))</f>
        <v>OK
ESTADO DE POSTVENTAS:  POSTVENTA CORREGIDA</v>
      </c>
      <c r="Y172" s="51" t="str">
        <f>+IF(GENERAL!Z173=GENERAL!$AI$2,GENERAL!$AI$2,CONCATENATE(OBSERVACIONES!Y172,"
ESTADO DE POSTVENTAS:  ",GENERAL!Z173))</f>
        <v>OK
ESTADO DE POSTVENTAS:  POSTVENTA CORREGIDA</v>
      </c>
      <c r="Z172" s="51" t="str">
        <f>+IF(GENERAL!AA173=GENERAL!$AI$2,GENERAL!$AI$2,CONCATENATE(OBSERVACIONES!Z172,"
ESTADO DE POSTVENTAS:  ",GENERAL!AA173))</f>
        <v>OK
ESTADO DE POSTVENTAS:  POSTVENTA CORREGIDA</v>
      </c>
      <c r="AA172" s="51" t="str">
        <f>+IF(GENERAL!AB173=GENERAL!$AI$2,GENERAL!$AI$2,CONCATENATE(OBSERVACIONES!AA172,"
ESTADO DE POSTVENTAS:  ",GENERAL!AB173))</f>
        <v>OK
ESTADO DE POSTVENTAS:  POSTVENTA CORREGIDA</v>
      </c>
      <c r="AB172" s="51" t="str">
        <f>+IF(GENERAL!AC173=GENERAL!$AI$2,GENERAL!$AI$2,CONCATENATE(OBSERVACIONES!AB172,"
ESTADO DE POSTVENTAS:  ",GENERAL!AC173))</f>
        <v>OK
ESTADO DE POSTVENTAS:  POSTVENTA CORREGIDA</v>
      </c>
      <c r="AC172" s="51" t="str">
        <f>+IF(GENERAL!AD173=GENERAL!$AI$2,GENERAL!$AI$2,CONCATENATE(OBSERVACIONES!AC172,"
ESTADO DE POSTVENTAS:  ",GENERAL!AD173))</f>
        <v>OK
ESTADO DE POSTVENTAS:  POSTVENTA CORREGIDA</v>
      </c>
      <c r="AD172" s="51" t="str">
        <f>+IF(GENERAL!AE173=GENERAL!$AI$2,GENERAL!$AI$2,CONCATENATE(OBSERVACIONES!AD172,"
ESTADO DE POSTVENTAS:  ",GENERAL!AE173))</f>
        <v>OK
ESTADO DE POSTVENTAS:  POSTVENTA CORREGIDA</v>
      </c>
      <c r="AE172" s="51" t="str">
        <f>+IF(GENERAL!AF173=GENERAL!$AI$2,GENERAL!$AI$2,CONCATENATE(OBSERVACIONES!AE172,"
ESTADO DE POSTVENTAS:  ",GENERAL!AF173))</f>
        <v>OK
ESTADO DE POSTVENTAS:  POSTVENTA CORREGIDA</v>
      </c>
      <c r="AF172" s="51" t="str">
        <f>+IF(GENERAL!AG173=GENERAL!$AI$2,GENERAL!$AI$2,CONCATENATE(OBSERVACIONES!AF172,"
ESTADO DE POSTVENTAS:  ",GENERAL!AG173))</f>
        <v>OK
ESTADO DE POSTVENTAS:  POSTVENTA CORREGIDA</v>
      </c>
      <c r="AG172" s="51" t="str">
        <f>+IF(GENERAL!AH173=GENERAL!$AI$2,GENERAL!$AI$2,CONCATENATE(OBSERVACIONES!AG172,"
ESTADO DE POSTVENTAS:  ",GENERAL!AH173))</f>
        <v>DETALELS JUNTAS
ESTADO DE POSTVENTAS:  TIENE POSTVENTA</v>
      </c>
      <c r="AH172" s="51" t="str">
        <f>+IF(GENERAL!AI173=GENERAL!$AI$2,GENERAL!$AI$2,CONCATENATE(OBSERVACIONES!AH172,"
ESTADO DE POSTVENTAS:  ",GENERAL!AI173))</f>
        <v>OK
ESTADO DE POSTVENTAS:  POSTVENTA CORREGIDA</v>
      </c>
      <c r="AI172" s="51" t="str">
        <f>+IF(GENERAL!AG173=GENERAL!$AI$2,GENERAL!$AI$2,CONCATENATE(OBSERVACIONES!AF172,"
ESTADO DE POSTVENTAS:  ",GENERAL!AG173))</f>
        <v>OK
ESTADO DE POSTVENTAS:  POSTVENTA CORREGIDA</v>
      </c>
      <c r="AJ172" s="51" t="str">
        <f>+IF(GENERAL!AI173=GENERAL!$AI$2,GENERAL!$AI$2,CONCATENATE(OBSERVACIONES!AH172,"
ESTADO DE POSTVENTAS:  ",GENERAL!AI173))</f>
        <v>OK
ESTADO DE POSTVENTAS:  POSTVENTA CORREGIDA</v>
      </c>
      <c r="AK172" s="51" t="str">
        <f>+IF(GENERAL!AJ173=GENERAL!$AI$2,GENERAL!$AI$2,CONCATENATE(OBSERVACIONES!AI172,"
ESTADO DE POSTVENTAS:  ",GENERAL!AJ173))</f>
        <v>OK
ESTADO DE POSTVENTAS:  POSTVENTA CORREGIDA</v>
      </c>
      <c r="AL172" s="51" t="str">
        <f>+IF(GENERAL!AK173=GENERAL!$AI$2,GENERAL!$AI$2,CONCATENATE(OBSERVACIONES!AJ172,"
ESTADO DE POSTVENTAS:  ",GENERAL!AK173))</f>
        <v>OK
ESTADO DE POSTVENTAS:  POSTVENTA CORREGIDA</v>
      </c>
      <c r="AM172" s="51" t="str">
        <f>+IF(GENERAL!AN173=GENERAL!$AI$2,GENERAL!$AI$2,CONCATENATE(OBSERVACIONES!AM172,"
ESTADO DE POSTVENTAS:  ",GENERAL!AN173))</f>
        <v>OK
ESTADO DE POSTVENTAS:  POSTVENTA CORREGIDA</v>
      </c>
      <c r="AN172" s="37">
        <v>0</v>
      </c>
      <c r="AO172" s="37">
        <v>11</v>
      </c>
      <c r="AP172" s="37">
        <v>3</v>
      </c>
      <c r="AQ172" s="37">
        <v>0</v>
      </c>
      <c r="AR172" s="43">
        <v>14</v>
      </c>
      <c r="AS172" s="40">
        <v>12</v>
      </c>
      <c r="AT172" s="37">
        <f>COUNTIFS($D$5:$AM$5,"&lt;&gt;"&amp;CODICIONALES!$A$1,$D$5:$AM$5,"&lt;&gt;"&amp;CODICIONALES!$A$2,$D$5:$AM$5,"&lt;&gt;"&amp;CODICIONALES!$B$2,$D$5:$AM$5,"&lt;&gt;"&amp;CODICIONALES!$C$2)</f>
        <v>6</v>
      </c>
      <c r="AU172" s="43">
        <f>COUNTIFS(D172:AM172,CODICIONALES!$A$2)</f>
        <v>33</v>
      </c>
      <c r="AV172" s="40">
        <f t="shared" si="2"/>
        <v>-3</v>
      </c>
    </row>
    <row r="173" spans="1:49" ht="51" customHeight="1" x14ac:dyDescent="0.25">
      <c r="A173" s="110"/>
      <c r="B173" s="2">
        <v>169</v>
      </c>
      <c r="C173" s="21" t="s">
        <v>61</v>
      </c>
      <c r="D173" s="51" t="str">
        <f>+IF(GENERAL!E174=GENERAL!$AI$2,GENERAL!$AI$2,CONCATENATE(OBSERVACIONES!D173,"
ESTADO DE POSTVENTAS:  ",GENERAL!E174))</f>
        <v>NO ENTREGADO
ESTADO DE POSTVENTAS:  TIENE POSTVENTA</v>
      </c>
      <c r="E173" s="51" t="str">
        <f>+IF(GENERAL!F174=GENERAL!$AI$2,GENERAL!$AI$2,CONCATENATE(OBSERVACIONES!E173,"
ESTADO DE POSTVENTAS:  ",GENERAL!F174))</f>
        <v>OK
ESTADO DE POSTVENTAS:  POSTVENTA CORREGIDA</v>
      </c>
      <c r="F173" s="51" t="str">
        <f>+IF(GENERAL!G174=GENERAL!$AI$2,GENERAL!$AI$2,CONCATENATE(OBSERVACIONES!F173,"
ESTADO DE POSTVENTAS:  ",GENERAL!G174))</f>
        <v>OK
ESTADO DE POSTVENTAS:  POSTVENTA CORREGIDA</v>
      </c>
      <c r="G173" s="51" t="str">
        <f>+IF(GENERAL!H174=GENERAL!$AI$2,GENERAL!$AI$2,CONCATENATE(OBSERVACIONES!G173,"
ESTADO DE POSTVENTAS:  ",GENERAL!H174))</f>
        <v>NO ENTREGADO
ESTADO DE POSTVENTAS:  TIENE POSTVENTA</v>
      </c>
      <c r="H173" s="51" t="str">
        <f>+IF(GENERAL!I174=GENERAL!$AI$2,GENERAL!$AI$2,CONCATENATE(OBSERVACIONES!H173,"
ESTADO DE POSTVENTAS:  ",GENERAL!I174))</f>
        <v>OK
ESTADO DE POSTVENTAS:  POSTVENTA CORREGIDA</v>
      </c>
      <c r="I173" s="51" t="str">
        <f>+IF(GENERAL!J174=GENERAL!$AI$2,GENERAL!$AI$2,CONCATENATE(OBSERVACIONES!I173,"
ESTADO DE POSTVENTAS:  ",GENERAL!J174))</f>
        <v>OK
ESTADO DE POSTVENTAS:  POSTVENTA CORREGIDA</v>
      </c>
      <c r="J173" s="51" t="str">
        <f>+IF(GENERAL!K174=GENERAL!$AI$2,GENERAL!$AI$2,CONCATENATE(OBSERVACIONES!J173,"
ESTADO DE POSTVENTAS:  ",GENERAL!K174))</f>
        <v>OK
ESTADO DE POSTVENTAS:  POSTVENTA CORREGIDA</v>
      </c>
      <c r="K173" s="51" t="str">
        <f>+IF(GENERAL!L174=GENERAL!$AI$2,GENERAL!$AI$2,CONCATENATE(OBSERVACIONES!K173,"
ESTADO DE POSTVENTAS:  ",GENERAL!L174))</f>
        <v>OK
ESTADO DE POSTVENTAS:  POSTVENTA CORREGIDA</v>
      </c>
      <c r="L173" s="51" t="str">
        <f>+IF(GENERAL!M174=GENERAL!$AI$2,GENERAL!$AI$2,CONCATENATE(OBSERVACIONES!L173,"
ESTADO DE POSTVENTAS:  ",GENERAL!M174))</f>
        <v>OK
ESTADO DE POSTVENTAS:  POSTVENTA CORREGIDA</v>
      </c>
      <c r="M173" s="70" t="str">
        <f>+IF(GENERAL!N174=GENERAL!$AI$2,GENERAL!$AI$2,CONCATENATE(OBSERVACIONES!M173,"
ESTADO DE POSTVENTAS:  ",GENERAL!N174))</f>
        <v>OK
ESTADO DE POSTVENTAS:  POSTVENTA CORREGIDA</v>
      </c>
      <c r="N173" s="51" t="str">
        <f>+IF(GENERAL!O174=GENERAL!$AI$2,GENERAL!$AI$2,CONCATENATE(OBSERVACIONES!N173,"
ESTADO DE POSTVENTAS:  ",GENERAL!O174))</f>
        <v>OK
ESTADO DE POSTVENTAS:  POSTVENTA CORREGIDA</v>
      </c>
      <c r="O173" s="51" t="str">
        <f>+IF(GENERAL!P174=GENERAL!$AI$2,GENERAL!$AI$2,CONCATENATE(OBSERVACIONES!O173,"
ESTADO DE POSTVENTAS:  ",GENERAL!P174))</f>
        <v>OK
ESTADO DE POSTVENTAS:  POSTVENTA CORREGIDA</v>
      </c>
      <c r="P173" s="70" t="str">
        <f>+IF(GENERAL!Q174=GENERAL!$AI$2,GENERAL!$AI$2,CONCATENATE(OBSERVACIONES!P173,"
ESTADO DE POSTVENTAS:  ",GENERAL!Q174))</f>
        <v>OK
ESTADO DE POSTVENTAS:  POSTVENTA CORREGIDA</v>
      </c>
      <c r="Q173" s="70" t="str">
        <f>+IF(GENERAL!R174=GENERAL!$AI$2,GENERAL!$AI$2,CONCATENATE(OBSERVACIONES!Q173,"
ESTADO DE POSTVENTAS:  ",GENERAL!R174))</f>
        <v>OK
ESTADO DE POSTVENTAS:  POSTVENTA CORREGIDA</v>
      </c>
      <c r="R173" s="51" t="str">
        <f>+IF(GENERAL!S174=GENERAL!$AI$2,GENERAL!$AI$2,CONCATENATE(OBSERVACIONES!R173,"
ESTADO DE POSTVENTAS:  ",GENERAL!S174))</f>
        <v>OK
ESTADO DE POSTVENTAS:  POSTVENTA CORREGIDA</v>
      </c>
      <c r="S173" s="51" t="str">
        <f>+IF(GENERAL!T174=GENERAL!$AI$2,GENERAL!$AI$2,CONCATENATE(OBSERVACIONES!S173,"
ESTADO DE POSTVENTAS:  ",GENERAL!T174))</f>
        <v>OK
ESTADO DE POSTVENTAS:  POSTVENTA CORREGIDA</v>
      </c>
      <c r="T173" s="51" t="str">
        <f>+IF(GENERAL!U174=GENERAL!$AI$2,GENERAL!$AI$2,CONCATENATE(OBSERVACIONES!T173,"
ESTADO DE POSTVENTAS:  ",GENERAL!U174))</f>
        <v>OK
ESTADO DE POSTVENTAS:  POSTVENTA CORREGIDA</v>
      </c>
      <c r="U173" s="51" t="str">
        <f>+IF(GENERAL!V174=GENERAL!$AI$2,GENERAL!$AI$2,CONCATENATE(OBSERVACIONES!U173,"
ESTADO DE POSTVENTAS:  ",GENERAL!V174))</f>
        <v>OK
ESTADO DE POSTVENTAS:  POSTVENTA CORREGIDA</v>
      </c>
      <c r="V173" s="51" t="str">
        <f>+IF(GENERAL!W174=GENERAL!$AI$2,GENERAL!$AI$2,CONCATENATE(OBSERVACIONES!V173,"
ESTADO DE POSTVENTAS:  ",GENERAL!W174))</f>
        <v>OK
ESTADO DE POSTVENTAS:  POSTVENTA CORREGIDA</v>
      </c>
      <c r="W173" s="51" t="str">
        <f>+IF(GENERAL!V174=GENERAL!$AI$2,GENERAL!$AI$2,CONCATENATE(OBSERVACIONES!W173,"
ESTADO DE POSTVENTAS:  ",GENERAL!V174))</f>
        <v>OK
ESTADO DE POSTVENTAS:  POSTVENTA CORREGIDA</v>
      </c>
      <c r="X173" s="51" t="str">
        <f>+IF(GENERAL!W174=GENERAL!$AI$2,GENERAL!$AI$2,CONCATENATE(OBSERVACIONES!X173,"
ESTADO DE POSTVENTAS:  ",GENERAL!W174))</f>
        <v>OK
ESTADO DE POSTVENTAS:  POSTVENTA CORREGIDA</v>
      </c>
      <c r="Y173" s="51" t="str">
        <f>+IF(GENERAL!Z174=GENERAL!$AI$2,GENERAL!$AI$2,CONCATENATE(OBSERVACIONES!Y173,"
ESTADO DE POSTVENTAS:  ",GENERAL!Z174))</f>
        <v>OK
ESTADO DE POSTVENTAS:  POSTVENTA CORREGIDA</v>
      </c>
      <c r="Z173" s="51" t="str">
        <f>+IF(GENERAL!AA174=GENERAL!$AI$2,GENERAL!$AI$2,CONCATENATE(OBSERVACIONES!Z173,"
ESTADO DE POSTVENTAS:  ",GENERAL!AA174))</f>
        <v>OK
ESTADO DE POSTVENTAS:  POSTVENTA CORREGIDA</v>
      </c>
      <c r="AA173" s="51" t="str">
        <f>+IF(GENERAL!AB174=GENERAL!$AI$2,GENERAL!$AI$2,CONCATENATE(OBSERVACIONES!AA173,"
ESTADO DE POSTVENTAS:  ",GENERAL!AB174))</f>
        <v>OK
ESTADO DE POSTVENTAS:  POSTVENTA CORREGIDA</v>
      </c>
      <c r="AB173" s="51" t="str">
        <f>+IF(GENERAL!AC174=GENERAL!$AI$2,GENERAL!$AI$2,CONCATENATE(OBSERVACIONES!AB173,"
ESTADO DE POSTVENTAS:  ",GENERAL!AC174))</f>
        <v>OK
ESTADO DE POSTVENTAS:  POSTVENTA CORREGIDA</v>
      </c>
      <c r="AC173" s="51" t="str">
        <f>+IF(GENERAL!AD174=GENERAL!$AI$2,GENERAL!$AI$2,CONCATENATE(OBSERVACIONES!AC173,"
ESTADO DE POSTVENTAS:  ",GENERAL!AD174))</f>
        <v>OK
ESTADO DE POSTVENTAS:  POSTVENTA CORREGIDA</v>
      </c>
      <c r="AD173" s="51" t="str">
        <f>+IF(GENERAL!AE174=GENERAL!$AI$2,GENERAL!$AI$2,CONCATENATE(OBSERVACIONES!AD173,"
ESTADO DE POSTVENTAS:  ",GENERAL!AE174))</f>
        <v>OK
ESTADO DE POSTVENTAS:  POSTVENTA CORREGIDA</v>
      </c>
      <c r="AE173" s="51" t="str">
        <f>+IF(GENERAL!AF174=GENERAL!$AI$2,GENERAL!$AI$2,CONCATENATE(OBSERVACIONES!AE173,"
ESTADO DE POSTVENTAS:  ",GENERAL!AF174))</f>
        <v>OK
ESTADO DE POSTVENTAS:  POSTVENTA CORREGIDA</v>
      </c>
      <c r="AF173" s="51" t="str">
        <f>+IF(GENERAL!AG174=GENERAL!$AI$2,GENERAL!$AI$2,CONCATENATE(OBSERVACIONES!AF173,"
ESTADO DE POSTVENTAS:  ",GENERAL!AG174))</f>
        <v>OK
ESTADO DE POSTVENTAS:  POSTVENTA CORREGIDA</v>
      </c>
      <c r="AG173" s="51" t="str">
        <f>+IF(GENERAL!AH174=GENERAL!$AI$2,GENERAL!$AI$2,CONCATENATE(OBSERVACIONES!AG173,"
ESTADO DE POSTVENTAS:  ",GENERAL!AH174))</f>
        <v>OK
ESTADO DE POSTVENTAS:  POSTVENTA CORREGIDA</v>
      </c>
      <c r="AH173" s="51" t="str">
        <f>+IF(GENERAL!AI174=GENERAL!$AI$2,GENERAL!$AI$2,CONCATENATE(OBSERVACIONES!AH173,"
ESTADO DE POSTVENTAS:  ",GENERAL!AI174))</f>
        <v>OK
ESTADO DE POSTVENTAS:  POSTVENTA CORREGIDA</v>
      </c>
      <c r="AI173" s="51" t="str">
        <f>+IF(GENERAL!AG174=GENERAL!$AI$2,GENERAL!$AI$2,CONCATENATE(OBSERVACIONES!AF173,"
ESTADO DE POSTVENTAS:  ",GENERAL!AG174))</f>
        <v>OK
ESTADO DE POSTVENTAS:  POSTVENTA CORREGIDA</v>
      </c>
      <c r="AJ173" s="51" t="str">
        <f>+IF(GENERAL!AI174=GENERAL!$AI$2,GENERAL!$AI$2,CONCATENATE(OBSERVACIONES!AH173,"
ESTADO DE POSTVENTAS:  ",GENERAL!AI174))</f>
        <v>OK
ESTADO DE POSTVENTAS:  POSTVENTA CORREGIDA</v>
      </c>
      <c r="AK173" s="51" t="str">
        <f>+IF(GENERAL!AJ174=GENERAL!$AI$2,GENERAL!$AI$2,CONCATENATE(OBSERVACIONES!AI173,"
ESTADO DE POSTVENTAS:  ",GENERAL!AJ174))</f>
        <v>OK
ESTADO DE POSTVENTAS:  POSTVENTA CORREGIDA</v>
      </c>
      <c r="AL173" s="51" t="str">
        <f>+IF(GENERAL!AK174=GENERAL!$AI$2,GENERAL!$AI$2,CONCATENATE(OBSERVACIONES!AJ173,"
ESTADO DE POSTVENTAS:  ",GENERAL!AK174))</f>
        <v>OK
ESTADO DE POSTVENTAS:  POSTVENTA CORREGIDA</v>
      </c>
      <c r="AM173" s="51" t="str">
        <f>+IF(GENERAL!AN174=GENERAL!$AI$2,GENERAL!$AI$2,CONCATENATE(OBSERVACIONES!AM173,"
ESTADO DE POSTVENTAS:  ",GENERAL!AN174))</f>
        <v>OK
ESTADO DE POSTVENTAS:  POSTVENTA CORREGIDA</v>
      </c>
      <c r="AN173" s="37">
        <v>1</v>
      </c>
      <c r="AO173" s="37">
        <v>10</v>
      </c>
      <c r="AP173" s="37">
        <v>3</v>
      </c>
      <c r="AQ173" s="37">
        <v>0</v>
      </c>
      <c r="AR173" s="43">
        <v>14</v>
      </c>
      <c r="AS173" s="40">
        <v>12</v>
      </c>
      <c r="AT173" s="37">
        <f>COUNTIFS($D$5:$AM$5,"&lt;&gt;"&amp;CODICIONALES!$A$1,$D$5:$AM$5,"&lt;&gt;"&amp;CODICIONALES!$A$2,$D$5:$AM$5,"&lt;&gt;"&amp;CODICIONALES!$B$2,$D$5:$AM$5,"&lt;&gt;"&amp;CODICIONALES!$C$2)</f>
        <v>6</v>
      </c>
      <c r="AU173" s="43">
        <f>COUNTIFS(D173:AM173,CODICIONALES!$A$2)</f>
        <v>34</v>
      </c>
      <c r="AV173" s="40">
        <f t="shared" si="2"/>
        <v>-4</v>
      </c>
    </row>
    <row r="174" spans="1:49" ht="51" customHeight="1" x14ac:dyDescent="0.25">
      <c r="A174" s="110"/>
      <c r="B174" s="2">
        <v>170</v>
      </c>
      <c r="C174" s="21" t="s">
        <v>62</v>
      </c>
      <c r="D174" s="51" t="str">
        <f>+IF(GENERAL!E175=GENERAL!$AI$2,GENERAL!$AI$2,CONCATENATE(OBSERVACIONES!D174,"
ESTADO DE POSTVENTAS:  ",GENERAL!E175))</f>
        <v>NO ENTREGADO
ESTADO DE POSTVENTAS:  TIENE POSTVENTA</v>
      </c>
      <c r="E174" s="51" t="str">
        <f>+IF(GENERAL!F175=GENERAL!$AI$2,GENERAL!$AI$2,CONCATENATE(OBSERVACIONES!E174,"
ESTADO DE POSTVENTAS:  ",GENERAL!F175))</f>
        <v>OK
ESTADO DE POSTVENTAS:  POSTVENTA CORREGIDA</v>
      </c>
      <c r="F174" s="51" t="str">
        <f>+IF(GENERAL!G175=GENERAL!$AI$2,GENERAL!$AI$2,CONCATENATE(OBSERVACIONES!F174,"
ESTADO DE POSTVENTAS:  ",GENERAL!G175))</f>
        <v>OK
ESTADO DE POSTVENTAS:  POSTVENTA CORREGIDA</v>
      </c>
      <c r="G174" s="51" t="str">
        <f>+IF(GENERAL!H175=GENERAL!$AI$2,GENERAL!$AI$2,CONCATENATE(OBSERVACIONES!G174,"
ESTADO DE POSTVENTAS:  ",GENERAL!H175))</f>
        <v>NO ENTREGADO
ESTADO DE POSTVENTAS:  TIENE POSTVENTA</v>
      </c>
      <c r="H174" s="70" t="str">
        <f>+IF(GENERAL!I175=GENERAL!$AI$2,GENERAL!$AI$2,CONCATENATE(OBSERVACIONES!H174,"
ESTADO DE POSTVENTAS:  ",GENERAL!I175))</f>
        <v>OK
ESTADO DE POSTVENTAS:  POSTVENTA CORREGIDA</v>
      </c>
      <c r="I174" s="51" t="str">
        <f>+IF(GENERAL!J175=GENERAL!$AI$2,GENERAL!$AI$2,CONCATENATE(OBSERVACIONES!I174,"
ESTADO DE POSTVENTAS:  ",GENERAL!J175))</f>
        <v>OK
ESTADO DE POSTVENTAS:  POSTVENTA CORREGIDA</v>
      </c>
      <c r="J174" s="51" t="str">
        <f>+IF(GENERAL!K175=GENERAL!$AI$2,GENERAL!$AI$2,CONCATENATE(OBSERVACIONES!J174,"
ESTADO DE POSTVENTAS:  ",GENERAL!K175))</f>
        <v>OK
ESTADO DE POSTVENTAS:  POSTVENTA CORREGIDA</v>
      </c>
      <c r="K174" s="51" t="str">
        <f>+IF(GENERAL!L175=GENERAL!$AI$2,GENERAL!$AI$2,CONCATENATE(OBSERVACIONES!K174,"
ESTADO DE POSTVENTAS:  ",GENERAL!L175))</f>
        <v>OK
ESTADO DE POSTVENTAS:  POSTVENTA CORREGIDA</v>
      </c>
      <c r="L174" s="51" t="str">
        <f>+IF(GENERAL!M175=GENERAL!$AI$2,GENERAL!$AI$2,CONCATENATE(OBSERVACIONES!L174,"
ESTADO DE POSTVENTAS:  ",GENERAL!M175))</f>
        <v>OK
ESTADO DE POSTVENTAS:  POSTVENTA CORREGIDA</v>
      </c>
      <c r="M174" s="70" t="str">
        <f>+IF(GENERAL!N175=GENERAL!$AI$2,GENERAL!$AI$2,CONCATENATE(OBSERVACIONES!M174,"
ESTADO DE POSTVENTAS:  ",GENERAL!N175))</f>
        <v>OK
ESTADO DE POSTVENTAS:  POSTVENTA CORREGIDA</v>
      </c>
      <c r="N174" s="51" t="str">
        <f>+IF(GENERAL!O175=GENERAL!$AI$2,GENERAL!$AI$2,CONCATENATE(OBSERVACIONES!N174,"
ESTADO DE POSTVENTAS:  ",GENERAL!O175))</f>
        <v>OK
ESTADO DE POSTVENTAS:  POSTVENTA CORREGIDA</v>
      </c>
      <c r="O174" s="51" t="str">
        <f>+IF(GENERAL!P175=GENERAL!$AI$2,GENERAL!$AI$2,CONCATENATE(OBSERVACIONES!O174,"
ESTADO DE POSTVENTAS:  ",GENERAL!P175))</f>
        <v>OK
ESTADO DE POSTVENTAS:  POSTVENTA CORREGIDA</v>
      </c>
      <c r="P174" s="70" t="str">
        <f>+IF(GENERAL!Q175=GENERAL!$AI$2,GENERAL!$AI$2,CONCATENATE(OBSERVACIONES!P174,"
ESTADO DE POSTVENTAS:  ",GENERAL!Q175))</f>
        <v>OK
ESTADO DE POSTVENTAS:  POSTVENTA CORREGIDA</v>
      </c>
      <c r="Q174" s="70" t="str">
        <f>+IF(GENERAL!R175=GENERAL!$AI$2,GENERAL!$AI$2,CONCATENATE(OBSERVACIONES!Q174,"
ESTADO DE POSTVENTAS:  ",GENERAL!R175))</f>
        <v>OK
ESTADO DE POSTVENTAS:  POSTVENTA CORREGIDA</v>
      </c>
      <c r="R174" s="51" t="str">
        <f>+IF(GENERAL!S175=GENERAL!$AI$2,GENERAL!$AI$2,CONCATENATE(OBSERVACIONES!R174,"
ESTADO DE POSTVENTAS:  ",GENERAL!S175))</f>
        <v>OK
ESTADO DE POSTVENTAS:  POSTVENTA CORREGIDA</v>
      </c>
      <c r="S174" s="51" t="str">
        <f>+IF(GENERAL!T175=GENERAL!$AI$2,GENERAL!$AI$2,CONCATENATE(OBSERVACIONES!S174,"
ESTADO DE POSTVENTAS:  ",GENERAL!T175))</f>
        <v>OK
ESTADO DE POSTVENTAS:  POSTVENTA CORREGIDA</v>
      </c>
      <c r="T174" s="51" t="str">
        <f>+IF(GENERAL!U175=GENERAL!$AI$2,GENERAL!$AI$2,CONCATENATE(OBSERVACIONES!T174,"
ESTADO DE POSTVENTAS:  ",GENERAL!U175))</f>
        <v>DETALLE HUMEDAD
ESTADO DE POSTVENTAS:  TIENE POSTVENTA</v>
      </c>
      <c r="U174" s="51" t="str">
        <f>+IF(GENERAL!V175=GENERAL!$AI$2,GENERAL!$AI$2,CONCATENATE(OBSERVACIONES!U174,"
ESTADO DE POSTVENTAS:  ",GENERAL!V175))</f>
        <v>OK
ESTADO DE POSTVENTAS:  POSTVENTA CORREGIDA</v>
      </c>
      <c r="V174" s="51" t="str">
        <f>+IF(GENERAL!W175=GENERAL!$AI$2,GENERAL!$AI$2,CONCATENATE(OBSERVACIONES!V174,"
ESTADO DE POSTVENTAS:  ",GENERAL!W175))</f>
        <v>OK
ESTADO DE POSTVENTAS:  POSTVENTA CORREGIDA</v>
      </c>
      <c r="W174" s="51" t="str">
        <f>+IF(GENERAL!V175=GENERAL!$AI$2,GENERAL!$AI$2,CONCATENATE(OBSERVACIONES!W174,"
ESTADO DE POSTVENTAS:  ",GENERAL!V175))</f>
        <v>OK
ESTADO DE POSTVENTAS:  POSTVENTA CORREGIDA</v>
      </c>
      <c r="X174" s="51" t="str">
        <f>+IF(GENERAL!W175=GENERAL!$AI$2,GENERAL!$AI$2,CONCATENATE(OBSERVACIONES!X174,"
ESTADO DE POSTVENTAS:  ",GENERAL!W175))</f>
        <v>OK
ESTADO DE POSTVENTAS:  POSTVENTA CORREGIDA</v>
      </c>
      <c r="Y174" s="51" t="str">
        <f>+IF(GENERAL!Z175=GENERAL!$AI$2,GENERAL!$AI$2,CONCATENATE(OBSERVACIONES!Y174,"
ESTADO DE POSTVENTAS:  ",GENERAL!Z175))</f>
        <v>OK
ESTADO DE POSTVENTAS:  POSTVENTA CORREGIDA</v>
      </c>
      <c r="Z174" s="51" t="str">
        <f>+IF(GENERAL!AA175=GENERAL!$AI$2,GENERAL!$AI$2,CONCATENATE(OBSERVACIONES!Z174,"
ESTADO DE POSTVENTAS:  ",GENERAL!AA175))</f>
        <v>OK
ESTADO DE POSTVENTAS:  POSTVENTA CORREGIDA</v>
      </c>
      <c r="AA174" s="51" t="str">
        <f>+IF(GENERAL!AB175=GENERAL!$AI$2,GENERAL!$AI$2,CONCATENATE(OBSERVACIONES!AA174,"
ESTADO DE POSTVENTAS:  ",GENERAL!AB175))</f>
        <v>OK
ESTADO DE POSTVENTAS:  POSTVENTA CORREGIDA</v>
      </c>
      <c r="AB174" s="51" t="str">
        <f>+IF(GENERAL!AC175=GENERAL!$AI$2,GENERAL!$AI$2,CONCATENATE(OBSERVACIONES!AB174,"
ESTADO DE POSTVENTAS:  ",GENERAL!AC175))</f>
        <v>OK
ESTADO DE POSTVENTAS:  POSTVENTA CORREGIDA</v>
      </c>
      <c r="AC174" s="51" t="str">
        <f>+IF(GENERAL!AD175=GENERAL!$AI$2,GENERAL!$AI$2,CONCATENATE(OBSERVACIONES!AC174,"
ESTADO DE POSTVENTAS:  ",GENERAL!AD175))</f>
        <v>OK
ESTADO DE POSTVENTAS:  POSTVENTA CORREGIDA</v>
      </c>
      <c r="AD174" s="51" t="str">
        <f>+IF(GENERAL!AE175=GENERAL!$AI$2,GENERAL!$AI$2,CONCATENATE(OBSERVACIONES!AD174,"
ESTADO DE POSTVENTAS:  ",GENERAL!AE175))</f>
        <v>OK
ESTADO DE POSTVENTAS:  POSTVENTA CORREGIDA</v>
      </c>
      <c r="AE174" s="51" t="str">
        <f>+IF(GENERAL!AF175=GENERAL!$AI$2,GENERAL!$AI$2,CONCATENATE(OBSERVACIONES!AE174,"
ESTADO DE POSTVENTAS:  ",GENERAL!AF175))</f>
        <v>OK
ESTADO DE POSTVENTAS:  POSTVENTA CORREGIDA</v>
      </c>
      <c r="AF174" s="51" t="str">
        <f>+IF(GENERAL!AG175=GENERAL!$AI$2,GENERAL!$AI$2,CONCATENATE(OBSERVACIONES!AF174,"
ESTADO DE POSTVENTAS:  ",GENERAL!AG175))</f>
        <v>OK
ESTADO DE POSTVENTAS:  POSTVENTA CORREGIDA</v>
      </c>
      <c r="AG174" s="51" t="str">
        <f>+IF(GENERAL!AH175=GENERAL!$AI$2,GENERAL!$AI$2,CONCATENATE(OBSERVACIONES!AG174,"
ESTADO DE POSTVENTAS:  ",GENERAL!AH175))</f>
        <v>OK
ESTADO DE POSTVENTAS:  POSTVENTA CORREGIDA</v>
      </c>
      <c r="AH174" s="51" t="str">
        <f>+IF(GENERAL!AI175=GENERAL!$AI$2,GENERAL!$AI$2,CONCATENATE(OBSERVACIONES!AH174,"
ESTADO DE POSTVENTAS:  ",GENERAL!AI175))</f>
        <v>OK
ESTADO DE POSTVENTAS:  POSTVENTA CORREGIDA</v>
      </c>
      <c r="AI174" s="51" t="str">
        <f>+IF(GENERAL!AG175=GENERAL!$AI$2,GENERAL!$AI$2,CONCATENATE(OBSERVACIONES!AF174,"
ESTADO DE POSTVENTAS:  ",GENERAL!AG175))</f>
        <v>OK
ESTADO DE POSTVENTAS:  POSTVENTA CORREGIDA</v>
      </c>
      <c r="AJ174" s="51" t="str">
        <f>+IF(GENERAL!AI175=GENERAL!$AI$2,GENERAL!$AI$2,CONCATENATE(OBSERVACIONES!AH174,"
ESTADO DE POSTVENTAS:  ",GENERAL!AI175))</f>
        <v>OK
ESTADO DE POSTVENTAS:  POSTVENTA CORREGIDA</v>
      </c>
      <c r="AK174" s="51" t="str">
        <f>+IF(GENERAL!AJ175=GENERAL!$AI$2,GENERAL!$AI$2,CONCATENATE(OBSERVACIONES!AI174,"
ESTADO DE POSTVENTAS:  ",GENERAL!AJ175))</f>
        <v>OK
ESTADO DE POSTVENTAS:  POSTVENTA CORREGIDA</v>
      </c>
      <c r="AL174" s="51" t="str">
        <f>+IF(GENERAL!AK175=GENERAL!$AI$2,GENERAL!$AI$2,CONCATENATE(OBSERVACIONES!AJ174,"
ESTADO DE POSTVENTAS:  ",GENERAL!AK175))</f>
        <v>OK
ESTADO DE POSTVENTAS:  POSTVENTA CORREGIDA</v>
      </c>
      <c r="AM174" s="51" t="str">
        <f>+IF(GENERAL!AN175=GENERAL!$AI$2,GENERAL!$AI$2,CONCATENATE(OBSERVACIONES!AM174,"
ESTADO DE POSTVENTAS:  ",GENERAL!AN175))</f>
        <v>OK
ESTADO DE POSTVENTAS:  POSTVENTA CORREGIDA</v>
      </c>
      <c r="AN174" s="37">
        <v>0</v>
      </c>
      <c r="AO174" s="37">
        <v>11</v>
      </c>
      <c r="AP174" s="37">
        <v>3</v>
      </c>
      <c r="AQ174" s="37">
        <v>0</v>
      </c>
      <c r="AR174" s="43">
        <v>14</v>
      </c>
      <c r="AS174" s="40">
        <v>12</v>
      </c>
      <c r="AT174" s="47">
        <f>COUNTIFS($D$5:$AM$5,"&lt;&gt;"&amp;CODICIONALES!$A$1,$D$5:$AM$5,"&lt;&gt;"&amp;CODICIONALES!$A$2,$D$5:$AM$5,"&lt;&gt;"&amp;CODICIONALES!$B$2,$D$5:$AM$5,"&lt;&gt;"&amp;CODICIONALES!$C$2)</f>
        <v>6</v>
      </c>
      <c r="AU174" s="78">
        <f>COUNTIFS(D174:AM174,CODICIONALES!$A$2)</f>
        <v>33</v>
      </c>
      <c r="AV174" s="78">
        <f t="shared" si="2"/>
        <v>-3</v>
      </c>
    </row>
    <row r="175" spans="1:49" ht="51" customHeight="1" x14ac:dyDescent="0.25">
      <c r="A175" s="111"/>
      <c r="B175" s="2">
        <v>171</v>
      </c>
      <c r="C175" s="22" t="s">
        <v>64</v>
      </c>
      <c r="D175" s="51" t="str">
        <f>+IF(GENERAL!E176=GENERAL!$AI$2,GENERAL!$AI$2,CONCATENATE(OBSERVACIONES!D175,"
ESTADO DE POSTVENTAS:  ",GENERAL!E176))</f>
        <v>NO ENTREGADO
ESTADO DE POSTVENTAS:  TIENE POSTVENTA</v>
      </c>
      <c r="E175" s="51" t="str">
        <f>+IF(GENERAL!F176=GENERAL!$AI$2,GENERAL!$AI$2,CONCATENATE(OBSERVACIONES!E175,"
ESTADO DE POSTVENTAS:  ",GENERAL!F176))</f>
        <v>OK
ESTADO DE POSTVENTAS:  POSTVENTA CORREGIDA</v>
      </c>
      <c r="F175" s="51" t="str">
        <f>+IF(GENERAL!G176=GENERAL!$AI$2,GENERAL!$AI$2,CONCATENATE(OBSERVACIONES!F175,"
ESTADO DE POSTVENTAS:  ",GENERAL!G176))</f>
        <v>OK
ESTADO DE POSTVENTAS:  POSTVENTA CORREGIDA</v>
      </c>
      <c r="G175" s="51" t="str">
        <f>+IF(GENERAL!H176=GENERAL!$AI$2,GENERAL!$AI$2,CONCATENATE(OBSERVACIONES!G175,"
ESTADO DE POSTVENTAS:  ",GENERAL!H176))</f>
        <v>NO ENTREGADO
ESTADO DE POSTVENTAS:  TIENE POSTVENTA</v>
      </c>
      <c r="H175" s="51" t="str">
        <f>+IF(GENERAL!I176=GENERAL!$AI$2,GENERAL!$AI$2,CONCATENATE(OBSERVACIONES!H175,"
ESTADO DE POSTVENTAS:  ",GENERAL!I176))</f>
        <v>OK
ESTADO DE POSTVENTAS:  POSTVENTA CORREGIDA</v>
      </c>
      <c r="I175" s="51" t="str">
        <f>+IF(GENERAL!J176=GENERAL!$AI$2,GENERAL!$AI$2,CONCATENATE(OBSERVACIONES!I175,"
ESTADO DE POSTVENTAS:  ",GENERAL!J176))</f>
        <v>OK
ESTADO DE POSTVENTAS:  POSTVENTA CORREGIDA</v>
      </c>
      <c r="J175" s="51" t="str">
        <f>+IF(GENERAL!K176=GENERAL!$AI$2,GENERAL!$AI$2,CONCATENATE(OBSERVACIONES!J175,"
ESTADO DE POSTVENTAS:  ",GENERAL!K176))</f>
        <v>OK
ESTADO DE POSTVENTAS:  POSTVENTA CORREGIDA</v>
      </c>
      <c r="K175" s="51" t="str">
        <f>+IF(GENERAL!L176=GENERAL!$AI$2,GENERAL!$AI$2,CONCATENATE(OBSERVACIONES!K175,"
ESTADO DE POSTVENTAS:  ",GENERAL!L176))</f>
        <v>OK
ESTADO DE POSTVENTAS:  POSTVENTA CORREGIDA</v>
      </c>
      <c r="L175" s="51" t="str">
        <f>+IF(GENERAL!M176=GENERAL!$AI$2,GENERAL!$AI$2,CONCATENATE(OBSERVACIONES!L175,"
ESTADO DE POSTVENTAS:  ",GENERAL!M176))</f>
        <v>OK
ESTADO DE POSTVENTAS:  POSTVENTA CORREGIDA</v>
      </c>
      <c r="M175" s="70" t="str">
        <f>+IF(GENERAL!N176=GENERAL!$AI$2,GENERAL!$AI$2,CONCATENATE(OBSERVACIONES!M175,"
ESTADO DE POSTVENTAS:  ",GENERAL!N176))</f>
        <v>OK
ESTADO DE POSTVENTAS:  POSTVENTA CORREGIDA</v>
      </c>
      <c r="N175" s="51" t="str">
        <f>+IF(GENERAL!O176=GENERAL!$AI$2,GENERAL!$AI$2,CONCATENATE(OBSERVACIONES!N175,"
ESTADO DE POSTVENTAS:  ",GENERAL!O176))</f>
        <v>OK
ESTADO DE POSTVENTAS:  POSTVENTA CORREGIDA</v>
      </c>
      <c r="O175" s="51" t="str">
        <f>+IF(GENERAL!P176=GENERAL!$AI$2,GENERAL!$AI$2,CONCATENATE(OBSERVACIONES!O175,"
ESTADO DE POSTVENTAS:  ",GENERAL!P176))</f>
        <v>OK
ESTADO DE POSTVENTAS:  POSTVENTA CORREGIDA</v>
      </c>
      <c r="P175" s="70" t="str">
        <f>+IF(GENERAL!Q176=GENERAL!$AI$2,GENERAL!$AI$2,CONCATENATE(OBSERVACIONES!P175,"
ESTADO DE POSTVENTAS:  ",GENERAL!Q176))</f>
        <v>OK
ESTADO DE POSTVENTAS:  POSTVENTA CORREGIDA</v>
      </c>
      <c r="Q175" s="70" t="str">
        <f>+IF(GENERAL!R176=GENERAL!$AI$2,GENERAL!$AI$2,CONCATENATE(OBSERVACIONES!Q175,"
ESTADO DE POSTVENTAS:  ",GENERAL!R176))</f>
        <v>OK
ESTADO DE POSTVENTAS:  POSTVENTA CORREGIDA</v>
      </c>
      <c r="R175" s="51" t="str">
        <f>+IF(GENERAL!S176=GENERAL!$AI$2,GENERAL!$AI$2,CONCATENATE(OBSERVACIONES!R175,"
ESTADO DE POSTVENTAS:  ",GENERAL!S176))</f>
        <v>OK
ESTADO DE POSTVENTAS:  POSTVENTA CORREGIDA</v>
      </c>
      <c r="S175" s="51" t="str">
        <f>+IF(GENERAL!T176=GENERAL!$AI$2,GENERAL!$AI$2,CONCATENATE(OBSERVACIONES!S175,"
ESTADO DE POSTVENTAS:  ",GENERAL!T176))</f>
        <v>DETALLE HUMEDAD
ESTADO DE POSTVENTAS:  TIENE POSTVENTA</v>
      </c>
      <c r="T175" s="51" t="str">
        <f>+IF(GENERAL!U176=GENERAL!$AI$2,GENERAL!$AI$2,CONCATENATE(OBSERVACIONES!T175,"
ESTADO DE POSTVENTAS:  ",GENERAL!U176))</f>
        <v>DETALLE HUMEDAD
ESTADO DE POSTVENTAS:  TIENE POSTVENTA</v>
      </c>
      <c r="U175" s="51" t="str">
        <f>+IF(GENERAL!V176=GENERAL!$AI$2,GENERAL!$AI$2,CONCATENATE(OBSERVACIONES!U175,"
ESTADO DE POSTVENTAS:  ",GENERAL!V176))</f>
        <v>OK
ESTADO DE POSTVENTAS:  POSTVENTA CORREGIDA</v>
      </c>
      <c r="V175" s="51" t="str">
        <f>+IF(GENERAL!W176=GENERAL!$AI$2,GENERAL!$AI$2,CONCATENATE(OBSERVACIONES!V175,"
ESTADO DE POSTVENTAS:  ",GENERAL!W176))</f>
        <v>OK
ESTADO DE POSTVENTAS:  POSTVENTA CORREGIDA</v>
      </c>
      <c r="W175" s="51" t="str">
        <f>+IF(GENERAL!V176=GENERAL!$AI$2,GENERAL!$AI$2,CONCATENATE(OBSERVACIONES!W175,"
ESTADO DE POSTVENTAS:  ",GENERAL!V176))</f>
        <v>OK
ESTADO DE POSTVENTAS:  POSTVENTA CORREGIDA</v>
      </c>
      <c r="X175" s="51" t="str">
        <f>+IF(GENERAL!W176=GENERAL!$AI$2,GENERAL!$AI$2,CONCATENATE(OBSERVACIONES!X175,"
ESTADO DE POSTVENTAS:  ",GENERAL!W176))</f>
        <v>OK
ESTADO DE POSTVENTAS:  POSTVENTA CORREGIDA</v>
      </c>
      <c r="Y175" s="51" t="str">
        <f>+IF(GENERAL!Z176=GENERAL!$AI$2,GENERAL!$AI$2,CONCATENATE(OBSERVACIONES!Y175,"
ESTADO DE POSTVENTAS:  ",GENERAL!Z176))</f>
        <v>DETALLE PINTURA
ESTADO DE POSTVENTAS:  TIENE POSTVENTA</v>
      </c>
      <c r="Z175" s="51" t="str">
        <f>+IF(GENERAL!AA176=GENERAL!$AI$2,GENERAL!$AI$2,CONCATENATE(OBSERVACIONES!Z175,"
ESTADO DE POSTVENTAS:  ",GENERAL!AA176))</f>
        <v>OK
ESTADO DE POSTVENTAS:  POSTVENTA CORREGIDA</v>
      </c>
      <c r="AA175" s="51" t="str">
        <f>+IF(GENERAL!AB176=GENERAL!$AI$2,GENERAL!$AI$2,CONCATENATE(OBSERVACIONES!AA175,"
ESTADO DE POSTVENTAS:  ",GENERAL!AB176))</f>
        <v>OK
ESTADO DE POSTVENTAS:  POSTVENTA CORREGIDA</v>
      </c>
      <c r="AB175" s="51" t="str">
        <f>+IF(GENERAL!AC176=GENERAL!$AI$2,GENERAL!$AI$2,CONCATENATE(OBSERVACIONES!AB175,"
ESTADO DE POSTVENTAS:  ",GENERAL!AC176))</f>
        <v>OK
ESTADO DE POSTVENTAS:  POSTVENTA CORREGIDA</v>
      </c>
      <c r="AC175" s="51" t="str">
        <f>+IF(GENERAL!AD176=GENERAL!$AI$2,GENERAL!$AI$2,CONCATENATE(OBSERVACIONES!AC175,"
ESTADO DE POSTVENTAS:  ",GENERAL!AD176))</f>
        <v>OK
ESTADO DE POSTVENTAS:  POSTVENTA CORREGIDA</v>
      </c>
      <c r="AD175" s="51" t="str">
        <f>+IF(GENERAL!AE176=GENERAL!$AI$2,GENERAL!$AI$2,CONCATENATE(OBSERVACIONES!AD175,"
ESTADO DE POSTVENTAS:  ",GENERAL!AE176))</f>
        <v>DETALLE PINTURA
ESTADO DE POSTVENTAS:  TIENE POSTVENTA</v>
      </c>
      <c r="AE175" s="51" t="str">
        <f>+IF(GENERAL!AF176=GENERAL!$AI$2,GENERAL!$AI$2,CONCATENATE(OBSERVACIONES!AE175,"
ESTADO DE POSTVENTAS:  ",GENERAL!AF176))</f>
        <v>OK
ESTADO DE POSTVENTAS:  POSTVENTA CORREGIDA</v>
      </c>
      <c r="AF175" s="51" t="str">
        <f>+IF(GENERAL!AG176=GENERAL!$AI$2,GENERAL!$AI$2,CONCATENATE(OBSERVACIONES!AF175,"
ESTADO DE POSTVENTAS:  ",GENERAL!AG176))</f>
        <v>OK
ESTADO DE POSTVENTAS:  POSTVENTA CORREGIDA</v>
      </c>
      <c r="AG175" s="51" t="str">
        <f>+IF(GENERAL!AH176=GENERAL!$AI$2,GENERAL!$AI$2,CONCATENATE(OBSERVACIONES!AG175,"
ESTADO DE POSTVENTAS:  ",GENERAL!AH176))</f>
        <v>OK
ESTADO DE POSTVENTAS:  POSTVENTA CORREGIDA</v>
      </c>
      <c r="AH175" s="51" t="str">
        <f>+IF(GENERAL!AI176=GENERAL!$AI$2,GENERAL!$AI$2,CONCATENATE(OBSERVACIONES!AH175,"
ESTADO DE POSTVENTAS:  ",GENERAL!AI176))</f>
        <v>OK
ESTADO DE POSTVENTAS:  POSTVENTA CORREGIDA</v>
      </c>
      <c r="AI175" s="51" t="str">
        <f>+IF(GENERAL!AG176=GENERAL!$AI$2,GENERAL!$AI$2,CONCATENATE(OBSERVACIONES!AF175,"
ESTADO DE POSTVENTAS:  ",GENERAL!AG176))</f>
        <v>OK
ESTADO DE POSTVENTAS:  POSTVENTA CORREGIDA</v>
      </c>
      <c r="AJ175" s="51" t="str">
        <f>+IF(GENERAL!AI176=GENERAL!$AI$2,GENERAL!$AI$2,CONCATENATE(OBSERVACIONES!AH175,"
ESTADO DE POSTVENTAS:  ",GENERAL!AI176))</f>
        <v>OK
ESTADO DE POSTVENTAS:  POSTVENTA CORREGIDA</v>
      </c>
      <c r="AK175" s="51" t="str">
        <f>+IF(GENERAL!AJ176=GENERAL!$AI$2,GENERAL!$AI$2,CONCATENATE(OBSERVACIONES!AI175,"
ESTADO DE POSTVENTAS:  ",GENERAL!AJ176))</f>
        <v>OK
ESTADO DE POSTVENTAS:  POSTVENTA CORREGIDA</v>
      </c>
      <c r="AL175" s="51" t="str">
        <f>+IF(GENERAL!AK176=GENERAL!$AI$2,GENERAL!$AI$2,CONCATENATE(OBSERVACIONES!AJ175,"
ESTADO DE POSTVENTAS:  ",GENERAL!AK176))</f>
        <v>OK
ESTADO DE POSTVENTAS:  POSTVENTA CORREGIDA</v>
      </c>
      <c r="AM175" s="84" t="str">
        <f>+IF(GENERAL!AN176=GENERAL!$AI$2,GENERAL!$AI$2,CONCATENATE(OBSERVACIONES!AM175,"
ESTADO DE POSTVENTAS:  ",GENERAL!AN176))</f>
        <v>OK
ESTADO DE POSTVENTAS:  POSTVENTA CORREGIDA</v>
      </c>
      <c r="AN175" s="43">
        <v>1</v>
      </c>
      <c r="AO175" s="43">
        <v>10</v>
      </c>
      <c r="AP175" s="43">
        <v>3</v>
      </c>
      <c r="AQ175" s="43">
        <v>0</v>
      </c>
      <c r="AR175" s="43">
        <v>14</v>
      </c>
      <c r="AS175" s="44">
        <v>12</v>
      </c>
      <c r="AT175" s="77">
        <f>COUNTIFS($D$5:$AM$5,"&lt;&gt;"&amp;CODICIONALES!$A$1,$D$5:$AM$5,"&lt;&gt;"&amp;CODICIONALES!$A$2,$D$5:$AM$5,"&lt;&gt;"&amp;CODICIONALES!$B$2,$D$5:$AM$5,"&lt;&gt;"&amp;CODICIONALES!$C$2)</f>
        <v>6</v>
      </c>
      <c r="AU175" s="77">
        <f>COUNTIFS(D175:AM175,CODICIONALES!$A$2)</f>
        <v>30</v>
      </c>
      <c r="AV175" s="76">
        <f t="shared" si="2"/>
        <v>0</v>
      </c>
    </row>
    <row r="176" spans="1:49" ht="51" customHeight="1" x14ac:dyDescent="0.25">
      <c r="A176" s="121"/>
      <c r="B176" s="122"/>
      <c r="C176" s="37" t="s">
        <v>151</v>
      </c>
      <c r="D176" s="47">
        <f t="shared" ref="D176:AM176" si="3">COUNTA(D5:D175)</f>
        <v>171</v>
      </c>
      <c r="E176" s="47">
        <f t="shared" si="3"/>
        <v>171</v>
      </c>
      <c r="F176" s="47">
        <f t="shared" si="3"/>
        <v>171</v>
      </c>
      <c r="G176" s="47">
        <f t="shared" si="3"/>
        <v>171</v>
      </c>
      <c r="H176" s="47">
        <f t="shared" si="3"/>
        <v>171</v>
      </c>
      <c r="I176" s="47">
        <f t="shared" si="3"/>
        <v>171</v>
      </c>
      <c r="J176" s="47">
        <f t="shared" si="3"/>
        <v>171</v>
      </c>
      <c r="K176" s="47">
        <f t="shared" si="3"/>
        <v>171</v>
      </c>
      <c r="L176" s="47">
        <f t="shared" si="3"/>
        <v>171</v>
      </c>
      <c r="M176" s="47">
        <f t="shared" si="3"/>
        <v>171</v>
      </c>
      <c r="N176" s="47">
        <f t="shared" si="3"/>
        <v>171</v>
      </c>
      <c r="O176" s="47">
        <f t="shared" si="3"/>
        <v>171</v>
      </c>
      <c r="P176" s="47"/>
      <c r="Q176" s="47"/>
      <c r="R176" s="47">
        <f t="shared" si="3"/>
        <v>171</v>
      </c>
      <c r="S176" s="47">
        <f t="shared" si="3"/>
        <v>171</v>
      </c>
      <c r="T176" s="47">
        <f t="shared" si="3"/>
        <v>171</v>
      </c>
      <c r="U176" s="47">
        <f t="shared" si="3"/>
        <v>171</v>
      </c>
      <c r="V176" s="47">
        <f t="shared" si="3"/>
        <v>171</v>
      </c>
      <c r="W176" s="47">
        <f t="shared" si="3"/>
        <v>171</v>
      </c>
      <c r="X176" s="47"/>
      <c r="Y176" s="47">
        <f t="shared" si="3"/>
        <v>171</v>
      </c>
      <c r="Z176" s="47">
        <f t="shared" si="3"/>
        <v>171</v>
      </c>
      <c r="AA176" s="47">
        <f t="shared" si="3"/>
        <v>171</v>
      </c>
      <c r="AB176" s="47">
        <f t="shared" si="3"/>
        <v>171</v>
      </c>
      <c r="AC176" s="47">
        <f t="shared" si="3"/>
        <v>171</v>
      </c>
      <c r="AD176" s="47"/>
      <c r="AE176" s="47">
        <f t="shared" si="3"/>
        <v>171</v>
      </c>
      <c r="AF176" s="47">
        <f t="shared" si="3"/>
        <v>171</v>
      </c>
      <c r="AG176" s="47"/>
      <c r="AH176" s="47">
        <f t="shared" si="3"/>
        <v>171</v>
      </c>
      <c r="AI176" s="47">
        <f t="shared" si="3"/>
        <v>171</v>
      </c>
      <c r="AJ176" s="47">
        <f t="shared" si="3"/>
        <v>171</v>
      </c>
      <c r="AK176" s="52"/>
      <c r="AL176" s="52"/>
      <c r="AM176" s="80">
        <f t="shared" si="3"/>
        <v>171</v>
      </c>
      <c r="AN176" s="83"/>
      <c r="AO176" s="52"/>
      <c r="AP176" s="52"/>
      <c r="AQ176">
        <v>171</v>
      </c>
      <c r="AU176" s="52"/>
      <c r="AV176">
        <f>MAX(D178:AH178)</f>
        <v>171</v>
      </c>
      <c r="AW176">
        <f>LOOKUP(MAX(D178:AH178),D178:AH178)</f>
        <v>171</v>
      </c>
    </row>
    <row r="177" spans="1:43" ht="51" customHeight="1" x14ac:dyDescent="0.25">
      <c r="A177" s="123"/>
      <c r="B177" s="124"/>
      <c r="C177" s="44" t="s">
        <v>152</v>
      </c>
      <c r="D177" s="39">
        <f>D176-D178</f>
        <v>170</v>
      </c>
      <c r="E177" s="39">
        <f t="shared" ref="E177:AM177" si="4">E176-E178</f>
        <v>0</v>
      </c>
      <c r="F177" s="39">
        <f t="shared" si="4"/>
        <v>0</v>
      </c>
      <c r="G177" s="39">
        <f t="shared" si="4"/>
        <v>170</v>
      </c>
      <c r="H177" s="39">
        <f t="shared" si="4"/>
        <v>0</v>
      </c>
      <c r="I177" s="39">
        <f t="shared" si="4"/>
        <v>0</v>
      </c>
      <c r="J177" s="39">
        <f t="shared" si="4"/>
        <v>0</v>
      </c>
      <c r="K177" s="39">
        <f t="shared" si="4"/>
        <v>0</v>
      </c>
      <c r="L177" s="39">
        <f t="shared" si="4"/>
        <v>0</v>
      </c>
      <c r="M177" s="39">
        <f t="shared" si="4"/>
        <v>0</v>
      </c>
      <c r="N177" s="39">
        <f t="shared" si="4"/>
        <v>0</v>
      </c>
      <c r="O177" s="39">
        <f t="shared" si="4"/>
        <v>0</v>
      </c>
      <c r="P177" s="39"/>
      <c r="Q177" s="39"/>
      <c r="R177" s="39">
        <f t="shared" si="4"/>
        <v>0</v>
      </c>
      <c r="S177" s="39">
        <f t="shared" si="4"/>
        <v>0</v>
      </c>
      <c r="T177" s="39">
        <f t="shared" si="4"/>
        <v>0</v>
      </c>
      <c r="U177" s="39">
        <f t="shared" si="4"/>
        <v>0</v>
      </c>
      <c r="V177" s="39">
        <f t="shared" si="4"/>
        <v>0</v>
      </c>
      <c r="W177" s="39">
        <f t="shared" si="4"/>
        <v>0</v>
      </c>
      <c r="X177" s="39"/>
      <c r="Y177" s="39">
        <f t="shared" si="4"/>
        <v>0</v>
      </c>
      <c r="Z177" s="39">
        <f t="shared" si="4"/>
        <v>0</v>
      </c>
      <c r="AA177" s="39">
        <f t="shared" si="4"/>
        <v>0</v>
      </c>
      <c r="AB177" s="39">
        <f t="shared" si="4"/>
        <v>0</v>
      </c>
      <c r="AC177" s="39">
        <f t="shared" si="4"/>
        <v>0</v>
      </c>
      <c r="AD177" s="39"/>
      <c r="AE177" s="39">
        <f t="shared" si="4"/>
        <v>0</v>
      </c>
      <c r="AF177" s="39">
        <f t="shared" si="4"/>
        <v>0</v>
      </c>
      <c r="AG177" s="39"/>
      <c r="AH177" s="39">
        <f t="shared" si="4"/>
        <v>0</v>
      </c>
      <c r="AI177" s="39">
        <f t="shared" si="4"/>
        <v>0</v>
      </c>
      <c r="AJ177" s="79">
        <f t="shared" si="4"/>
        <v>0</v>
      </c>
      <c r="AK177" s="101"/>
      <c r="AL177" s="101"/>
      <c r="AM177" s="81">
        <f t="shared" si="4"/>
        <v>0</v>
      </c>
      <c r="AN177" s="52"/>
      <c r="AO177" s="52"/>
      <c r="AP177" s="52"/>
      <c r="AQ177">
        <f>SUM(D177:AM177)</f>
        <v>340</v>
      </c>
    </row>
    <row r="178" spans="1:43" ht="51" customHeight="1" x14ac:dyDescent="0.25">
      <c r="A178" s="123"/>
      <c r="B178" s="124"/>
      <c r="C178" s="44" t="s">
        <v>153</v>
      </c>
      <c r="D178" s="48">
        <f>COUNTIFS(D5:D175,"&lt;&gt;"&amp;CODICIONALES!$A$1,D5:D175,"&lt;&gt;"&amp;CODICIONALES!$B$2)</f>
        <v>1</v>
      </c>
      <c r="E178" s="48">
        <f>COUNTIFS(E5:E175,"&lt;&gt;"&amp;CODICIONALES!$A$1,E5:E175,"&lt;&gt;"&amp;CODICIONALES!$B$2)</f>
        <v>171</v>
      </c>
      <c r="F178" s="48">
        <f>COUNTIFS(F5:F175,"&lt;&gt;"&amp;CODICIONALES!$A$1,F5:F175,"&lt;&gt;"&amp;CODICIONALES!$B$2)</f>
        <v>171</v>
      </c>
      <c r="G178" s="48">
        <f>COUNTIFS(G5:G175,"&lt;&gt;"&amp;CODICIONALES!$A$1,G5:G175,"&lt;&gt;"&amp;CODICIONALES!$B$2)</f>
        <v>1</v>
      </c>
      <c r="H178" s="48">
        <f>COUNTIFS(H5:H175,"&lt;&gt;"&amp;CODICIONALES!$A$1,H5:H175,"&lt;&gt;"&amp;CODICIONALES!$B$2)</f>
        <v>171</v>
      </c>
      <c r="I178" s="48">
        <f>COUNTIFS(I5:I175,"&lt;&gt;"&amp;CODICIONALES!$A$1,I5:I175,"&lt;&gt;"&amp;CODICIONALES!$B$2)</f>
        <v>171</v>
      </c>
      <c r="J178" s="48">
        <f>COUNTIFS(J5:J175,"&lt;&gt;"&amp;CODICIONALES!$A$1,J5:J175,"&lt;&gt;"&amp;CODICIONALES!$B$2)</f>
        <v>171</v>
      </c>
      <c r="K178" s="48">
        <f>COUNTIFS(K5:K175,"&lt;&gt;"&amp;CODICIONALES!$A$1,K5:K175,"&lt;&gt;"&amp;CODICIONALES!$B$2)</f>
        <v>171</v>
      </c>
      <c r="L178" s="48">
        <f>COUNTIFS(L5:L175,"&lt;&gt;"&amp;CODICIONALES!$A$1,L5:L175,"&lt;&gt;"&amp;CODICIONALES!$B$2)</f>
        <v>171</v>
      </c>
      <c r="M178" s="48">
        <f>COUNTIFS(M5:M175,"&lt;&gt;"&amp;CODICIONALES!$A$1,M5:M175,"&lt;&gt;"&amp;CODICIONALES!$B$2)</f>
        <v>171</v>
      </c>
      <c r="N178" s="48">
        <f>COUNTIFS(N5:N175,"&lt;&gt;"&amp;CODICIONALES!$A$1,N5:N175,"&lt;&gt;"&amp;CODICIONALES!$B$2)</f>
        <v>171</v>
      </c>
      <c r="O178" s="48">
        <f>COUNTIFS(O5:O175,"&lt;&gt;"&amp;CODICIONALES!$A$1,O5:O175,"&lt;&gt;"&amp;CODICIONALES!$B$2)</f>
        <v>171</v>
      </c>
      <c r="P178" s="48"/>
      <c r="Q178" s="48"/>
      <c r="R178" s="48">
        <f>COUNTIFS(R5:R175,"&lt;&gt;"&amp;CODICIONALES!$A$1,R5:R175,"&lt;&gt;"&amp;CODICIONALES!$B$2)</f>
        <v>171</v>
      </c>
      <c r="S178" s="48">
        <f>COUNTIFS(S5:S175,"&lt;&gt;"&amp;CODICIONALES!$A$1,S5:S175,"&lt;&gt;"&amp;CODICIONALES!$B$2)</f>
        <v>171</v>
      </c>
      <c r="T178" s="48">
        <f>COUNTIFS(T5:T175,"&lt;&gt;"&amp;CODICIONALES!$A$1,T5:T175,"&lt;&gt;"&amp;CODICIONALES!$B$2)</f>
        <v>171</v>
      </c>
      <c r="U178" s="48">
        <f>COUNTIFS(U5:U175,"&lt;&gt;"&amp;CODICIONALES!$A$1,U5:U175,"&lt;&gt;"&amp;CODICIONALES!$B$2)</f>
        <v>171</v>
      </c>
      <c r="V178" s="48">
        <f>COUNTIFS(V5:V175,"&lt;&gt;"&amp;CODICIONALES!$A$1,V5:V175,"&lt;&gt;"&amp;CODICIONALES!$B$2)</f>
        <v>171</v>
      </c>
      <c r="W178" s="48">
        <f>COUNTIFS(W5:W175,"&lt;&gt;"&amp;CODICIONALES!$A$1,W5:W175,"&lt;&gt;"&amp;CODICIONALES!$B$2)</f>
        <v>171</v>
      </c>
      <c r="X178" s="48"/>
      <c r="Y178" s="48">
        <f>COUNTIFS(Y5:Y175,"&lt;&gt;"&amp;CODICIONALES!$A$1,Y5:Y175,"&lt;&gt;"&amp;CODICIONALES!$B$2)</f>
        <v>171</v>
      </c>
      <c r="Z178" s="48">
        <f>COUNTIFS(Z5:Z175,"&lt;&gt;"&amp;CODICIONALES!$A$1,Z5:Z175,"&lt;&gt;"&amp;CODICIONALES!$B$2)</f>
        <v>171</v>
      </c>
      <c r="AA178" s="48">
        <f>COUNTIFS(AA5:AA175,"&lt;&gt;"&amp;CODICIONALES!$A$1,AA5:AA175,"&lt;&gt;"&amp;CODICIONALES!$B$2)</f>
        <v>171</v>
      </c>
      <c r="AB178" s="48">
        <f>COUNTIFS(AB5:AB175,"&lt;&gt;"&amp;CODICIONALES!$A$1,AB5:AB175,"&lt;&gt;"&amp;CODICIONALES!$B$2)</f>
        <v>171</v>
      </c>
      <c r="AC178" s="48">
        <f>COUNTIFS(AC5:AC175,"&lt;&gt;"&amp;CODICIONALES!$A$1,AC5:AC175,"&lt;&gt;"&amp;CODICIONALES!$B$2)</f>
        <v>171</v>
      </c>
      <c r="AD178" s="48"/>
      <c r="AE178" s="48">
        <f>COUNTIFS(AE5:AE175,"&lt;&gt;"&amp;CODICIONALES!$A$1,AE5:AE175,"&lt;&gt;"&amp;CODICIONALES!$B$2)</f>
        <v>171</v>
      </c>
      <c r="AF178" s="48">
        <f>COUNTIFS(AF5:AF175,"&lt;&gt;"&amp;CODICIONALES!$A$1,AF5:AF175,"&lt;&gt;"&amp;CODICIONALES!$B$2)</f>
        <v>171</v>
      </c>
      <c r="AG178" s="48"/>
      <c r="AH178" s="48">
        <f>COUNTIFS(AH5:AH175,"&lt;&gt;"&amp;CODICIONALES!$A$1,AH5:AH175,"&lt;&gt;"&amp;CODICIONALES!$B$2)</f>
        <v>171</v>
      </c>
      <c r="AI178" s="48">
        <f>COUNTIFS(AI5:AI175,"&lt;&gt;"&amp;CODICIONALES!$A$1,AI5:AI175,"&lt;&gt;"&amp;CODICIONALES!$B$2)</f>
        <v>171</v>
      </c>
      <c r="AJ178" s="48">
        <f>COUNTIFS(AJ5:AJ175,"&lt;&gt;"&amp;CODICIONALES!$A$1,AJ5:AJ175,"&lt;&gt;"&amp;CODICIONALES!$B$2)</f>
        <v>171</v>
      </c>
      <c r="AK178" s="52"/>
      <c r="AL178" s="52"/>
      <c r="AM178" s="82">
        <f>COUNTIFS(AM5:AM175,"&lt;&gt;"&amp;CODICIONALES!$A$1,AM5:AM175,"&lt;&gt;"&amp;CODICIONALES!$B$2)</f>
        <v>171</v>
      </c>
      <c r="AN178" s="52"/>
      <c r="AO178" s="52"/>
      <c r="AP178" s="52"/>
    </row>
    <row r="179" spans="1:43" ht="51" customHeight="1" x14ac:dyDescent="0.25">
      <c r="C179" s="44" t="s">
        <v>154</v>
      </c>
      <c r="D179" s="69">
        <f t="shared" ref="D179:AA179" si="5">+D178/D176</f>
        <v>5.8479532163742687E-3</v>
      </c>
      <c r="E179" s="69">
        <f t="shared" si="5"/>
        <v>1</v>
      </c>
      <c r="F179" s="69"/>
      <c r="G179" s="69">
        <f t="shared" si="5"/>
        <v>5.8479532163742687E-3</v>
      </c>
      <c r="H179" s="69">
        <f t="shared" si="5"/>
        <v>1</v>
      </c>
      <c r="I179" s="69"/>
      <c r="J179" s="69">
        <f t="shared" si="5"/>
        <v>1</v>
      </c>
      <c r="K179" s="69">
        <f t="shared" si="5"/>
        <v>1</v>
      </c>
      <c r="L179" s="69">
        <f t="shared" si="5"/>
        <v>1</v>
      </c>
      <c r="M179" s="69">
        <f t="shared" si="5"/>
        <v>1</v>
      </c>
      <c r="N179" s="69">
        <f t="shared" si="5"/>
        <v>1</v>
      </c>
      <c r="O179" s="69">
        <f t="shared" si="5"/>
        <v>1</v>
      </c>
      <c r="P179" s="69"/>
      <c r="Q179" s="69"/>
      <c r="R179" s="69">
        <f t="shared" si="5"/>
        <v>1</v>
      </c>
      <c r="S179" s="69">
        <f t="shared" si="5"/>
        <v>1</v>
      </c>
      <c r="T179" s="69">
        <f t="shared" si="5"/>
        <v>1</v>
      </c>
      <c r="U179" s="69">
        <f t="shared" si="5"/>
        <v>1</v>
      </c>
      <c r="V179" s="69"/>
      <c r="W179" s="69">
        <f t="shared" si="5"/>
        <v>1</v>
      </c>
      <c r="X179" s="69"/>
      <c r="Y179" s="69">
        <f t="shared" si="5"/>
        <v>1</v>
      </c>
      <c r="Z179" s="69">
        <f t="shared" si="5"/>
        <v>1</v>
      </c>
      <c r="AA179" s="69">
        <f t="shared" si="5"/>
        <v>1</v>
      </c>
      <c r="AB179" s="69">
        <f>+AB178/AB176</f>
        <v>1</v>
      </c>
      <c r="AC179" s="69">
        <f t="shared" ref="AC179:AM179" si="6">+AC178/AC176</f>
        <v>1</v>
      </c>
      <c r="AD179" s="69"/>
      <c r="AE179" s="69"/>
      <c r="AF179" s="69"/>
      <c r="AG179" s="69"/>
      <c r="AH179" s="69">
        <f t="shared" si="6"/>
        <v>1</v>
      </c>
      <c r="AI179" s="69"/>
      <c r="AJ179" s="69"/>
      <c r="AK179" s="69"/>
      <c r="AL179" s="69"/>
      <c r="AM179" s="69">
        <f t="shared" si="6"/>
        <v>1</v>
      </c>
      <c r="AN179" s="69"/>
      <c r="AO179" s="69"/>
      <c r="AP179" s="69"/>
    </row>
    <row r="180" spans="1:43" ht="51" customHeight="1" thickBot="1" x14ac:dyDescent="0.3">
      <c r="C180" s="44" t="s">
        <v>155</v>
      </c>
      <c r="AB180">
        <v>2</v>
      </c>
    </row>
    <row r="181" spans="1:43" ht="51" customHeight="1" thickBot="1" x14ac:dyDescent="0.3">
      <c r="C181" s="44" t="s">
        <v>156</v>
      </c>
      <c r="AB181" s="69">
        <f>+AB180/AB178</f>
        <v>1.1695906432748537E-2</v>
      </c>
    </row>
  </sheetData>
  <autoFilter ref="C4:AS4" xr:uid="{6FF24493-9EC7-412F-9CA1-BC969C42BF4A}"/>
  <mergeCells count="17">
    <mergeCell ref="AT3:AV3"/>
    <mergeCell ref="AQ3:AS3"/>
    <mergeCell ref="AN3:AP3"/>
    <mergeCell ref="A76:A81"/>
    <mergeCell ref="A176:B178"/>
    <mergeCell ref="A5:A23"/>
    <mergeCell ref="A24:A38"/>
    <mergeCell ref="A39:A48"/>
    <mergeCell ref="A49:A66"/>
    <mergeCell ref="A67:A75"/>
    <mergeCell ref="A167:A175"/>
    <mergeCell ref="A82:A98"/>
    <mergeCell ref="A99:A111"/>
    <mergeCell ref="A112:A127"/>
    <mergeCell ref="A128:A143"/>
    <mergeCell ref="A144:A156"/>
    <mergeCell ref="A157:A166"/>
  </mergeCells>
  <phoneticPr fontId="3" type="noConversion"/>
  <conditionalFormatting sqref="R2 D5:AM175">
    <cfRule type="cellIs" priority="15" operator="equal">
      <formula>$R$2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8" operator="equal" id="{00000000-000E-0000-0300-000005000000}">
            <xm:f>CODICIONALES!$A$1</xm:f>
            <x14:dxf>
              <font>
                <color theme="1"/>
              </font>
              <fill>
                <patternFill>
                  <bgColor rgb="FFFF0000"/>
                </patternFill>
              </fill>
            </x14:dxf>
          </x14:cfRule>
          <x14:cfRule type="cellIs" priority="49" operator="equal" id="{00000000-000E-0000-0300-000006000000}">
            <xm:f>CODICIONALES!$A$2</xm:f>
            <x14:dxf>
              <font>
                <b val="0"/>
                <i val="0"/>
                <color theme="9" tint="-0.499984740745262"/>
              </font>
              <fill>
                <patternFill>
                  <bgColor theme="9" tint="0.59996337778862885"/>
                </patternFill>
              </fill>
            </x14:dxf>
          </x14:cfRule>
          <xm:sqref>D176:AP178 C176:C181 D5:AS175</xm:sqref>
        </x14:conditionalFormatting>
        <x14:conditionalFormatting xmlns:xm="http://schemas.microsoft.com/office/excel/2006/main">
          <x14:cfRule type="cellIs" priority="1" operator="equal" id="{CD251069-7214-46F6-876F-1065E43C57F4}">
            <xm:f>CODICIONALES!$A$1</xm:f>
            <x14:dxf>
              <font>
                <color theme="1"/>
              </font>
              <fill>
                <patternFill>
                  <bgColor rgb="FFFF0000"/>
                </patternFill>
              </fill>
            </x14:dxf>
          </x14:cfRule>
          <x14:cfRule type="cellIs" priority="2" operator="equal" id="{0CDBF5CD-E3BB-48D0-9BFC-3776064C2D17}">
            <xm:f>CODICIONALES!$A$2</xm:f>
            <x14:dxf>
              <font>
                <b val="0"/>
                <i val="0"/>
                <color theme="9" tint="-0.499984740745262"/>
              </font>
              <fill>
                <patternFill>
                  <bgColor theme="9" tint="0.59996337778862885"/>
                </patternFill>
              </fill>
            </x14:dxf>
          </x14:cfRule>
          <xm:sqref>AT5:AV5 AT6:AT175 AV6:AV175 AU6:AU176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5623-F02C-413A-9B8C-779F1015FCC9}">
  <dimension ref="A1:E21"/>
  <sheetViews>
    <sheetView workbookViewId="0">
      <selection activeCell="C26" sqref="A1:C26"/>
    </sheetView>
  </sheetViews>
  <sheetFormatPr baseColWidth="10" defaultColWidth="11.42578125" defaultRowHeight="15" x14ac:dyDescent="0.25"/>
  <cols>
    <col min="2" max="2" width="11.85546875" bestFit="1" customWidth="1"/>
    <col min="4" max="4" width="21.42578125" bestFit="1" customWidth="1"/>
  </cols>
  <sheetData>
    <row r="1" spans="1:5" x14ac:dyDescent="0.25">
      <c r="A1" s="53" t="s">
        <v>157</v>
      </c>
      <c r="B1" s="53" t="s">
        <v>158</v>
      </c>
      <c r="C1" s="53" t="s">
        <v>159</v>
      </c>
      <c r="D1" s="53" t="s">
        <v>160</v>
      </c>
    </row>
    <row r="2" spans="1:5" x14ac:dyDescent="0.25">
      <c r="A2" t="s">
        <v>6</v>
      </c>
      <c r="B2">
        <v>2</v>
      </c>
      <c r="C2">
        <v>169</v>
      </c>
    </row>
    <row r="3" spans="1:5" x14ac:dyDescent="0.25">
      <c r="A3" t="s">
        <v>7</v>
      </c>
      <c r="B3">
        <v>0</v>
      </c>
      <c r="C3">
        <v>171</v>
      </c>
    </row>
    <row r="4" spans="1:5" x14ac:dyDescent="0.25">
      <c r="A4" t="s">
        <v>161</v>
      </c>
      <c r="B4">
        <v>1</v>
      </c>
      <c r="C4">
        <v>170</v>
      </c>
    </row>
    <row r="5" spans="1:5" x14ac:dyDescent="0.25">
      <c r="A5" t="s">
        <v>10</v>
      </c>
      <c r="B5">
        <v>1</v>
      </c>
      <c r="C5">
        <v>170</v>
      </c>
      <c r="E5">
        <f>MAX(B2:B21)</f>
        <v>64</v>
      </c>
    </row>
    <row r="6" spans="1:5" x14ac:dyDescent="0.25">
      <c r="A6" t="s">
        <v>162</v>
      </c>
      <c r="B6">
        <v>1</v>
      </c>
      <c r="C6">
        <v>170</v>
      </c>
    </row>
    <row r="7" spans="1:5" x14ac:dyDescent="0.25">
      <c r="A7" t="s">
        <v>12</v>
      </c>
      <c r="B7">
        <v>1</v>
      </c>
      <c r="C7">
        <v>170</v>
      </c>
    </row>
    <row r="8" spans="1:5" x14ac:dyDescent="0.25">
      <c r="A8" t="s">
        <v>13</v>
      </c>
      <c r="B8">
        <v>30</v>
      </c>
      <c r="C8">
        <v>141</v>
      </c>
    </row>
    <row r="9" spans="1:5" x14ac:dyDescent="0.25">
      <c r="A9" t="s">
        <v>14</v>
      </c>
      <c r="B9">
        <v>0</v>
      </c>
      <c r="C9">
        <v>171</v>
      </c>
    </row>
    <row r="10" spans="1:5" x14ac:dyDescent="0.25">
      <c r="A10" t="s">
        <v>17</v>
      </c>
      <c r="B10">
        <v>64</v>
      </c>
      <c r="C10">
        <v>107</v>
      </c>
    </row>
    <row r="11" spans="1:5" x14ac:dyDescent="0.25">
      <c r="A11" t="s">
        <v>18</v>
      </c>
      <c r="B11">
        <v>18</v>
      </c>
      <c r="C11">
        <v>153</v>
      </c>
    </row>
    <row r="12" spans="1:5" x14ac:dyDescent="0.25">
      <c r="A12" t="s">
        <v>20</v>
      </c>
      <c r="B12">
        <v>19</v>
      </c>
      <c r="C12">
        <v>152</v>
      </c>
    </row>
    <row r="13" spans="1:5" x14ac:dyDescent="0.25">
      <c r="A13" t="s">
        <v>21</v>
      </c>
      <c r="B13">
        <v>62</v>
      </c>
      <c r="C13">
        <v>109</v>
      </c>
    </row>
    <row r="14" spans="1:5" x14ac:dyDescent="0.25">
      <c r="A14" t="s">
        <v>22</v>
      </c>
      <c r="B14">
        <v>12</v>
      </c>
      <c r="C14">
        <v>159</v>
      </c>
    </row>
    <row r="15" spans="1:5" x14ac:dyDescent="0.25">
      <c r="A15" t="s">
        <v>24</v>
      </c>
      <c r="B15">
        <v>50</v>
      </c>
      <c r="C15">
        <v>121</v>
      </c>
    </row>
    <row r="16" spans="1:5" x14ac:dyDescent="0.25">
      <c r="A16" t="s">
        <v>26</v>
      </c>
      <c r="B16">
        <v>1</v>
      </c>
      <c r="C16">
        <v>170</v>
      </c>
    </row>
    <row r="17" spans="1:3" x14ac:dyDescent="0.25">
      <c r="A17" t="s">
        <v>27</v>
      </c>
      <c r="B17">
        <v>1</v>
      </c>
      <c r="C17">
        <v>170</v>
      </c>
    </row>
    <row r="18" spans="1:3" x14ac:dyDescent="0.25">
      <c r="A18" t="s">
        <v>28</v>
      </c>
      <c r="B18">
        <v>2</v>
      </c>
      <c r="C18">
        <v>169</v>
      </c>
    </row>
    <row r="19" spans="1:3" x14ac:dyDescent="0.25">
      <c r="A19" t="s">
        <v>29</v>
      </c>
      <c r="B19">
        <v>30</v>
      </c>
      <c r="C19">
        <v>141</v>
      </c>
    </row>
    <row r="20" spans="1:3" x14ac:dyDescent="0.25">
      <c r="A20" t="s">
        <v>163</v>
      </c>
      <c r="B20">
        <v>1</v>
      </c>
      <c r="C20">
        <v>170</v>
      </c>
    </row>
    <row r="21" spans="1:3" x14ac:dyDescent="0.25">
      <c r="A21" t="s">
        <v>32</v>
      </c>
      <c r="B21">
        <v>39</v>
      </c>
      <c r="C21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799F-076C-4E47-BACC-FD40991224DF}">
  <dimension ref="A1:AQ22"/>
  <sheetViews>
    <sheetView topLeftCell="V1" zoomScaleNormal="100" workbookViewId="0">
      <selection activeCell="AL3" sqref="AL3"/>
    </sheetView>
  </sheetViews>
  <sheetFormatPr baseColWidth="10" defaultColWidth="10.28515625" defaultRowHeight="15" x14ac:dyDescent="0.25"/>
  <cols>
    <col min="1" max="1" width="25.5703125" bestFit="1" customWidth="1"/>
    <col min="2" max="3" width="4" bestFit="1" customWidth="1"/>
    <col min="4" max="5" width="4" customWidth="1"/>
    <col min="6" max="7" width="4.42578125" bestFit="1" customWidth="1"/>
    <col min="8" max="10" width="4.42578125" customWidth="1"/>
    <col min="11" max="13" width="4.42578125" bestFit="1" customWidth="1"/>
    <col min="14" max="15" width="4.42578125" customWidth="1"/>
    <col min="16" max="16" width="4.42578125" bestFit="1" customWidth="1"/>
    <col min="17" max="17" width="4.42578125" customWidth="1"/>
    <col min="18" max="18" width="4.42578125" bestFit="1" customWidth="1"/>
    <col min="19" max="19" width="4.42578125" customWidth="1"/>
    <col min="20" max="22" width="4.42578125" bestFit="1" customWidth="1"/>
    <col min="23" max="23" width="4.42578125" customWidth="1"/>
    <col min="24" max="24" width="4.42578125" bestFit="1" customWidth="1"/>
    <col min="25" max="26" width="4.42578125" customWidth="1"/>
    <col min="27" max="31" width="4.42578125" bestFit="1" customWidth="1"/>
    <col min="32" max="34" width="4.42578125" customWidth="1"/>
    <col min="35" max="35" width="4.42578125" bestFit="1" customWidth="1"/>
    <col min="36" max="38" width="4.42578125" customWidth="1"/>
    <col min="39" max="40" width="4.42578125" bestFit="1" customWidth="1"/>
    <col min="42" max="42" width="43.7109375" customWidth="1"/>
  </cols>
  <sheetData>
    <row r="1" spans="1:43" x14ac:dyDescent="0.25">
      <c r="A1" s="54"/>
      <c r="B1" s="54" t="s">
        <v>164</v>
      </c>
      <c r="C1" s="54" t="s">
        <v>165</v>
      </c>
      <c r="D1" s="54" t="s">
        <v>166</v>
      </c>
      <c r="E1" s="54" t="s">
        <v>167</v>
      </c>
      <c r="F1" s="63" t="s">
        <v>168</v>
      </c>
      <c r="G1" s="54" t="s">
        <v>169</v>
      </c>
      <c r="H1" s="71" t="s">
        <v>170</v>
      </c>
      <c r="I1" s="63" t="s">
        <v>171</v>
      </c>
      <c r="J1" s="63" t="s">
        <v>172</v>
      </c>
      <c r="K1" s="54" t="s">
        <v>173</v>
      </c>
      <c r="L1" s="54" t="s">
        <v>174</v>
      </c>
      <c r="M1" s="54" t="s">
        <v>175</v>
      </c>
      <c r="N1" s="54" t="s">
        <v>176</v>
      </c>
      <c r="O1" s="54" t="s">
        <v>177</v>
      </c>
      <c r="P1" s="54" t="s">
        <v>178</v>
      </c>
      <c r="Q1" s="63" t="s">
        <v>179</v>
      </c>
      <c r="R1" s="54" t="s">
        <v>180</v>
      </c>
      <c r="S1" s="62" t="s">
        <v>181</v>
      </c>
      <c r="T1" s="63" t="s">
        <v>182</v>
      </c>
      <c r="U1" s="54" t="s">
        <v>183</v>
      </c>
      <c r="V1" s="54" t="s">
        <v>184</v>
      </c>
      <c r="W1" s="54" t="s">
        <v>185</v>
      </c>
      <c r="X1" s="54" t="s">
        <v>186</v>
      </c>
      <c r="Y1" s="54" t="s">
        <v>187</v>
      </c>
      <c r="Z1" s="54" t="s">
        <v>188</v>
      </c>
      <c r="AA1" s="64" t="s">
        <v>189</v>
      </c>
      <c r="AB1" s="63" t="s">
        <v>190</v>
      </c>
      <c r="AC1" s="64" t="s">
        <v>191</v>
      </c>
      <c r="AD1" s="64" t="s">
        <v>192</v>
      </c>
      <c r="AE1" s="64" t="s">
        <v>193</v>
      </c>
      <c r="AF1" s="54" t="s">
        <v>194</v>
      </c>
      <c r="AG1" s="54" t="s">
        <v>195</v>
      </c>
      <c r="AH1" s="54" t="s">
        <v>242</v>
      </c>
      <c r="AI1" s="54" t="s">
        <v>196</v>
      </c>
      <c r="AJ1" s="62" t="s">
        <v>197</v>
      </c>
      <c r="AK1" s="54" t="s">
        <v>198</v>
      </c>
      <c r="AL1" s="54" t="s">
        <v>199</v>
      </c>
      <c r="AM1" s="54" t="s">
        <v>200</v>
      </c>
      <c r="AN1" s="54" t="s">
        <v>201</v>
      </c>
      <c r="AO1">
        <f>COUNTA(B1:AN1)</f>
        <v>39</v>
      </c>
    </row>
    <row r="2" spans="1:43" ht="14.45" customHeight="1" x14ac:dyDescent="0.25">
      <c r="A2" s="55" t="s">
        <v>38</v>
      </c>
      <c r="B2" s="56"/>
      <c r="C2" s="56"/>
      <c r="D2" s="56"/>
      <c r="E2" s="56"/>
      <c r="F2" s="56"/>
      <c r="G2" s="56"/>
      <c r="H2" s="72"/>
      <c r="I2" s="72"/>
      <c r="J2" s="56"/>
      <c r="K2" s="56"/>
      <c r="L2" s="57"/>
      <c r="M2" s="56"/>
      <c r="N2" s="57"/>
      <c r="O2" s="57"/>
      <c r="P2" s="56"/>
      <c r="Q2" s="57"/>
      <c r="R2" s="57"/>
      <c r="S2" s="56"/>
      <c r="T2" s="57"/>
      <c r="U2" s="57"/>
      <c r="V2" s="65"/>
      <c r="W2" s="65"/>
      <c r="X2" s="57"/>
      <c r="Y2" s="65"/>
      <c r="Z2" s="57"/>
      <c r="AA2" s="56"/>
      <c r="AB2" s="57"/>
      <c r="AC2" s="56"/>
      <c r="AD2" s="56"/>
      <c r="AE2" s="57"/>
      <c r="AF2" s="57"/>
      <c r="AG2" s="56"/>
      <c r="AH2" s="57"/>
      <c r="AI2" s="57"/>
      <c r="AJ2" s="56"/>
      <c r="AK2" s="56"/>
      <c r="AL2" s="57"/>
      <c r="AM2" s="57"/>
      <c r="AN2" s="57"/>
      <c r="AP2" s="132" t="s">
        <v>202</v>
      </c>
      <c r="AQ2" s="132"/>
    </row>
    <row r="3" spans="1:43" ht="30" x14ac:dyDescent="0.25">
      <c r="A3" s="55" t="s">
        <v>66</v>
      </c>
      <c r="B3" s="56"/>
      <c r="C3" s="56"/>
      <c r="D3" s="56"/>
      <c r="E3" s="56"/>
      <c r="F3" s="56"/>
      <c r="G3" s="56"/>
      <c r="H3" s="72"/>
      <c r="I3" s="72"/>
      <c r="J3" s="56"/>
      <c r="K3" s="56"/>
      <c r="L3" s="57"/>
      <c r="M3" s="56"/>
      <c r="N3" s="56"/>
      <c r="O3" s="57"/>
      <c r="P3" s="56"/>
      <c r="Q3" s="57"/>
      <c r="R3" s="57"/>
      <c r="S3" s="56"/>
      <c r="T3" s="57"/>
      <c r="U3" s="57"/>
      <c r="V3" s="65"/>
      <c r="W3" s="65"/>
      <c r="X3" s="56"/>
      <c r="Y3" s="65"/>
      <c r="Z3" s="57"/>
      <c r="AA3" s="56"/>
      <c r="AB3" s="57"/>
      <c r="AC3" s="56"/>
      <c r="AD3" s="57"/>
      <c r="AE3" s="57"/>
      <c r="AF3" s="57"/>
      <c r="AG3" s="56"/>
      <c r="AH3" s="57"/>
      <c r="AI3" s="56"/>
      <c r="AJ3" s="56"/>
      <c r="AK3" s="56"/>
      <c r="AL3" s="57"/>
      <c r="AM3" s="57"/>
      <c r="AN3" s="57"/>
      <c r="AP3" s="89" t="s">
        <v>203</v>
      </c>
      <c r="AQ3" s="71">
        <v>7</v>
      </c>
    </row>
    <row r="4" spans="1:43" x14ac:dyDescent="0.25">
      <c r="A4" s="55" t="s">
        <v>79</v>
      </c>
      <c r="B4" s="56"/>
      <c r="C4" s="56"/>
      <c r="D4" s="56"/>
      <c r="E4" s="56"/>
      <c r="F4" s="56"/>
      <c r="G4" s="57"/>
      <c r="H4" s="72"/>
      <c r="I4" s="72"/>
      <c r="J4" s="56"/>
      <c r="K4" s="56"/>
      <c r="L4" s="56"/>
      <c r="M4" s="56"/>
      <c r="N4" s="56"/>
      <c r="O4" s="57"/>
      <c r="P4" s="56"/>
      <c r="Q4" s="56"/>
      <c r="R4" s="57"/>
      <c r="S4" s="56"/>
      <c r="T4" s="56"/>
      <c r="U4" s="57"/>
      <c r="V4" s="65"/>
      <c r="W4" s="65"/>
      <c r="X4" s="56"/>
      <c r="Y4" s="65"/>
      <c r="Z4" s="57"/>
      <c r="AA4" s="56"/>
      <c r="AB4" s="57"/>
      <c r="AC4" s="56"/>
      <c r="AD4" s="56"/>
      <c r="AE4" s="57"/>
      <c r="AF4" s="57"/>
      <c r="AG4" s="56"/>
      <c r="AH4" s="57"/>
      <c r="AI4" s="56"/>
      <c r="AJ4" s="56"/>
      <c r="AK4" s="56"/>
      <c r="AL4" s="56"/>
      <c r="AM4" s="57"/>
      <c r="AN4" s="57"/>
      <c r="AP4" s="57" t="s">
        <v>204</v>
      </c>
      <c r="AQ4" s="71">
        <v>18</v>
      </c>
    </row>
    <row r="5" spans="1:43" x14ac:dyDescent="0.25">
      <c r="A5" s="55" t="s">
        <v>81</v>
      </c>
      <c r="B5" s="56"/>
      <c r="C5" s="56"/>
      <c r="D5" s="56"/>
      <c r="E5" s="56"/>
      <c r="F5" s="56"/>
      <c r="G5" s="56"/>
      <c r="H5" s="72"/>
      <c r="I5" s="72"/>
      <c r="J5" s="56"/>
      <c r="K5" s="56"/>
      <c r="L5" s="56"/>
      <c r="M5" s="56"/>
      <c r="N5" s="56"/>
      <c r="O5" s="56"/>
      <c r="P5" s="57"/>
      <c r="Q5" s="57"/>
      <c r="R5" s="56"/>
      <c r="S5" s="56"/>
      <c r="T5" s="57"/>
      <c r="U5" s="57"/>
      <c r="V5" s="65"/>
      <c r="W5" s="65"/>
      <c r="X5" s="56"/>
      <c r="Y5" s="65"/>
      <c r="Z5" s="57"/>
      <c r="AA5" s="56"/>
      <c r="AB5" s="56"/>
      <c r="AC5" s="56"/>
      <c r="AD5" s="56"/>
      <c r="AE5" s="56"/>
      <c r="AF5" s="57"/>
      <c r="AG5" s="56"/>
      <c r="AH5" s="57"/>
      <c r="AI5" s="56"/>
      <c r="AJ5" s="56"/>
      <c r="AK5" s="56"/>
      <c r="AL5" s="56"/>
      <c r="AM5" s="56"/>
      <c r="AN5" s="57"/>
      <c r="AP5" s="65" t="s">
        <v>205</v>
      </c>
      <c r="AQ5" s="71">
        <v>4</v>
      </c>
    </row>
    <row r="6" spans="1:43" ht="13.15" customHeight="1" x14ac:dyDescent="0.25">
      <c r="A6" s="55" t="s">
        <v>90</v>
      </c>
      <c r="B6" s="56"/>
      <c r="C6" s="56"/>
      <c r="D6" s="56"/>
      <c r="E6" s="56"/>
      <c r="F6" s="56"/>
      <c r="G6" s="56"/>
      <c r="H6" s="72"/>
      <c r="I6" s="72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7"/>
      <c r="V6" s="65"/>
      <c r="W6" s="65"/>
      <c r="X6" s="56"/>
      <c r="Y6" s="65"/>
      <c r="Z6" s="57"/>
      <c r="AA6" s="56"/>
      <c r="AB6" s="56"/>
      <c r="AC6" s="56"/>
      <c r="AD6" s="56"/>
      <c r="AE6" s="56"/>
      <c r="AF6" s="56"/>
      <c r="AG6" s="56"/>
      <c r="AH6" s="57"/>
      <c r="AI6" s="56"/>
      <c r="AJ6" s="56"/>
      <c r="AK6" s="56"/>
      <c r="AL6" s="56"/>
      <c r="AM6" s="56"/>
      <c r="AN6" s="56"/>
      <c r="AP6" s="86" t="s">
        <v>206</v>
      </c>
      <c r="AQ6" s="71">
        <v>6</v>
      </c>
    </row>
    <row r="7" spans="1:43" ht="30" x14ac:dyDescent="0.25">
      <c r="A7" s="55" t="s">
        <v>95</v>
      </c>
      <c r="B7" s="56"/>
      <c r="C7" s="56"/>
      <c r="D7" s="57"/>
      <c r="E7" s="56"/>
      <c r="F7" s="56"/>
      <c r="G7" s="56"/>
      <c r="H7" s="72"/>
      <c r="I7" s="72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7"/>
      <c r="V7" s="65"/>
      <c r="W7" s="65"/>
      <c r="X7" s="56"/>
      <c r="Y7" s="65"/>
      <c r="Z7" s="57"/>
      <c r="AA7" s="56"/>
      <c r="AB7" s="56"/>
      <c r="AC7" s="56"/>
      <c r="AD7" s="56"/>
      <c r="AE7" s="57"/>
      <c r="AF7" s="57"/>
      <c r="AG7" s="56"/>
      <c r="AH7" s="56"/>
      <c r="AI7" s="56"/>
      <c r="AJ7" s="56"/>
      <c r="AK7" s="56"/>
      <c r="AL7" s="56"/>
      <c r="AM7" s="56"/>
      <c r="AN7" s="57"/>
      <c r="AP7" s="90" t="s">
        <v>207</v>
      </c>
      <c r="AQ7" s="71">
        <v>3</v>
      </c>
    </row>
    <row r="8" spans="1:43" x14ac:dyDescent="0.25">
      <c r="A8" s="55" t="s">
        <v>98</v>
      </c>
      <c r="B8" s="56"/>
      <c r="C8" s="56"/>
      <c r="D8" s="56"/>
      <c r="E8" s="56"/>
      <c r="F8" s="56"/>
      <c r="G8" s="57"/>
      <c r="H8" s="72"/>
      <c r="I8" s="72"/>
      <c r="J8" s="56"/>
      <c r="K8" s="56"/>
      <c r="L8" s="57"/>
      <c r="M8" s="56"/>
      <c r="N8" s="57"/>
      <c r="O8" s="57"/>
      <c r="P8" s="57"/>
      <c r="Q8" s="57"/>
      <c r="R8" s="57"/>
      <c r="S8" s="56"/>
      <c r="T8" s="57"/>
      <c r="U8" s="57"/>
      <c r="V8" s="65"/>
      <c r="W8" s="65"/>
      <c r="X8" s="56"/>
      <c r="Y8" s="65"/>
      <c r="Z8" s="57"/>
      <c r="AA8" s="57"/>
      <c r="AB8" s="57"/>
      <c r="AC8" s="56"/>
      <c r="AD8" s="56"/>
      <c r="AE8" s="57"/>
      <c r="AF8" s="57"/>
      <c r="AG8" s="56"/>
      <c r="AH8" s="57"/>
      <c r="AI8" s="57"/>
      <c r="AJ8" s="56"/>
      <c r="AK8" s="106"/>
      <c r="AL8" s="57"/>
      <c r="AM8" s="57"/>
      <c r="AN8" s="57"/>
      <c r="AP8" s="54" t="s">
        <v>208</v>
      </c>
      <c r="AQ8" s="71">
        <v>11</v>
      </c>
    </row>
    <row r="9" spans="1:43" x14ac:dyDescent="0.25">
      <c r="A9" s="55" t="s">
        <v>102</v>
      </c>
      <c r="B9" s="56"/>
      <c r="C9" s="56"/>
      <c r="D9" s="56"/>
      <c r="E9" s="56"/>
      <c r="F9" s="56"/>
      <c r="G9" s="57"/>
      <c r="H9" s="72"/>
      <c r="I9" s="72"/>
      <c r="J9" s="56"/>
      <c r="K9" s="56"/>
      <c r="L9" s="57"/>
      <c r="M9" s="56"/>
      <c r="N9" s="56"/>
      <c r="O9" s="56"/>
      <c r="P9" s="56"/>
      <c r="Q9" s="56"/>
      <c r="R9" s="57"/>
      <c r="S9" s="56"/>
      <c r="T9" s="57"/>
      <c r="U9" s="56"/>
      <c r="V9" s="65"/>
      <c r="W9" s="65"/>
      <c r="X9" s="56"/>
      <c r="Y9" s="65"/>
      <c r="Z9" s="57"/>
      <c r="AA9" s="56"/>
      <c r="AB9" s="57"/>
      <c r="AC9" s="56"/>
      <c r="AD9" s="56"/>
      <c r="AE9" s="56"/>
      <c r="AF9" s="56"/>
      <c r="AG9" s="56"/>
      <c r="AH9" s="57"/>
      <c r="AI9" s="56"/>
      <c r="AJ9" s="56"/>
      <c r="AK9" s="56"/>
      <c r="AL9" s="56"/>
      <c r="AM9" s="56"/>
      <c r="AN9" s="57"/>
      <c r="AQ9" s="88">
        <f>SUM(AQ3:AQ8)</f>
        <v>49</v>
      </c>
    </row>
    <row r="10" spans="1:43" ht="14.45" customHeight="1" x14ac:dyDescent="0.25">
      <c r="A10" s="55" t="s">
        <v>106</v>
      </c>
      <c r="B10" s="56"/>
      <c r="C10" s="57"/>
      <c r="D10" s="57"/>
      <c r="E10" s="56"/>
      <c r="F10" s="56"/>
      <c r="G10" s="56"/>
      <c r="H10" s="72"/>
      <c r="I10" s="72"/>
      <c r="J10" s="56"/>
      <c r="K10" s="56"/>
      <c r="L10" s="56"/>
      <c r="M10" s="57"/>
      <c r="N10" s="57"/>
      <c r="O10" s="57"/>
      <c r="P10" s="57"/>
      <c r="Q10" s="56"/>
      <c r="R10" s="57"/>
      <c r="S10" s="56"/>
      <c r="T10" s="57"/>
      <c r="U10" s="57"/>
      <c r="V10" s="65"/>
      <c r="W10" s="65"/>
      <c r="X10" s="56"/>
      <c r="Y10" s="65"/>
      <c r="Z10" s="57"/>
      <c r="AA10" s="57"/>
      <c r="AB10" s="57"/>
      <c r="AC10" s="56"/>
      <c r="AD10" s="56"/>
      <c r="AE10" s="56"/>
      <c r="AF10" s="57"/>
      <c r="AG10" s="56"/>
      <c r="AH10" s="56"/>
      <c r="AI10" s="57"/>
      <c r="AJ10" s="56"/>
      <c r="AK10" s="57"/>
      <c r="AL10" s="57"/>
      <c r="AM10" s="57"/>
      <c r="AN10" s="56"/>
    </row>
    <row r="11" spans="1:43" x14ac:dyDescent="0.25">
      <c r="A11" s="55" t="s">
        <v>107</v>
      </c>
      <c r="B11" s="56"/>
      <c r="C11" s="57"/>
      <c r="D11" s="57"/>
      <c r="E11" s="56"/>
      <c r="F11" s="57"/>
      <c r="G11" s="57"/>
      <c r="H11" s="72"/>
      <c r="I11" s="72"/>
      <c r="J11" s="56"/>
      <c r="K11" s="56"/>
      <c r="L11" s="56"/>
      <c r="M11" s="57"/>
      <c r="N11" s="57"/>
      <c r="O11" s="57"/>
      <c r="P11" s="56"/>
      <c r="Q11" s="56"/>
      <c r="R11" s="57"/>
      <c r="S11" s="56"/>
      <c r="T11" s="57"/>
      <c r="U11" s="57"/>
      <c r="V11" s="65"/>
      <c r="W11" s="65"/>
      <c r="X11" s="56"/>
      <c r="Y11" s="65"/>
      <c r="Z11" s="57"/>
      <c r="AA11" s="67"/>
      <c r="AB11" s="104"/>
      <c r="AC11" s="59"/>
      <c r="AD11" s="59"/>
      <c r="AE11" s="59"/>
      <c r="AF11" s="104"/>
      <c r="AG11" s="59"/>
      <c r="AH11" s="57"/>
      <c r="AI11" s="104"/>
      <c r="AJ11" s="59"/>
      <c r="AK11" s="104"/>
      <c r="AL11" s="104"/>
      <c r="AM11" s="104"/>
      <c r="AN11" s="59"/>
    </row>
    <row r="12" spans="1:43" x14ac:dyDescent="0.25">
      <c r="A12" s="55" t="s">
        <v>108</v>
      </c>
      <c r="B12" s="56"/>
      <c r="C12" s="56"/>
      <c r="D12" s="56"/>
      <c r="E12" s="58"/>
      <c r="F12" s="58"/>
      <c r="G12" s="56"/>
      <c r="H12" s="73"/>
      <c r="I12" s="73"/>
      <c r="J12" s="56"/>
      <c r="K12" s="56"/>
      <c r="L12" s="56"/>
      <c r="M12" s="56"/>
      <c r="N12" s="56"/>
      <c r="O12" s="56"/>
      <c r="P12" s="56"/>
      <c r="Q12" s="56"/>
      <c r="R12" s="57"/>
      <c r="S12" s="56"/>
      <c r="T12" s="57"/>
      <c r="U12" s="57"/>
      <c r="V12" s="65"/>
      <c r="W12" s="66"/>
      <c r="X12" s="56"/>
      <c r="Y12" s="65"/>
      <c r="Z12" s="57"/>
      <c r="AA12" s="103"/>
      <c r="AB12" s="105"/>
      <c r="AC12" s="61"/>
      <c r="AD12" s="61"/>
      <c r="AE12" s="61"/>
      <c r="AF12" s="105"/>
      <c r="AG12" s="61"/>
      <c r="AH12" s="56"/>
      <c r="AI12" s="103"/>
      <c r="AJ12" s="61"/>
      <c r="AK12" s="105"/>
      <c r="AL12" s="105"/>
      <c r="AM12" s="61"/>
      <c r="AN12" s="105"/>
    </row>
    <row r="13" spans="1:43" x14ac:dyDescent="0.25">
      <c r="A13" s="55" t="s">
        <v>109</v>
      </c>
      <c r="B13" s="56"/>
      <c r="C13" s="56"/>
      <c r="D13" s="56"/>
      <c r="E13" s="56"/>
      <c r="F13" s="57"/>
      <c r="G13" s="56"/>
      <c r="H13" s="72"/>
      <c r="I13" s="72"/>
      <c r="J13" s="56"/>
      <c r="K13" s="56"/>
      <c r="L13" s="56"/>
      <c r="M13" s="56"/>
      <c r="N13" s="56"/>
      <c r="O13" s="56"/>
      <c r="P13" s="57"/>
      <c r="Q13" s="57"/>
      <c r="R13" s="57"/>
      <c r="S13" s="56"/>
      <c r="T13" s="56"/>
      <c r="U13" s="57"/>
      <c r="V13" s="65"/>
      <c r="W13" s="65"/>
      <c r="X13" s="103"/>
      <c r="Y13" s="65"/>
      <c r="Z13" s="57"/>
      <c r="AA13" s="68"/>
      <c r="AB13" s="56"/>
      <c r="AC13" s="60"/>
      <c r="AD13" s="56"/>
      <c r="AE13" s="57"/>
      <c r="AF13" s="57"/>
      <c r="AG13" s="60"/>
      <c r="AH13" s="60"/>
      <c r="AI13" s="56"/>
      <c r="AJ13" s="60"/>
      <c r="AK13" s="60"/>
      <c r="AL13" s="107"/>
      <c r="AM13" s="56"/>
      <c r="AN13" s="56"/>
    </row>
    <row r="14" spans="1:43" x14ac:dyDescent="0.25">
      <c r="A14" s="55" t="s">
        <v>111</v>
      </c>
      <c r="B14" s="56"/>
      <c r="C14" s="56"/>
      <c r="D14" s="56"/>
      <c r="E14" s="56"/>
      <c r="F14" s="56"/>
      <c r="G14" s="56"/>
      <c r="H14" s="72"/>
      <c r="I14" s="72"/>
      <c r="J14" s="56"/>
      <c r="K14" s="56"/>
      <c r="L14" s="56"/>
      <c r="M14" s="56"/>
      <c r="N14" s="56"/>
      <c r="O14" s="56"/>
      <c r="P14" s="56"/>
      <c r="Q14" s="56"/>
      <c r="R14" s="57"/>
      <c r="S14" s="56"/>
      <c r="T14" s="57"/>
      <c r="U14" s="57"/>
      <c r="V14" s="65"/>
      <c r="W14" s="65"/>
      <c r="X14" s="56"/>
      <c r="Y14" s="65"/>
      <c r="Z14" s="57"/>
      <c r="AA14" s="56"/>
      <c r="AB14" s="56"/>
      <c r="AC14" s="56"/>
      <c r="AD14" s="56"/>
      <c r="AE14" s="57"/>
      <c r="AF14" s="56"/>
      <c r="AG14" s="56"/>
      <c r="AH14" s="57"/>
      <c r="AI14" s="56"/>
      <c r="AJ14" s="56"/>
      <c r="AK14" s="56"/>
      <c r="AL14" s="56"/>
      <c r="AM14" s="56"/>
      <c r="AN14" s="56"/>
    </row>
    <row r="16" spans="1:43" x14ac:dyDescent="0.25">
      <c r="AP16" t="s">
        <v>209</v>
      </c>
      <c r="AQ16">
        <f>AQ9-AQ8-AQ6</f>
        <v>32</v>
      </c>
    </row>
    <row r="22" spans="3:3" x14ac:dyDescent="0.25">
      <c r="C22" t="str">
        <f>_xlfn.CONCAT("")</f>
        <v/>
      </c>
    </row>
  </sheetData>
  <mergeCells count="1">
    <mergeCell ref="AP2:AQ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AE491FD1B7B8419C16199DE6C5786F" ma:contentTypeVersion="12" ma:contentTypeDescription="Crear nuevo documento." ma:contentTypeScope="" ma:versionID="9588aec98deaf5c8413c7829776ef90b">
  <xsd:schema xmlns:xsd="http://www.w3.org/2001/XMLSchema" xmlns:xs="http://www.w3.org/2001/XMLSchema" xmlns:p="http://schemas.microsoft.com/office/2006/metadata/properties" xmlns:ns2="969db29d-fcfb-47c0-891c-9c6e15a8b788" targetNamespace="http://schemas.microsoft.com/office/2006/metadata/properties" ma:root="true" ma:fieldsID="5eb6b75e9d0ec1c079a7c4c1773c85a7" ns2:_="">
    <xsd:import namespace="969db29d-fcfb-47c0-891c-9c6e15a8b7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9db29d-fcfb-47c0-891c-9c6e15a8b7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6a969200-d01d-4d87-ab3a-3789a43e12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9db29d-fcfb-47c0-891c-9c6e15a8b78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339F20-3AE4-4809-83F4-73A520BE43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9db29d-fcfb-47c0-891c-9c6e15a8b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D494CD-9CD2-4C1E-BEE4-1617E89F697C}">
  <ds:schemaRefs>
    <ds:schemaRef ds:uri="http://schemas.microsoft.com/office/2006/metadata/properties"/>
    <ds:schemaRef ds:uri="http://schemas.microsoft.com/office/infopath/2007/PartnerControls"/>
    <ds:schemaRef ds:uri="969db29d-fcfb-47c0-891c-9c6e15a8b788"/>
  </ds:schemaRefs>
</ds:datastoreItem>
</file>

<file path=customXml/itemProps3.xml><?xml version="1.0" encoding="utf-8"?>
<ds:datastoreItem xmlns:ds="http://schemas.openxmlformats.org/officeDocument/2006/customXml" ds:itemID="{9FC4E197-21B8-4849-94D4-87FFB4242A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GENERAL</vt:lpstr>
      <vt:lpstr>OBSERVACIONES</vt:lpstr>
      <vt:lpstr>|</vt:lpstr>
      <vt:lpstr>CODICIONALES</vt:lpstr>
      <vt:lpstr>RESUMEN</vt:lpstr>
      <vt:lpstr>INFORMES POR CASA</vt:lpstr>
      <vt:lpstr>DETALLES POR AREA EN CASA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sistemas</dc:creator>
  <cp:keywords/>
  <dc:description/>
  <cp:lastModifiedBy>sistemas</cp:lastModifiedBy>
  <cp:revision/>
  <dcterms:created xsi:type="dcterms:W3CDTF">2025-09-08T12:45:19Z</dcterms:created>
  <dcterms:modified xsi:type="dcterms:W3CDTF">2025-11-24T21:40:15Z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0x01010015AE491FD1B7B8419C16199DE6C5786F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